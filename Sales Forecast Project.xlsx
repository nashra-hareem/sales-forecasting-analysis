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84aefaa91aeddc3/Desktop/Nashra Hareem's Portfolio/Sales Forecasting ^0 Trend Analysis/"/>
    </mc:Choice>
  </mc:AlternateContent>
  <xr:revisionPtr revIDLastSave="0" documentId="13_ncr:1_{9807EEA0-6036-40F3-831F-51ED031013F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⚡ Leads" sheetId="7" r:id="rId1"/>
    <sheet name="⚡ Events" sheetId="8" r:id="rId2"/>
    <sheet name="⚡ Opportunities" sheetId="9" r:id="rId3"/>
    <sheet name="📊 12-Month Sales Forecast Dash" sheetId="1" r:id="rId4"/>
  </sheets>
  <definedNames>
    <definedName name="coeff_c_2CCEE246_9945_2140_BC14_9589485B31D0_0fd1f8c5_b793_4c6a_9738_c66d803607aa" comment="{2CCEE246-9945-2140-BC14-9589485B31D0}|Status" localSheetId="0">'⚡ Leads'!$E$1</definedName>
    <definedName name="coeff_c_2CCEE246_9945_2140_BC14_9589485B31D0_58516334_2b0d_4bb8_aa1c_0da7fb0a08c6" comment="{2CCEE246-9945-2140-BC14-9589485B31D0}|Company" localSheetId="0">'⚡ Leads'!$C$1</definedName>
    <definedName name="coeff_c_2CCEE246_9945_2140_BC14_9589485B31D0_954a83f1_e415_4d27_a772_8102e6b33558" comment="{2CCEE246-9945-2140-BC14-9589485B31D0}|First Name" localSheetId="0">'⚡ Leads'!$A$1</definedName>
    <definedName name="coeff_c_2CCEE246_9945_2140_BC14_9589485B31D0_987b5bcd_927e_41fb_8970_a5873b232b32" comment="{2CCEE246-9945-2140-BC14-9589485B31D0}|Last Name" localSheetId="0">'⚡ Leads'!$B$1</definedName>
    <definedName name="coeff_c_2CCEE246_9945_2140_BC14_9589485B31D0_9d1a4a82_19a1_4650_aee1_73e43e206df3" comment="{2CCEE246-9945-2140-BC14-9589485B31D0}|Created Date" localSheetId="0">'⚡ Leads'!$D$1</definedName>
    <definedName name="coeff_c_344D56EE_B9FC_084D_94CF_57A89FF39BC0_1ce7ea6a_8d9a_476f_8684_125e69f5434a" comment="{344D56EE-B9FC-084D-94CF-57A89FF39BC0}|Created Date" localSheetId="1">'⚡ Events'!$C$1</definedName>
    <definedName name="coeff_c_344D56EE_B9FC_084D_94CF_57A89FF39BC0_4e562cd5_7fc1_4160_88e6_7c20ee69e91e" comment="{344D56EE-B9FC-084D-94CF-57A89FF39BC0}|Activity ID" localSheetId="1">'⚡ Events'!$A$1</definedName>
    <definedName name="coeff_c_344D56EE_B9FC_084D_94CF_57A89FF39BC0_9032b6c4_5674_4fdc_ba1d_b91c5be50b04" comment="{344D56EE-B9FC-084D-94CF-57A89FF39BC0}|Subject" localSheetId="1">'⚡ Events'!$B$1</definedName>
    <definedName name="coeff_c_F6318C9D_BBC0_EF40_B911_3F41904FB1C5_0e358f63_a122_4840_86d6_ac397a19fc14" comment="{F6318C9D-BBC0-EF40-B911-3F41904FB1C5}|Name" localSheetId="2">'⚡ Opportunities'!$B$1</definedName>
    <definedName name="coeff_c_F6318C9D_BBC0_EF40_B911_3F41904FB1C5_113d515e_ed67_45e5_8d65_b057dab81bb2" comment="{F6318C9D-BBC0-EF40-B911-3F41904FB1C5}|Closed" localSheetId="2">'⚡ Opportunities'!$F$1</definedName>
    <definedName name="coeff_c_F6318C9D_BBC0_EF40_B911_3F41904FB1C5_3e86d35e_9779_4adc_b01d_2bb75b6831a8" comment="{F6318C9D-BBC0-EF40-B911-3F41904FB1C5}|Stage" localSheetId="2">'⚡ Opportunities'!$E$1</definedName>
    <definedName name="coeff_c_F6318C9D_BBC0_EF40_B911_3F41904FB1C5_c2ab382a_94ad_4a4b_ae6b_6de2d30e8c6f" comment="{F6318C9D-BBC0-EF40-B911-3F41904FB1C5}|Amount" localSheetId="2">'⚡ Opportunities'!$H$1</definedName>
    <definedName name="coeff_c_F6318C9D_BBC0_EF40_B911_3F41904FB1C5_caf804c6_7a8f_4a4e_8ea0_18501cd7ebca" comment="{F6318C9D-BBC0-EF40-B911-3F41904FB1C5}|Opportunity ID" localSheetId="2">'⚡ Opportunities'!$A$1</definedName>
    <definedName name="coeff_c_F6318C9D_BBC0_EF40_B911_3F41904FB1C5_e537817c_237c_438a_aa64_49e98588f5db" comment="{F6318C9D-BBC0-EF40-B911-3F41904FB1C5}|Created Date" localSheetId="2">'⚡ Opportunities'!$C$1</definedName>
    <definedName name="coeff_c_F6318C9D_BBC0_EF40_B911_3F41904FB1C5_ec93bc13_b4de_4d67_b931_521c4f5a2fb6" comment="{F6318C9D-BBC0-EF40-B911-3F41904FB1C5}|Won" localSheetId="2">'⚡ Opportunities'!$G$1</definedName>
    <definedName name="coeff_c_F6318C9D_BBC0_EF40_B911_3F41904FB1C5_f9d174cc_4991_4aa3_bb12_8eba789fc966" comment="{F6318C9D-BBC0-EF40-B911-3F41904FB1C5}|Close Date" localSheetId="2">'⚡ Opportunities'!$D$1</definedName>
    <definedName name="coeff_import_id" comment="c98b26b3-9ddc-4b87-8ec8-45b0edfcbfd8" localSheetId="1">'⚡ Events'!#REF!</definedName>
    <definedName name="coeff_import_id" comment="17ca3c38-bb5c-4f61-9806-7b4cc5d86ae8" localSheetId="0">'⚡ Leads'!#REF!</definedName>
    <definedName name="coeff_import_id" comment="2ec6849b-20a7-4820-98ad-e6e09a35f0cd" localSheetId="2">'⚡ Opportunities'!#REF!</definedName>
    <definedName name="coeff_tpl_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11" i="9" l="1"/>
  <c r="C2611" i="9"/>
  <c r="D2610" i="9"/>
  <c r="C2610" i="9"/>
  <c r="D2609" i="9"/>
  <c r="C2609" i="9"/>
  <c r="D2608" i="9"/>
  <c r="C2608" i="9"/>
  <c r="D2607" i="9"/>
  <c r="C2607" i="9"/>
  <c r="D2606" i="9"/>
  <c r="C2606" i="9"/>
  <c r="D2605" i="9"/>
  <c r="C2605" i="9"/>
  <c r="C2604" i="9"/>
  <c r="D2603" i="9"/>
  <c r="C2603" i="9"/>
  <c r="C2602" i="9"/>
  <c r="D2601" i="9"/>
  <c r="C2601" i="9"/>
  <c r="D2600" i="9"/>
  <c r="C2600" i="9"/>
  <c r="D2599" i="9"/>
  <c r="C2599" i="9"/>
  <c r="D2598" i="9"/>
  <c r="C2598" i="9"/>
  <c r="D2597" i="9"/>
  <c r="C2597" i="9"/>
  <c r="D2596" i="9"/>
  <c r="C2596" i="9"/>
  <c r="D2595" i="9"/>
  <c r="C2595" i="9"/>
  <c r="D2594" i="9"/>
  <c r="C2594" i="9"/>
  <c r="D2593" i="9"/>
  <c r="C2593" i="9"/>
  <c r="D2592" i="9"/>
  <c r="C2592" i="9"/>
  <c r="D2591" i="9"/>
  <c r="C2591" i="9"/>
  <c r="D2590" i="9"/>
  <c r="C2590" i="9"/>
  <c r="C2589" i="9"/>
  <c r="D2588" i="9"/>
  <c r="C2588" i="9"/>
  <c r="D2587" i="9"/>
  <c r="C2587" i="9"/>
  <c r="D2586" i="9"/>
  <c r="C2586" i="9"/>
  <c r="D2585" i="9"/>
  <c r="C2585" i="9"/>
  <c r="D2584" i="9"/>
  <c r="C2584" i="9"/>
  <c r="C2583" i="9"/>
  <c r="D2582" i="9"/>
  <c r="C2582" i="9"/>
  <c r="D2581" i="9"/>
  <c r="C2581" i="9"/>
  <c r="D2580" i="9"/>
  <c r="C2580" i="9"/>
  <c r="D2579" i="9"/>
  <c r="C2579" i="9"/>
  <c r="D2578" i="9"/>
  <c r="C2578" i="9"/>
  <c r="C2577" i="9"/>
  <c r="D2576" i="9"/>
  <c r="C2576" i="9"/>
  <c r="D2575" i="9"/>
  <c r="C2575" i="9"/>
  <c r="D2574" i="9"/>
  <c r="C2574" i="9"/>
  <c r="D2573" i="9"/>
  <c r="C2573" i="9"/>
  <c r="D2572" i="9"/>
  <c r="C2572" i="9"/>
  <c r="D2571" i="9"/>
  <c r="C2571" i="9"/>
  <c r="D2570" i="9"/>
  <c r="C2570" i="9"/>
  <c r="D2569" i="9"/>
  <c r="C2569" i="9"/>
  <c r="D2568" i="9"/>
  <c r="C2568" i="9"/>
  <c r="C2567" i="9"/>
  <c r="C2566" i="9"/>
  <c r="D2565" i="9"/>
  <c r="C2565" i="9"/>
  <c r="D2564" i="9"/>
  <c r="C2564" i="9"/>
  <c r="D2563" i="9"/>
  <c r="C2563" i="9"/>
  <c r="D2562" i="9"/>
  <c r="C2562" i="9"/>
  <c r="D2561" i="9"/>
  <c r="C2561" i="9"/>
  <c r="D2560" i="9"/>
  <c r="C2560" i="9"/>
  <c r="D2559" i="9"/>
  <c r="C2559" i="9"/>
  <c r="D2558" i="9"/>
  <c r="C2558" i="9"/>
  <c r="D2557" i="9"/>
  <c r="C2557" i="9"/>
  <c r="D2556" i="9"/>
  <c r="C2556" i="9"/>
  <c r="D2555" i="9"/>
  <c r="C2555" i="9"/>
  <c r="D2554" i="9"/>
  <c r="C2554" i="9"/>
  <c r="C2553" i="9"/>
  <c r="D2552" i="9"/>
  <c r="C2552" i="9"/>
  <c r="D2551" i="9"/>
  <c r="C2551" i="9"/>
  <c r="C2550" i="9"/>
  <c r="C2549" i="9"/>
  <c r="D2548" i="9"/>
  <c r="C2548" i="9"/>
  <c r="C2547" i="9"/>
  <c r="D2546" i="9"/>
  <c r="C2546" i="9"/>
  <c r="D2545" i="9"/>
  <c r="C2545" i="9"/>
  <c r="D2544" i="9"/>
  <c r="C2544" i="9"/>
  <c r="D2543" i="9"/>
  <c r="C2543" i="9"/>
  <c r="D2542" i="9"/>
  <c r="C2542" i="9"/>
  <c r="D2541" i="9"/>
  <c r="C2541" i="9"/>
  <c r="D2540" i="9"/>
  <c r="C2540" i="9"/>
  <c r="D2539" i="9"/>
  <c r="C2539" i="9"/>
  <c r="D2538" i="9"/>
  <c r="C2538" i="9"/>
  <c r="D2537" i="9"/>
  <c r="C2537" i="9"/>
  <c r="D2536" i="9"/>
  <c r="C2536" i="9"/>
  <c r="D2535" i="9"/>
  <c r="C2535" i="9"/>
  <c r="D2534" i="9"/>
  <c r="C2534" i="9"/>
  <c r="D2533" i="9"/>
  <c r="C2533" i="9"/>
  <c r="D2532" i="9"/>
  <c r="C2532" i="9"/>
  <c r="D2531" i="9"/>
  <c r="C2531" i="9"/>
  <c r="C2530" i="9"/>
  <c r="D2529" i="9"/>
  <c r="C2529" i="9"/>
  <c r="D2528" i="9"/>
  <c r="C2528" i="9"/>
  <c r="D2527" i="9"/>
  <c r="C2527" i="9"/>
  <c r="D2526" i="9"/>
  <c r="C2526" i="9"/>
  <c r="D2525" i="9"/>
  <c r="C2525" i="9"/>
  <c r="D2524" i="9"/>
  <c r="C2524" i="9"/>
  <c r="D2523" i="9"/>
  <c r="C2523" i="9"/>
  <c r="D2522" i="9"/>
  <c r="C2522" i="9"/>
  <c r="D2521" i="9"/>
  <c r="C2521" i="9"/>
  <c r="D2520" i="9"/>
  <c r="C2520" i="9"/>
  <c r="D2519" i="9"/>
  <c r="C2519" i="9"/>
  <c r="D2518" i="9"/>
  <c r="C2518" i="9"/>
  <c r="C2517" i="9"/>
  <c r="D2516" i="9"/>
  <c r="C2516" i="9"/>
  <c r="D2515" i="9"/>
  <c r="C2515" i="9"/>
  <c r="D2514" i="9"/>
  <c r="C2514" i="9"/>
  <c r="D2513" i="9"/>
  <c r="C2513" i="9"/>
  <c r="C2512" i="9"/>
  <c r="D2511" i="9"/>
  <c r="C2511" i="9"/>
  <c r="D2510" i="9"/>
  <c r="C2510" i="9"/>
  <c r="D2509" i="9"/>
  <c r="C2509" i="9"/>
  <c r="D2508" i="9"/>
  <c r="C2508" i="9"/>
  <c r="C2507" i="9"/>
  <c r="D2506" i="9"/>
  <c r="C2506" i="9"/>
  <c r="C2505" i="9"/>
  <c r="D2504" i="9"/>
  <c r="C2504" i="9"/>
  <c r="D2503" i="9"/>
  <c r="C2503" i="9"/>
  <c r="D2502" i="9"/>
  <c r="C2502" i="9"/>
  <c r="D2501" i="9"/>
  <c r="C2501" i="9"/>
  <c r="D2500" i="9"/>
  <c r="C2500" i="9"/>
  <c r="C2499" i="9"/>
  <c r="D2498" i="9"/>
  <c r="C2498" i="9"/>
  <c r="D2497" i="9"/>
  <c r="C2497" i="9"/>
  <c r="D2496" i="9"/>
  <c r="C2496" i="9"/>
  <c r="C2495" i="9"/>
  <c r="D2494" i="9"/>
  <c r="C2494" i="9"/>
  <c r="D2493" i="9"/>
  <c r="C2493" i="9"/>
  <c r="D2492" i="9"/>
  <c r="C2492" i="9"/>
  <c r="D2491" i="9"/>
  <c r="C2491" i="9"/>
  <c r="D2490" i="9"/>
  <c r="C2490" i="9"/>
  <c r="D2489" i="9"/>
  <c r="C2489" i="9"/>
  <c r="D2488" i="9"/>
  <c r="C2488" i="9"/>
  <c r="D2487" i="9"/>
  <c r="C2487" i="9"/>
  <c r="D2486" i="9"/>
  <c r="C2486" i="9"/>
  <c r="D2485" i="9"/>
  <c r="C2485" i="9"/>
  <c r="D2484" i="9"/>
  <c r="C2484" i="9"/>
  <c r="D2483" i="9"/>
  <c r="C2483" i="9"/>
  <c r="C2482" i="9"/>
  <c r="D2481" i="9"/>
  <c r="C2481" i="9"/>
  <c r="D2480" i="9"/>
  <c r="C2480" i="9"/>
  <c r="D2479" i="9"/>
  <c r="C2479" i="9"/>
  <c r="D2478" i="9"/>
  <c r="C2478" i="9"/>
  <c r="C2477" i="9"/>
  <c r="D2476" i="9"/>
  <c r="C2476" i="9"/>
  <c r="D2475" i="9"/>
  <c r="C2475" i="9"/>
  <c r="D2474" i="9"/>
  <c r="C2474" i="9"/>
  <c r="D2473" i="9"/>
  <c r="C2473" i="9"/>
  <c r="D2472" i="9"/>
  <c r="C2472" i="9"/>
  <c r="C2471" i="9"/>
  <c r="D2470" i="9"/>
  <c r="C2470" i="9"/>
  <c r="D2469" i="9"/>
  <c r="C2469" i="9"/>
  <c r="C2468" i="9"/>
  <c r="D2467" i="9"/>
  <c r="C2467" i="9"/>
  <c r="D2466" i="9"/>
  <c r="C2466" i="9"/>
  <c r="D2465" i="9"/>
  <c r="C2465" i="9"/>
  <c r="D2464" i="9"/>
  <c r="C2464" i="9"/>
  <c r="D2463" i="9"/>
  <c r="C2463" i="9"/>
  <c r="D2462" i="9"/>
  <c r="C2462" i="9"/>
  <c r="D2461" i="9"/>
  <c r="C2461" i="9"/>
  <c r="D2460" i="9"/>
  <c r="C2460" i="9"/>
  <c r="C2459" i="9"/>
  <c r="C2458" i="9"/>
  <c r="D2457" i="9"/>
  <c r="C2457" i="9"/>
  <c r="D2456" i="9"/>
  <c r="C2456" i="9"/>
  <c r="D2455" i="9"/>
  <c r="C2455" i="9"/>
  <c r="C2454" i="9"/>
  <c r="D2453" i="9"/>
  <c r="C2453" i="9"/>
  <c r="C2452" i="9"/>
  <c r="D2451" i="9"/>
  <c r="C2451" i="9"/>
  <c r="C2450" i="9"/>
  <c r="D2449" i="9"/>
  <c r="C2449" i="9"/>
  <c r="D2448" i="9"/>
  <c r="C2448" i="9"/>
  <c r="D2447" i="9"/>
  <c r="C2447" i="9"/>
  <c r="C2446" i="9"/>
  <c r="D2445" i="9"/>
  <c r="C2445" i="9"/>
  <c r="C2444" i="9"/>
  <c r="D2443" i="9"/>
  <c r="C2443" i="9"/>
  <c r="D2442" i="9"/>
  <c r="C2442" i="9"/>
  <c r="D2441" i="9"/>
  <c r="C2441" i="9"/>
  <c r="C2440" i="9"/>
  <c r="D2439" i="9"/>
  <c r="C2439" i="9"/>
  <c r="D2438" i="9"/>
  <c r="C2438" i="9"/>
  <c r="D2437" i="9"/>
  <c r="C2437" i="9"/>
  <c r="C2436" i="9"/>
  <c r="D2435" i="9"/>
  <c r="C2435" i="9"/>
  <c r="D2434" i="9"/>
  <c r="C2434" i="9"/>
  <c r="D2433" i="9"/>
  <c r="C2433" i="9"/>
  <c r="D2432" i="9"/>
  <c r="C2432" i="9"/>
  <c r="D2431" i="9"/>
  <c r="C2431" i="9"/>
  <c r="D2430" i="9"/>
  <c r="C2430" i="9"/>
  <c r="D2429" i="9"/>
  <c r="C2429" i="9"/>
  <c r="D2428" i="9"/>
  <c r="C2428" i="9"/>
  <c r="D2427" i="9"/>
  <c r="C2427" i="9"/>
  <c r="D2426" i="9"/>
  <c r="C2426" i="9"/>
  <c r="D2425" i="9"/>
  <c r="C2425" i="9"/>
  <c r="D2424" i="9"/>
  <c r="C2424" i="9"/>
  <c r="D2423" i="9"/>
  <c r="C2423" i="9"/>
  <c r="D2422" i="9"/>
  <c r="C2422" i="9"/>
  <c r="C2421" i="9"/>
  <c r="D2420" i="9"/>
  <c r="C2420" i="9"/>
  <c r="D2419" i="9"/>
  <c r="C2419" i="9"/>
  <c r="C2418" i="9"/>
  <c r="D2417" i="9"/>
  <c r="C2417" i="9"/>
  <c r="D2416" i="9"/>
  <c r="C2416" i="9"/>
  <c r="D2415" i="9"/>
  <c r="C2415" i="9"/>
  <c r="D2414" i="9"/>
  <c r="C2414" i="9"/>
  <c r="D2413" i="9"/>
  <c r="C2413" i="9"/>
  <c r="D2412" i="9"/>
  <c r="C2412" i="9"/>
  <c r="D2411" i="9"/>
  <c r="C2411" i="9"/>
  <c r="C2410" i="9"/>
  <c r="D2409" i="9"/>
  <c r="C2409" i="9"/>
  <c r="D2408" i="9"/>
  <c r="C2408" i="9"/>
  <c r="C2407" i="9"/>
  <c r="D2406" i="9"/>
  <c r="C2406" i="9"/>
  <c r="D2405" i="9"/>
  <c r="C2405" i="9"/>
  <c r="C2404" i="9"/>
  <c r="C2403" i="9"/>
  <c r="C2402" i="9"/>
  <c r="D2401" i="9"/>
  <c r="C2401" i="9"/>
  <c r="D2400" i="9"/>
  <c r="C2400" i="9"/>
  <c r="D2399" i="9"/>
  <c r="C2399" i="9"/>
  <c r="C2398" i="9"/>
  <c r="D2397" i="9"/>
  <c r="C2397" i="9"/>
  <c r="D2396" i="9"/>
  <c r="C2396" i="9"/>
  <c r="D2395" i="9"/>
  <c r="C2395" i="9"/>
  <c r="D2394" i="9"/>
  <c r="C2394" i="9"/>
  <c r="C2393" i="9"/>
  <c r="D2392" i="9"/>
  <c r="C2392" i="9"/>
  <c r="D2391" i="9"/>
  <c r="C2391" i="9"/>
  <c r="D2390" i="9"/>
  <c r="C2390" i="9"/>
  <c r="C2389" i="9"/>
  <c r="D2388" i="9"/>
  <c r="C2388" i="9"/>
  <c r="C2387" i="9"/>
  <c r="D2386" i="9"/>
  <c r="C2386" i="9"/>
  <c r="D2385" i="9"/>
  <c r="C2385" i="9"/>
  <c r="C2384" i="9"/>
  <c r="C2383" i="9"/>
  <c r="D2382" i="9"/>
  <c r="C2382" i="9"/>
  <c r="D2381" i="9"/>
  <c r="C2381" i="9"/>
  <c r="D2380" i="9"/>
  <c r="C2380" i="9"/>
  <c r="C2379" i="9"/>
  <c r="D2378" i="9"/>
  <c r="C2378" i="9"/>
  <c r="D2377" i="9"/>
  <c r="C2377" i="9"/>
  <c r="C2376" i="9"/>
  <c r="D2375" i="9"/>
  <c r="C2375" i="9"/>
  <c r="D2374" i="9"/>
  <c r="C2374" i="9"/>
  <c r="D2373" i="9"/>
  <c r="C2373" i="9"/>
  <c r="D2372" i="9"/>
  <c r="C2372" i="9"/>
  <c r="D2371" i="9"/>
  <c r="C2371" i="9"/>
  <c r="D2370" i="9"/>
  <c r="C2370" i="9"/>
  <c r="D2369" i="9"/>
  <c r="C2369" i="9"/>
  <c r="D2368" i="9"/>
  <c r="C2368" i="9"/>
  <c r="D2367" i="9"/>
  <c r="C2367" i="9"/>
  <c r="C2366" i="9"/>
  <c r="D2365" i="9"/>
  <c r="C2365" i="9"/>
  <c r="D2364" i="9"/>
  <c r="C2364" i="9"/>
  <c r="C2363" i="9"/>
  <c r="D2362" i="9"/>
  <c r="C2362" i="9"/>
  <c r="D2361" i="9"/>
  <c r="C2361" i="9"/>
  <c r="C2360" i="9"/>
  <c r="D2359" i="9"/>
  <c r="C2359" i="9"/>
  <c r="D2358" i="9"/>
  <c r="C2358" i="9"/>
  <c r="D2357" i="9"/>
  <c r="C2357" i="9"/>
  <c r="C2356" i="9"/>
  <c r="D2355" i="9"/>
  <c r="C2355" i="9"/>
  <c r="D2354" i="9"/>
  <c r="C2354" i="9"/>
  <c r="D2353" i="9"/>
  <c r="C2353" i="9"/>
  <c r="D2352" i="9"/>
  <c r="C2352" i="9"/>
  <c r="D2351" i="9"/>
  <c r="C2351" i="9"/>
  <c r="D2350" i="9"/>
  <c r="C2350" i="9"/>
  <c r="D2349" i="9"/>
  <c r="C2349" i="9"/>
  <c r="D2348" i="9"/>
  <c r="C2348" i="9"/>
  <c r="C2347" i="9"/>
  <c r="D2346" i="9"/>
  <c r="C2346" i="9"/>
  <c r="C2345" i="9"/>
  <c r="C2344" i="9"/>
  <c r="C2343" i="9"/>
  <c r="D2342" i="9"/>
  <c r="C2342" i="9"/>
  <c r="D2341" i="9"/>
  <c r="C2341" i="9"/>
  <c r="C2340" i="9"/>
  <c r="D2339" i="9"/>
  <c r="C2339" i="9"/>
  <c r="D2338" i="9"/>
  <c r="C2338" i="9"/>
  <c r="D2337" i="9"/>
  <c r="C2337" i="9"/>
  <c r="D2336" i="9"/>
  <c r="C2336" i="9"/>
  <c r="D2335" i="9"/>
  <c r="C2335" i="9"/>
  <c r="D2334" i="9"/>
  <c r="C2334" i="9"/>
  <c r="C2333" i="9"/>
  <c r="D2332" i="9"/>
  <c r="C2332" i="9"/>
  <c r="D2331" i="9"/>
  <c r="C2331" i="9"/>
  <c r="D2330" i="9"/>
  <c r="C2330" i="9"/>
  <c r="C2329" i="9"/>
  <c r="C2328" i="9"/>
  <c r="D2327" i="9"/>
  <c r="C2327" i="9"/>
  <c r="D2326" i="9"/>
  <c r="C2326" i="9"/>
  <c r="D2325" i="9"/>
  <c r="C2325" i="9"/>
  <c r="D2324" i="9"/>
  <c r="C2324" i="9"/>
  <c r="C2323" i="9"/>
  <c r="D2322" i="9"/>
  <c r="C2322" i="9"/>
  <c r="C2321" i="9"/>
  <c r="D2320" i="9"/>
  <c r="C2320" i="9"/>
  <c r="D2319" i="9"/>
  <c r="C2319" i="9"/>
  <c r="D2318" i="9"/>
  <c r="C2318" i="9"/>
  <c r="C2317" i="9"/>
  <c r="D2316" i="9"/>
  <c r="C2316" i="9"/>
  <c r="D2315" i="9"/>
  <c r="C2315" i="9"/>
  <c r="D2314" i="9"/>
  <c r="C2314" i="9"/>
  <c r="D2313" i="9"/>
  <c r="C2313" i="9"/>
  <c r="C2312" i="9"/>
  <c r="D2311" i="9"/>
  <c r="C2311" i="9"/>
  <c r="D2310" i="9"/>
  <c r="C2310" i="9"/>
  <c r="D2309" i="9"/>
  <c r="C2309" i="9"/>
  <c r="D2308" i="9"/>
  <c r="C2308" i="9"/>
  <c r="C2307" i="9"/>
  <c r="D2306" i="9"/>
  <c r="C2306" i="9"/>
  <c r="D2305" i="9"/>
  <c r="C2305" i="9"/>
  <c r="D2304" i="9"/>
  <c r="C2304" i="9"/>
  <c r="D2303" i="9"/>
  <c r="C2303" i="9"/>
  <c r="D2302" i="9"/>
  <c r="C2302" i="9"/>
  <c r="C2301" i="9"/>
  <c r="C2300" i="9"/>
  <c r="D2299" i="9"/>
  <c r="C2299" i="9"/>
  <c r="D2298" i="9"/>
  <c r="C2298" i="9"/>
  <c r="D2297" i="9"/>
  <c r="C2297" i="9"/>
  <c r="D2296" i="9"/>
  <c r="C2296" i="9"/>
  <c r="D2295" i="9"/>
  <c r="C2295" i="9"/>
  <c r="C2294" i="9"/>
  <c r="D2293" i="9"/>
  <c r="C2293" i="9"/>
  <c r="D2292" i="9"/>
  <c r="C2292" i="9"/>
  <c r="C2291" i="9"/>
  <c r="D2290" i="9"/>
  <c r="C2290" i="9"/>
  <c r="D2289" i="9"/>
  <c r="C2289" i="9"/>
  <c r="D2288" i="9"/>
  <c r="C2288" i="9"/>
  <c r="D2287" i="9"/>
  <c r="C2287" i="9"/>
  <c r="D2286" i="9"/>
  <c r="C2286" i="9"/>
  <c r="D2285" i="9"/>
  <c r="C2285" i="9"/>
  <c r="D2284" i="9"/>
  <c r="C2284" i="9"/>
  <c r="C2283" i="9"/>
  <c r="D2282" i="9"/>
  <c r="C2282" i="9"/>
  <c r="D2281" i="9"/>
  <c r="C2281" i="9"/>
  <c r="D2280" i="9"/>
  <c r="C2280" i="9"/>
  <c r="D2279" i="9"/>
  <c r="C2279" i="9"/>
  <c r="D2278" i="9"/>
  <c r="C2278" i="9"/>
  <c r="D2277" i="9"/>
  <c r="C2277" i="9"/>
  <c r="D2276" i="9"/>
  <c r="C2276" i="9"/>
  <c r="D2275" i="9"/>
  <c r="C2275" i="9"/>
  <c r="D2274" i="9"/>
  <c r="C2274" i="9"/>
  <c r="C2273" i="9"/>
  <c r="D2272" i="9"/>
  <c r="C2272" i="9"/>
  <c r="D2271" i="9"/>
  <c r="C2271" i="9"/>
  <c r="C2270" i="9"/>
  <c r="D2269" i="9"/>
  <c r="C2269" i="9"/>
  <c r="D2268" i="9"/>
  <c r="C2268" i="9"/>
  <c r="D2267" i="9"/>
  <c r="C2267" i="9"/>
  <c r="D2266" i="9"/>
  <c r="C2266" i="9"/>
  <c r="D2265" i="9"/>
  <c r="C2265" i="9"/>
  <c r="D2264" i="9"/>
  <c r="C2264" i="9"/>
  <c r="D2263" i="9"/>
  <c r="C2263" i="9"/>
  <c r="D2262" i="9"/>
  <c r="C2262" i="9"/>
  <c r="C2261" i="9"/>
  <c r="C2260" i="9"/>
  <c r="C2259" i="9"/>
  <c r="D2258" i="9"/>
  <c r="C2258" i="9"/>
  <c r="D2257" i="9"/>
  <c r="C2257" i="9"/>
  <c r="D2256" i="9"/>
  <c r="C2256" i="9"/>
  <c r="D2255" i="9"/>
  <c r="C2255" i="9"/>
  <c r="D2254" i="9"/>
  <c r="C2254" i="9"/>
  <c r="D2253" i="9"/>
  <c r="C2253" i="9"/>
  <c r="D2252" i="9"/>
  <c r="C2252" i="9"/>
  <c r="D2251" i="9"/>
  <c r="C2251" i="9"/>
  <c r="C2250" i="9"/>
  <c r="D2249" i="9"/>
  <c r="C2249" i="9"/>
  <c r="C2248" i="9"/>
  <c r="D2247" i="9"/>
  <c r="C2247" i="9"/>
  <c r="D2246" i="9"/>
  <c r="C2246" i="9"/>
  <c r="D2245" i="9"/>
  <c r="C2245" i="9"/>
  <c r="D2244" i="9"/>
  <c r="C2244" i="9"/>
  <c r="D2243" i="9"/>
  <c r="C2243" i="9"/>
  <c r="D2242" i="9"/>
  <c r="C2242" i="9"/>
  <c r="D2241" i="9"/>
  <c r="C2241" i="9"/>
  <c r="D2240" i="9"/>
  <c r="C2240" i="9"/>
  <c r="D2239" i="9"/>
  <c r="C2239" i="9"/>
  <c r="D2238" i="9"/>
  <c r="C2238" i="9"/>
  <c r="C2237" i="9"/>
  <c r="D2236" i="9"/>
  <c r="C2236" i="9"/>
  <c r="D2235" i="9"/>
  <c r="C2235" i="9"/>
  <c r="D2234" i="9"/>
  <c r="C2234" i="9"/>
  <c r="D2233" i="9"/>
  <c r="C2233" i="9"/>
  <c r="C2232" i="9"/>
  <c r="D2231" i="9"/>
  <c r="C2231" i="9"/>
  <c r="D2230" i="9"/>
  <c r="C2230" i="9"/>
  <c r="D2229" i="9"/>
  <c r="C2229" i="9"/>
  <c r="C2228" i="9"/>
  <c r="D2227" i="9"/>
  <c r="C2227" i="9"/>
  <c r="D2226" i="9"/>
  <c r="C2226" i="9"/>
  <c r="D2225" i="9"/>
  <c r="C2225" i="9"/>
  <c r="D2224" i="9"/>
  <c r="C2224" i="9"/>
  <c r="D2223" i="9"/>
  <c r="C2223" i="9"/>
  <c r="C2222" i="9"/>
  <c r="C2221" i="9"/>
  <c r="C2220" i="9"/>
  <c r="C2219" i="9"/>
  <c r="D2218" i="9"/>
  <c r="C2218" i="9"/>
  <c r="D2217" i="9"/>
  <c r="C2217" i="9"/>
  <c r="C2216" i="9"/>
  <c r="D2215" i="9"/>
  <c r="C2215" i="9"/>
  <c r="D2214" i="9"/>
  <c r="C2214" i="9"/>
  <c r="D2213" i="9"/>
  <c r="C2213" i="9"/>
  <c r="D2212" i="9"/>
  <c r="C2212" i="9"/>
  <c r="C2211" i="9"/>
  <c r="D2210" i="9"/>
  <c r="C2210" i="9"/>
  <c r="D2209" i="9"/>
  <c r="C2209" i="9"/>
  <c r="D2208" i="9"/>
  <c r="C2208" i="9"/>
  <c r="D2207" i="9"/>
  <c r="C2207" i="9"/>
  <c r="D2206" i="9"/>
  <c r="C2206" i="9"/>
  <c r="D2205" i="9"/>
  <c r="C2205" i="9"/>
  <c r="C2204" i="9"/>
  <c r="D2203" i="9"/>
  <c r="C2203" i="9"/>
  <c r="D2202" i="9"/>
  <c r="C2202" i="9"/>
  <c r="C2201" i="9"/>
  <c r="D2200" i="9"/>
  <c r="C2200" i="9"/>
  <c r="D2199" i="9"/>
  <c r="C2199" i="9"/>
  <c r="C2198" i="9"/>
  <c r="D2197" i="9"/>
  <c r="C2197" i="9"/>
  <c r="D2196" i="9"/>
  <c r="C2196" i="9"/>
  <c r="D2195" i="9"/>
  <c r="C2195" i="9"/>
  <c r="D2194" i="9"/>
  <c r="C2194" i="9"/>
  <c r="C2193" i="9"/>
  <c r="D2192" i="9"/>
  <c r="C2192" i="9"/>
  <c r="D2191" i="9"/>
  <c r="C2191" i="9"/>
  <c r="D2190" i="9"/>
  <c r="C2190" i="9"/>
  <c r="D2189" i="9"/>
  <c r="C2189" i="9"/>
  <c r="D2188" i="9"/>
  <c r="C2188" i="9"/>
  <c r="D2187" i="9"/>
  <c r="C2187" i="9"/>
  <c r="D2186" i="9"/>
  <c r="C2186" i="9"/>
  <c r="D2185" i="9"/>
  <c r="C2185" i="9"/>
  <c r="D2184" i="9"/>
  <c r="C2184" i="9"/>
  <c r="D2183" i="9"/>
  <c r="C2183" i="9"/>
  <c r="D2182" i="9"/>
  <c r="C2182" i="9"/>
  <c r="C2181" i="9"/>
  <c r="D2180" i="9"/>
  <c r="C2180" i="9"/>
  <c r="D2179" i="9"/>
  <c r="C2179" i="9"/>
  <c r="D2178" i="9"/>
  <c r="C2178" i="9"/>
  <c r="D2177" i="9"/>
  <c r="C2177" i="9"/>
  <c r="D2176" i="9"/>
  <c r="C2176" i="9"/>
  <c r="D2175" i="9"/>
  <c r="C2175" i="9"/>
  <c r="C2174" i="9"/>
  <c r="D2173" i="9"/>
  <c r="C2173" i="9"/>
  <c r="C2172" i="9"/>
  <c r="D2171" i="9"/>
  <c r="C2171" i="9"/>
  <c r="D2170" i="9"/>
  <c r="C2170" i="9"/>
  <c r="C2169" i="9"/>
  <c r="D2168" i="9"/>
  <c r="C2168" i="9"/>
  <c r="D2167" i="9"/>
  <c r="C2167" i="9"/>
  <c r="C2166" i="9"/>
  <c r="D2165" i="9"/>
  <c r="C2165" i="9"/>
  <c r="D2164" i="9"/>
  <c r="C2164" i="9"/>
  <c r="D2163" i="9"/>
  <c r="C2163" i="9"/>
  <c r="D2162" i="9"/>
  <c r="C2162" i="9"/>
  <c r="D2161" i="9"/>
  <c r="C2161" i="9"/>
  <c r="D2160" i="9"/>
  <c r="C2160" i="9"/>
  <c r="C2159" i="9"/>
  <c r="D2158" i="9"/>
  <c r="C2158" i="9"/>
  <c r="D2157" i="9"/>
  <c r="C2157" i="9"/>
  <c r="D2156" i="9"/>
  <c r="C2156" i="9"/>
  <c r="C2155" i="9"/>
  <c r="D2154" i="9"/>
  <c r="C2154" i="9"/>
  <c r="D2153" i="9"/>
  <c r="C2153" i="9"/>
  <c r="D2152" i="9"/>
  <c r="C2152" i="9"/>
  <c r="D2151" i="9"/>
  <c r="C2151" i="9"/>
  <c r="D2150" i="9"/>
  <c r="C2150" i="9"/>
  <c r="C2149" i="9"/>
  <c r="D2148" i="9"/>
  <c r="C2148" i="9"/>
  <c r="C2147" i="9"/>
  <c r="D2146" i="9"/>
  <c r="C2146" i="9"/>
  <c r="D2145" i="9"/>
  <c r="C2145" i="9"/>
  <c r="D2144" i="9"/>
  <c r="C2144" i="9"/>
  <c r="D2143" i="9"/>
  <c r="C2143" i="9"/>
  <c r="D2142" i="9"/>
  <c r="C2142" i="9"/>
  <c r="D2141" i="9"/>
  <c r="C2141" i="9"/>
  <c r="D2140" i="9"/>
  <c r="C2140" i="9"/>
  <c r="D2139" i="9"/>
  <c r="C2139" i="9"/>
  <c r="D2138" i="9"/>
  <c r="C2138" i="9"/>
  <c r="D2137" i="9"/>
  <c r="C2137" i="9"/>
  <c r="D2136" i="9"/>
  <c r="C2136" i="9"/>
  <c r="D2135" i="9"/>
  <c r="C2135" i="9"/>
  <c r="D2134" i="9"/>
  <c r="C2134" i="9"/>
  <c r="C2133" i="9"/>
  <c r="C2132" i="9"/>
  <c r="D2131" i="9"/>
  <c r="C2131" i="9"/>
  <c r="D2130" i="9"/>
  <c r="C2130" i="9"/>
  <c r="D2129" i="9"/>
  <c r="C2129" i="9"/>
  <c r="D2128" i="9"/>
  <c r="C2128" i="9"/>
  <c r="D2127" i="9"/>
  <c r="C2127" i="9"/>
  <c r="C2126" i="9"/>
  <c r="D2125" i="9"/>
  <c r="C2125" i="9"/>
  <c r="D2124" i="9"/>
  <c r="C2124" i="9"/>
  <c r="D2123" i="9"/>
  <c r="C2123" i="9"/>
  <c r="D2122" i="9"/>
  <c r="C2122" i="9"/>
  <c r="C2121" i="9"/>
  <c r="D2120" i="9"/>
  <c r="C2120" i="9"/>
  <c r="D2119" i="9"/>
  <c r="C2119" i="9"/>
  <c r="D2118" i="9"/>
  <c r="C2118" i="9"/>
  <c r="C2117" i="9"/>
  <c r="C2116" i="9"/>
  <c r="D2115" i="9"/>
  <c r="C2115" i="9"/>
  <c r="D2114" i="9"/>
  <c r="C2114" i="9"/>
  <c r="C2113" i="9"/>
  <c r="D2112" i="9"/>
  <c r="C2112" i="9"/>
  <c r="D2111" i="9"/>
  <c r="C2111" i="9"/>
  <c r="C2110" i="9"/>
  <c r="D2109" i="9"/>
  <c r="C2109" i="9"/>
  <c r="D2108" i="9"/>
  <c r="C2108" i="9"/>
  <c r="D2107" i="9"/>
  <c r="C2107" i="9"/>
  <c r="C2106" i="9"/>
  <c r="D2105" i="9"/>
  <c r="C2105" i="9"/>
  <c r="D2104" i="9"/>
  <c r="C2104" i="9"/>
  <c r="D2103" i="9"/>
  <c r="C2103" i="9"/>
  <c r="D2102" i="9"/>
  <c r="C2102" i="9"/>
  <c r="D2101" i="9"/>
  <c r="C2101" i="9"/>
  <c r="D2100" i="9"/>
  <c r="C2100" i="9"/>
  <c r="D2099" i="9"/>
  <c r="C2099" i="9"/>
  <c r="C2098" i="9"/>
  <c r="C2097" i="9"/>
  <c r="C2096" i="9"/>
  <c r="D2095" i="9"/>
  <c r="C2095" i="9"/>
  <c r="D2094" i="9"/>
  <c r="C2094" i="9"/>
  <c r="C2093" i="9"/>
  <c r="C2092" i="9"/>
  <c r="D2091" i="9"/>
  <c r="C2091" i="9"/>
  <c r="C2090" i="9"/>
  <c r="D2089" i="9"/>
  <c r="C2089" i="9"/>
  <c r="D2088" i="9"/>
  <c r="C2088" i="9"/>
  <c r="C2087" i="9"/>
  <c r="D2086" i="9"/>
  <c r="C2086" i="9"/>
  <c r="D2085" i="9"/>
  <c r="C2085" i="9"/>
  <c r="D2084" i="9"/>
  <c r="C2084" i="9"/>
  <c r="C2083" i="9"/>
  <c r="D2082" i="9"/>
  <c r="C2082" i="9"/>
  <c r="D2081" i="9"/>
  <c r="C2081" i="9"/>
  <c r="D2080" i="9"/>
  <c r="C2080" i="9"/>
  <c r="D2079" i="9"/>
  <c r="C2079" i="9"/>
  <c r="C2078" i="9"/>
  <c r="D2077" i="9"/>
  <c r="C2077" i="9"/>
  <c r="D2076" i="9"/>
  <c r="C2076" i="9"/>
  <c r="D2075" i="9"/>
  <c r="C2075" i="9"/>
  <c r="D2074" i="9"/>
  <c r="C2074" i="9"/>
  <c r="D2073" i="9"/>
  <c r="C2073" i="9"/>
  <c r="D2072" i="9"/>
  <c r="C2072" i="9"/>
  <c r="C2071" i="9"/>
  <c r="D2070" i="9"/>
  <c r="C2070" i="9"/>
  <c r="D2069" i="9"/>
  <c r="C2069" i="9"/>
  <c r="C2068" i="9"/>
  <c r="D2067" i="9"/>
  <c r="C2067" i="9"/>
  <c r="D2066" i="9"/>
  <c r="C2066" i="9"/>
  <c r="D2065" i="9"/>
  <c r="C2065" i="9"/>
  <c r="D2064" i="9"/>
  <c r="C2064" i="9"/>
  <c r="D2063" i="9"/>
  <c r="C2063" i="9"/>
  <c r="D2062" i="9"/>
  <c r="C2062" i="9"/>
  <c r="D2061" i="9"/>
  <c r="C2061" i="9"/>
  <c r="C2060" i="9"/>
  <c r="D2059" i="9"/>
  <c r="C2059" i="9"/>
  <c r="D2058" i="9"/>
  <c r="C2058" i="9"/>
  <c r="D2057" i="9"/>
  <c r="C2057" i="9"/>
  <c r="D2056" i="9"/>
  <c r="C2056" i="9"/>
  <c r="D2055" i="9"/>
  <c r="C2055" i="9"/>
  <c r="D2054" i="9"/>
  <c r="C2054" i="9"/>
  <c r="D2053" i="9"/>
  <c r="C2053" i="9"/>
  <c r="D2052" i="9"/>
  <c r="C2052" i="9"/>
  <c r="D2051" i="9"/>
  <c r="C2051" i="9"/>
  <c r="C2050" i="9"/>
  <c r="C2049" i="9"/>
  <c r="D2048" i="9"/>
  <c r="C2048" i="9"/>
  <c r="C2047" i="9"/>
  <c r="D2046" i="9"/>
  <c r="C2046" i="9"/>
  <c r="C2045" i="9"/>
  <c r="D2044" i="9"/>
  <c r="C2044" i="9"/>
  <c r="D2043" i="9"/>
  <c r="C2043" i="9"/>
  <c r="C2042" i="9"/>
  <c r="C2041" i="9"/>
  <c r="D2040" i="9"/>
  <c r="C2040" i="9"/>
  <c r="D2039" i="9"/>
  <c r="C2039" i="9"/>
  <c r="D2038" i="9"/>
  <c r="C2038" i="9"/>
  <c r="D2037" i="9"/>
  <c r="C2037" i="9"/>
  <c r="C2036" i="9"/>
  <c r="D2035" i="9"/>
  <c r="C2035" i="9"/>
  <c r="D2034" i="9"/>
  <c r="C2034" i="9"/>
  <c r="C2033" i="9"/>
  <c r="D2032" i="9"/>
  <c r="C2032" i="9"/>
  <c r="D2031" i="9"/>
  <c r="C2031" i="9"/>
  <c r="D2030" i="9"/>
  <c r="C2030" i="9"/>
  <c r="C2029" i="9"/>
  <c r="D2028" i="9"/>
  <c r="C2028" i="9"/>
  <c r="D2027" i="9"/>
  <c r="C2027" i="9"/>
  <c r="D2026" i="9"/>
  <c r="C2026" i="9"/>
  <c r="D2025" i="9"/>
  <c r="C2025" i="9"/>
  <c r="D2024" i="9"/>
  <c r="C2024" i="9"/>
  <c r="D2023" i="9"/>
  <c r="C2023" i="9"/>
  <c r="D2022" i="9"/>
  <c r="C2022" i="9"/>
  <c r="D2021" i="9"/>
  <c r="C2021" i="9"/>
  <c r="D2020" i="9"/>
  <c r="C2020" i="9"/>
  <c r="D2019" i="9"/>
  <c r="C2019" i="9"/>
  <c r="D2018" i="9"/>
  <c r="C2018" i="9"/>
  <c r="C2017" i="9"/>
  <c r="D2016" i="9"/>
  <c r="C2016" i="9"/>
  <c r="D2015" i="9"/>
  <c r="C2015" i="9"/>
  <c r="D2014" i="9"/>
  <c r="C2014" i="9"/>
  <c r="C2013" i="9"/>
  <c r="D2012" i="9"/>
  <c r="C2012" i="9"/>
  <c r="D2011" i="9"/>
  <c r="C2011" i="9"/>
  <c r="D2010" i="9"/>
  <c r="C2010" i="9"/>
  <c r="D2009" i="9"/>
  <c r="C2009" i="9"/>
  <c r="D2008" i="9"/>
  <c r="C2008" i="9"/>
  <c r="D2007" i="9"/>
  <c r="C2007" i="9"/>
  <c r="D2006" i="9"/>
  <c r="C2006" i="9"/>
  <c r="D2005" i="9"/>
  <c r="C2005" i="9"/>
  <c r="D2004" i="9"/>
  <c r="C2004" i="9"/>
  <c r="D2003" i="9"/>
  <c r="C2003" i="9"/>
  <c r="D2002" i="9"/>
  <c r="C2002" i="9"/>
  <c r="D2001" i="9"/>
  <c r="C2001" i="9"/>
  <c r="C2000" i="9"/>
  <c r="D1999" i="9"/>
  <c r="C1999" i="9"/>
  <c r="C1998" i="9"/>
  <c r="D1997" i="9"/>
  <c r="C1997" i="9"/>
  <c r="D1996" i="9"/>
  <c r="C1996" i="9"/>
  <c r="D1995" i="9"/>
  <c r="C1995" i="9"/>
  <c r="D1994" i="9"/>
  <c r="C1994" i="9"/>
  <c r="D1993" i="9"/>
  <c r="C1993" i="9"/>
  <c r="D1992" i="9"/>
  <c r="C1992" i="9"/>
  <c r="C1991" i="9"/>
  <c r="D1990" i="9"/>
  <c r="C1990" i="9"/>
  <c r="C1989" i="9"/>
  <c r="D1988" i="9"/>
  <c r="C1988" i="9"/>
  <c r="D1987" i="9"/>
  <c r="C1987" i="9"/>
  <c r="C1986" i="9"/>
  <c r="D1985" i="9"/>
  <c r="C1985" i="9"/>
  <c r="D1984" i="9"/>
  <c r="C1984" i="9"/>
  <c r="D1983" i="9"/>
  <c r="C1983" i="9"/>
  <c r="D1982" i="9"/>
  <c r="C1982" i="9"/>
  <c r="D1981" i="9"/>
  <c r="C1981" i="9"/>
  <c r="C1980" i="9"/>
  <c r="D1979" i="9"/>
  <c r="C1979" i="9"/>
  <c r="D1978" i="9"/>
  <c r="C1978" i="9"/>
  <c r="D1977" i="9"/>
  <c r="C1977" i="9"/>
  <c r="D1976" i="9"/>
  <c r="C1976" i="9"/>
  <c r="D1975" i="9"/>
  <c r="C1975" i="9"/>
  <c r="C1974" i="9"/>
  <c r="D1973" i="9"/>
  <c r="C1973" i="9"/>
  <c r="D1972" i="9"/>
  <c r="C1972" i="9"/>
  <c r="D1971" i="9"/>
  <c r="C1971" i="9"/>
  <c r="D1970" i="9"/>
  <c r="C1970" i="9"/>
  <c r="D1969" i="9"/>
  <c r="C1969" i="9"/>
  <c r="C1968" i="9"/>
  <c r="D1967" i="9"/>
  <c r="C1967" i="9"/>
  <c r="D1966" i="9"/>
  <c r="C1966" i="9"/>
  <c r="C1965" i="9"/>
  <c r="D1964" i="9"/>
  <c r="C1964" i="9"/>
  <c r="D1963" i="9"/>
  <c r="C1963" i="9"/>
  <c r="D1962" i="9"/>
  <c r="C1962" i="9"/>
  <c r="C1961" i="9"/>
  <c r="C1960" i="9"/>
  <c r="D1959" i="9"/>
  <c r="C1959" i="9"/>
  <c r="D1958" i="9"/>
  <c r="C1958" i="9"/>
  <c r="C1957" i="9"/>
  <c r="C1956" i="9"/>
  <c r="C1955" i="9"/>
  <c r="C1954" i="9"/>
  <c r="D1953" i="9"/>
  <c r="C1953" i="9"/>
  <c r="C1952" i="9"/>
  <c r="D1951" i="9"/>
  <c r="C1951" i="9"/>
  <c r="D1950" i="9"/>
  <c r="C1950" i="9"/>
  <c r="C1949" i="9"/>
  <c r="D1948" i="9"/>
  <c r="C1948" i="9"/>
  <c r="D1947" i="9"/>
  <c r="C1947" i="9"/>
  <c r="D1946" i="9"/>
  <c r="C1946" i="9"/>
  <c r="D1945" i="9"/>
  <c r="C1945" i="9"/>
  <c r="D1944" i="9"/>
  <c r="C1944" i="9"/>
  <c r="D1943" i="9"/>
  <c r="C1943" i="9"/>
  <c r="D1942" i="9"/>
  <c r="C1942" i="9"/>
  <c r="D1941" i="9"/>
  <c r="C1941" i="9"/>
  <c r="D1940" i="9"/>
  <c r="C1940" i="9"/>
  <c r="D1939" i="9"/>
  <c r="C1939" i="9"/>
  <c r="D1938" i="9"/>
  <c r="C1938" i="9"/>
  <c r="D1937" i="9"/>
  <c r="C1937" i="9"/>
  <c r="D1936" i="9"/>
  <c r="C1936" i="9"/>
  <c r="D1935" i="9"/>
  <c r="C1935" i="9"/>
  <c r="D1934" i="9"/>
  <c r="C1934" i="9"/>
  <c r="D1933" i="9"/>
  <c r="C1933" i="9"/>
  <c r="D1932" i="9"/>
  <c r="C1932" i="9"/>
  <c r="D1931" i="9"/>
  <c r="C1931" i="9"/>
  <c r="D1930" i="9"/>
  <c r="C1930" i="9"/>
  <c r="D1929" i="9"/>
  <c r="C1929" i="9"/>
  <c r="D1928" i="9"/>
  <c r="C1928" i="9"/>
  <c r="C1927" i="9"/>
  <c r="C1926" i="9"/>
  <c r="D1925" i="9"/>
  <c r="C1925" i="9"/>
  <c r="D1924" i="9"/>
  <c r="C1924" i="9"/>
  <c r="C1923" i="9"/>
  <c r="D1922" i="9"/>
  <c r="C1922" i="9"/>
  <c r="D1921" i="9"/>
  <c r="C1921" i="9"/>
  <c r="D1920" i="9"/>
  <c r="C1920" i="9"/>
  <c r="D1919" i="9"/>
  <c r="C1919" i="9"/>
  <c r="D1918" i="9"/>
  <c r="C1918" i="9"/>
  <c r="D1917" i="9"/>
  <c r="C1917" i="9"/>
  <c r="D1916" i="9"/>
  <c r="C1916" i="9"/>
  <c r="C1915" i="9"/>
  <c r="D1914" i="9"/>
  <c r="C1914" i="9"/>
  <c r="D1913" i="9"/>
  <c r="C1913" i="9"/>
  <c r="D1912" i="9"/>
  <c r="C1912" i="9"/>
  <c r="D1911" i="9"/>
  <c r="C1911" i="9"/>
  <c r="C1910" i="9"/>
  <c r="D1909" i="9"/>
  <c r="C1909" i="9"/>
  <c r="D1908" i="9"/>
  <c r="C1908" i="9"/>
  <c r="D1907" i="9"/>
  <c r="C1907" i="9"/>
  <c r="C1906" i="9"/>
  <c r="D1905" i="9"/>
  <c r="C1905" i="9"/>
  <c r="C1904" i="9"/>
  <c r="D1903" i="9"/>
  <c r="C1903" i="9"/>
  <c r="D1902" i="9"/>
  <c r="C1902" i="9"/>
  <c r="D1901" i="9"/>
  <c r="C1901" i="9"/>
  <c r="C1900" i="9"/>
  <c r="C1899" i="9"/>
  <c r="D1898" i="9"/>
  <c r="C1898" i="9"/>
  <c r="D1897" i="9"/>
  <c r="C1897" i="9"/>
  <c r="D1896" i="9"/>
  <c r="C1896" i="9"/>
  <c r="D1895" i="9"/>
  <c r="C1895" i="9"/>
  <c r="C1894" i="9"/>
  <c r="D1893" i="9"/>
  <c r="C1893" i="9"/>
  <c r="D1892" i="9"/>
  <c r="C1892" i="9"/>
  <c r="D1891" i="9"/>
  <c r="C1891" i="9"/>
  <c r="D1890" i="9"/>
  <c r="C1890" i="9"/>
  <c r="D1889" i="9"/>
  <c r="C1889" i="9"/>
  <c r="D1888" i="9"/>
  <c r="C1888" i="9"/>
  <c r="D1887" i="9"/>
  <c r="C1887" i="9"/>
  <c r="D1886" i="9"/>
  <c r="C1886" i="9"/>
  <c r="C1885" i="9"/>
  <c r="D1884" i="9"/>
  <c r="C1884" i="9"/>
  <c r="D1883" i="9"/>
  <c r="C1883" i="9"/>
  <c r="D1882" i="9"/>
  <c r="C1882" i="9"/>
  <c r="C1881" i="9"/>
  <c r="D1880" i="9"/>
  <c r="C1880" i="9"/>
  <c r="D1879" i="9"/>
  <c r="C1879" i="9"/>
  <c r="D1878" i="9"/>
  <c r="C1878" i="9"/>
  <c r="D1877" i="9"/>
  <c r="C1877" i="9"/>
  <c r="D1876" i="9"/>
  <c r="C1876" i="9"/>
  <c r="D1875" i="9"/>
  <c r="C1875" i="9"/>
  <c r="D1874" i="9"/>
  <c r="C1874" i="9"/>
  <c r="D1873" i="9"/>
  <c r="C1873" i="9"/>
  <c r="D1872" i="9"/>
  <c r="C1872" i="9"/>
  <c r="D1871" i="9"/>
  <c r="C1871" i="9"/>
  <c r="C1870" i="9"/>
  <c r="D1869" i="9"/>
  <c r="C1869" i="9"/>
  <c r="D1868" i="9"/>
  <c r="C1868" i="9"/>
  <c r="D1867" i="9"/>
  <c r="C1867" i="9"/>
  <c r="D1866" i="9"/>
  <c r="C1866" i="9"/>
  <c r="D1865" i="9"/>
  <c r="C1865" i="9"/>
  <c r="D1864" i="9"/>
  <c r="C1864" i="9"/>
  <c r="D1863" i="9"/>
  <c r="C1863" i="9"/>
  <c r="C1862" i="9"/>
  <c r="D1861" i="9"/>
  <c r="C1861" i="9"/>
  <c r="D1860" i="9"/>
  <c r="C1860" i="9"/>
  <c r="D1859" i="9"/>
  <c r="C1859" i="9"/>
  <c r="D1858" i="9"/>
  <c r="C1858" i="9"/>
  <c r="D1857" i="9"/>
  <c r="C1857" i="9"/>
  <c r="C1856" i="9"/>
  <c r="D1855" i="9"/>
  <c r="C1855" i="9"/>
  <c r="D1854" i="9"/>
  <c r="C1854" i="9"/>
  <c r="D1853" i="9"/>
  <c r="C1853" i="9"/>
  <c r="C1852" i="9"/>
  <c r="D1851" i="9"/>
  <c r="C1851" i="9"/>
  <c r="D1850" i="9"/>
  <c r="C1850" i="9"/>
  <c r="C1849" i="9"/>
  <c r="D1848" i="9"/>
  <c r="C1848" i="9"/>
  <c r="D1847" i="9"/>
  <c r="C1847" i="9"/>
  <c r="C1846" i="9"/>
  <c r="D1845" i="9"/>
  <c r="C1845" i="9"/>
  <c r="D1844" i="9"/>
  <c r="C1844" i="9"/>
  <c r="C1843" i="9"/>
  <c r="D1842" i="9"/>
  <c r="C1842" i="9"/>
  <c r="C1841" i="9"/>
  <c r="D1840" i="9"/>
  <c r="C1840" i="9"/>
  <c r="D1839" i="9"/>
  <c r="C1839" i="9"/>
  <c r="D1838" i="9"/>
  <c r="C1838" i="9"/>
  <c r="D1837" i="9"/>
  <c r="C1837" i="9"/>
  <c r="D1836" i="9"/>
  <c r="C1836" i="9"/>
  <c r="D1835" i="9"/>
  <c r="C1835" i="9"/>
  <c r="D1834" i="9"/>
  <c r="C1834" i="9"/>
  <c r="D1833" i="9"/>
  <c r="C1833" i="9"/>
  <c r="D1832" i="9"/>
  <c r="C1832" i="9"/>
  <c r="C1831" i="9"/>
  <c r="C1830" i="9"/>
  <c r="C1829" i="9"/>
  <c r="D1828" i="9"/>
  <c r="C1828" i="9"/>
  <c r="D1827" i="9"/>
  <c r="C1827" i="9"/>
  <c r="D1826" i="9"/>
  <c r="C1826" i="9"/>
  <c r="D1825" i="9"/>
  <c r="C1825" i="9"/>
  <c r="D1824" i="9"/>
  <c r="C1824" i="9"/>
  <c r="D1823" i="9"/>
  <c r="C1823" i="9"/>
  <c r="D1822" i="9"/>
  <c r="C1822" i="9"/>
  <c r="D1821" i="9"/>
  <c r="C1821" i="9"/>
  <c r="C1820" i="9"/>
  <c r="D1819" i="9"/>
  <c r="C1819" i="9"/>
  <c r="D1818" i="9"/>
  <c r="C1818" i="9"/>
  <c r="D1817" i="9"/>
  <c r="C1817" i="9"/>
  <c r="D1816" i="9"/>
  <c r="C1816" i="9"/>
  <c r="D1815" i="9"/>
  <c r="C1815" i="9"/>
  <c r="D1814" i="9"/>
  <c r="C1814" i="9"/>
  <c r="D1813" i="9"/>
  <c r="C1813" i="9"/>
  <c r="D1812" i="9"/>
  <c r="C1812" i="9"/>
  <c r="D1811" i="9"/>
  <c r="C1811" i="9"/>
  <c r="D1810" i="9"/>
  <c r="C1810" i="9"/>
  <c r="D1809" i="9"/>
  <c r="C1809" i="9"/>
  <c r="D1808" i="9"/>
  <c r="C1808" i="9"/>
  <c r="D1807" i="9"/>
  <c r="C1807" i="9"/>
  <c r="D1806" i="9"/>
  <c r="C1806" i="9"/>
  <c r="C1805" i="9"/>
  <c r="D1804" i="9"/>
  <c r="C1804" i="9"/>
  <c r="D1803" i="9"/>
  <c r="C1803" i="9"/>
  <c r="C1802" i="9"/>
  <c r="C1801" i="9"/>
  <c r="D1800" i="9"/>
  <c r="C1800" i="9"/>
  <c r="D1799" i="9"/>
  <c r="C1799" i="9"/>
  <c r="C1798" i="9"/>
  <c r="D1797" i="9"/>
  <c r="C1797" i="9"/>
  <c r="C1796" i="9"/>
  <c r="D1795" i="9"/>
  <c r="C1795" i="9"/>
  <c r="C1794" i="9"/>
  <c r="D1793" i="9"/>
  <c r="C1793" i="9"/>
  <c r="D1792" i="9"/>
  <c r="C1792" i="9"/>
  <c r="C1791" i="9"/>
  <c r="C1790" i="9"/>
  <c r="D1789" i="9"/>
  <c r="C1789" i="9"/>
  <c r="D1788" i="9"/>
  <c r="C1788" i="9"/>
  <c r="D1787" i="9"/>
  <c r="C1787" i="9"/>
  <c r="D1786" i="9"/>
  <c r="C1786" i="9"/>
  <c r="D1785" i="9"/>
  <c r="C1785" i="9"/>
  <c r="D1784" i="9"/>
  <c r="C1784" i="9"/>
  <c r="D1783" i="9"/>
  <c r="C1783" i="9"/>
  <c r="D1782" i="9"/>
  <c r="C1782" i="9"/>
  <c r="C1781" i="9"/>
  <c r="D1780" i="9"/>
  <c r="C1780" i="9"/>
  <c r="C1779" i="9"/>
  <c r="D1778" i="9"/>
  <c r="C1778" i="9"/>
  <c r="D1777" i="9"/>
  <c r="C1777" i="9"/>
  <c r="D1776" i="9"/>
  <c r="C1776" i="9"/>
  <c r="D1775" i="9"/>
  <c r="C1775" i="9"/>
  <c r="D1774" i="9"/>
  <c r="C1774" i="9"/>
  <c r="D1773" i="9"/>
  <c r="C1773" i="9"/>
  <c r="D1772" i="9"/>
  <c r="C1772" i="9"/>
  <c r="D1771" i="9"/>
  <c r="C1771" i="9"/>
  <c r="C1770" i="9"/>
  <c r="D1769" i="9"/>
  <c r="C1769" i="9"/>
  <c r="D1768" i="9"/>
  <c r="C1768" i="9"/>
  <c r="D1767" i="9"/>
  <c r="C1767" i="9"/>
  <c r="D1766" i="9"/>
  <c r="C1766" i="9"/>
  <c r="D1765" i="9"/>
  <c r="C1765" i="9"/>
  <c r="D1764" i="9"/>
  <c r="C1764" i="9"/>
  <c r="D1763" i="9"/>
  <c r="C1763" i="9"/>
  <c r="D1762" i="9"/>
  <c r="C1762" i="9"/>
  <c r="D1761" i="9"/>
  <c r="C1761" i="9"/>
  <c r="D1760" i="9"/>
  <c r="C1760" i="9"/>
  <c r="D1759" i="9"/>
  <c r="C1759" i="9"/>
  <c r="D1758" i="9"/>
  <c r="C1758" i="9"/>
  <c r="C1757" i="9"/>
  <c r="D1756" i="9"/>
  <c r="C1756" i="9"/>
  <c r="D1755" i="9"/>
  <c r="C1755" i="9"/>
  <c r="C1754" i="9"/>
  <c r="D1753" i="9"/>
  <c r="C1753" i="9"/>
  <c r="D1752" i="9"/>
  <c r="C1752" i="9"/>
  <c r="D1751" i="9"/>
  <c r="C1751" i="9"/>
  <c r="C1750" i="9"/>
  <c r="D1749" i="9"/>
  <c r="C1749" i="9"/>
  <c r="D1748" i="9"/>
  <c r="C1748" i="9"/>
  <c r="D1747" i="9"/>
  <c r="C1747" i="9"/>
  <c r="D1746" i="9"/>
  <c r="C1746" i="9"/>
  <c r="D1745" i="9"/>
  <c r="C1745" i="9"/>
  <c r="D1744" i="9"/>
  <c r="C1744" i="9"/>
  <c r="D1743" i="9"/>
  <c r="C1743" i="9"/>
  <c r="C1742" i="9"/>
  <c r="C1741" i="9"/>
  <c r="C1740" i="9"/>
  <c r="C1739" i="9"/>
  <c r="D1738" i="9"/>
  <c r="C1738" i="9"/>
  <c r="D1737" i="9"/>
  <c r="C1737" i="9"/>
  <c r="D1736" i="9"/>
  <c r="C1736" i="9"/>
  <c r="C1735" i="9"/>
  <c r="D1734" i="9"/>
  <c r="C1734" i="9"/>
  <c r="D1733" i="9"/>
  <c r="C1733" i="9"/>
  <c r="D1732" i="9"/>
  <c r="C1732" i="9"/>
  <c r="D1731" i="9"/>
  <c r="C1731" i="9"/>
  <c r="D1730" i="9"/>
  <c r="C1730" i="9"/>
  <c r="D1729" i="9"/>
  <c r="C1729" i="9"/>
  <c r="D1728" i="9"/>
  <c r="C1728" i="9"/>
  <c r="D1727" i="9"/>
  <c r="C1727" i="9"/>
  <c r="D1726" i="9"/>
  <c r="C1726" i="9"/>
  <c r="C1725" i="9"/>
  <c r="D1724" i="9"/>
  <c r="C1724" i="9"/>
  <c r="D1723" i="9"/>
  <c r="C1723" i="9"/>
  <c r="C1722" i="9"/>
  <c r="D1721" i="9"/>
  <c r="C1721" i="9"/>
  <c r="D1720" i="9"/>
  <c r="C1720" i="9"/>
  <c r="D1719" i="9"/>
  <c r="C1719" i="9"/>
  <c r="D1718" i="9"/>
  <c r="C1718" i="9"/>
  <c r="D1717" i="9"/>
  <c r="C1717" i="9"/>
  <c r="D1716" i="9"/>
  <c r="C1716" i="9"/>
  <c r="D1715" i="9"/>
  <c r="C1715" i="9"/>
  <c r="C1714" i="9"/>
  <c r="D1713" i="9"/>
  <c r="C1713" i="9"/>
  <c r="D1712" i="9"/>
  <c r="C1712" i="9"/>
  <c r="C1711" i="9"/>
  <c r="D1710" i="9"/>
  <c r="C1710" i="9"/>
  <c r="D1709" i="9"/>
  <c r="C1709" i="9"/>
  <c r="D1708" i="9"/>
  <c r="C1708" i="9"/>
  <c r="D1707" i="9"/>
  <c r="C1707" i="9"/>
  <c r="D1706" i="9"/>
  <c r="C1706" i="9"/>
  <c r="D1705" i="9"/>
  <c r="C1705" i="9"/>
  <c r="D1704" i="9"/>
  <c r="C1704" i="9"/>
  <c r="C1703" i="9"/>
  <c r="C1702" i="9"/>
  <c r="D1701" i="9"/>
  <c r="C1701" i="9"/>
  <c r="C1700" i="9"/>
  <c r="D1699" i="9"/>
  <c r="C1699" i="9"/>
  <c r="C1698" i="9"/>
  <c r="D1697" i="9"/>
  <c r="C1697" i="9"/>
  <c r="D1696" i="9"/>
  <c r="C1696" i="9"/>
  <c r="D1695" i="9"/>
  <c r="C1695" i="9"/>
  <c r="D1694" i="9"/>
  <c r="C1694" i="9"/>
  <c r="D1693" i="9"/>
  <c r="C1693" i="9"/>
  <c r="D1692" i="9"/>
  <c r="C1692" i="9"/>
  <c r="D1691" i="9"/>
  <c r="C1691" i="9"/>
  <c r="D1690" i="9"/>
  <c r="C1690" i="9"/>
  <c r="C1689" i="9"/>
  <c r="D1688" i="9"/>
  <c r="C1688" i="9"/>
  <c r="D1687" i="9"/>
  <c r="C1687" i="9"/>
  <c r="D1686" i="9"/>
  <c r="C1686" i="9"/>
  <c r="D1685" i="9"/>
  <c r="C1685" i="9"/>
  <c r="D1684" i="9"/>
  <c r="C1684" i="9"/>
  <c r="D1683" i="9"/>
  <c r="C1683" i="9"/>
  <c r="D1682" i="9"/>
  <c r="C1682" i="9"/>
  <c r="D1681" i="9"/>
  <c r="C1681" i="9"/>
  <c r="D1680" i="9"/>
  <c r="C1680" i="9"/>
  <c r="D1679" i="9"/>
  <c r="C1679" i="9"/>
  <c r="C1678" i="9"/>
  <c r="D1677" i="9"/>
  <c r="C1677" i="9"/>
  <c r="D1676" i="9"/>
  <c r="C1676" i="9"/>
  <c r="D1675" i="9"/>
  <c r="C1675" i="9"/>
  <c r="D1674" i="9"/>
  <c r="C1674" i="9"/>
  <c r="C1673" i="9"/>
  <c r="C1672" i="9"/>
  <c r="D1671" i="9"/>
  <c r="C1671" i="9"/>
  <c r="D1670" i="9"/>
  <c r="C1670" i="9"/>
  <c r="D1669" i="9"/>
  <c r="C1669" i="9"/>
  <c r="D1668" i="9"/>
  <c r="C1668" i="9"/>
  <c r="D1667" i="9"/>
  <c r="C1667" i="9"/>
  <c r="C1666" i="9"/>
  <c r="D1665" i="9"/>
  <c r="C1665" i="9"/>
  <c r="D1664" i="9"/>
  <c r="C1664" i="9"/>
  <c r="D1663" i="9"/>
  <c r="C1663" i="9"/>
  <c r="D1662" i="9"/>
  <c r="C1662" i="9"/>
  <c r="D1661" i="9"/>
  <c r="C1661" i="9"/>
  <c r="C1660" i="9"/>
  <c r="D1659" i="9"/>
  <c r="C1659" i="9"/>
  <c r="D1658" i="9"/>
  <c r="C1658" i="9"/>
  <c r="D1657" i="9"/>
  <c r="C1657" i="9"/>
  <c r="D1656" i="9"/>
  <c r="C1656" i="9"/>
  <c r="D1655" i="9"/>
  <c r="C1655" i="9"/>
  <c r="D1654" i="9"/>
  <c r="C1654" i="9"/>
  <c r="C1653" i="9"/>
  <c r="D1652" i="9"/>
  <c r="C1652" i="9"/>
  <c r="C1651" i="9"/>
  <c r="D1650" i="9"/>
  <c r="C1650" i="9"/>
  <c r="D1649" i="9"/>
  <c r="C1649" i="9"/>
  <c r="D1648" i="9"/>
  <c r="C1648" i="9"/>
  <c r="D1647" i="9"/>
  <c r="C1647" i="9"/>
  <c r="D1646" i="9"/>
  <c r="C1646" i="9"/>
  <c r="D1645" i="9"/>
  <c r="C1645" i="9"/>
  <c r="D1644" i="9"/>
  <c r="C1644" i="9"/>
  <c r="D1643" i="9"/>
  <c r="C1643" i="9"/>
  <c r="D1642" i="9"/>
  <c r="C1642" i="9"/>
  <c r="D1641" i="9"/>
  <c r="C1641" i="9"/>
  <c r="D1640" i="9"/>
  <c r="C1640" i="9"/>
  <c r="D1639" i="9"/>
  <c r="C1639" i="9"/>
  <c r="D1638" i="9"/>
  <c r="C1638" i="9"/>
  <c r="D1637" i="9"/>
  <c r="C1637" i="9"/>
  <c r="D1636" i="9"/>
  <c r="C1636" i="9"/>
  <c r="D1635" i="9"/>
  <c r="C1635" i="9"/>
  <c r="D1634" i="9"/>
  <c r="C1634" i="9"/>
  <c r="D1633" i="9"/>
  <c r="C1633" i="9"/>
  <c r="C1632" i="9"/>
  <c r="D1631" i="9"/>
  <c r="C1631" i="9"/>
  <c r="D1630" i="9"/>
  <c r="C1630" i="9"/>
  <c r="C1629" i="9"/>
  <c r="D1628" i="9"/>
  <c r="C1628" i="9"/>
  <c r="D1627" i="9"/>
  <c r="C1627" i="9"/>
  <c r="C1626" i="9"/>
  <c r="D1625" i="9"/>
  <c r="C1625" i="9"/>
  <c r="C1624" i="9"/>
  <c r="C1623" i="9"/>
  <c r="D1622" i="9"/>
  <c r="C1622" i="9"/>
  <c r="C1621" i="9"/>
  <c r="D1620" i="9"/>
  <c r="C1620" i="9"/>
  <c r="D1619" i="9"/>
  <c r="C1619" i="9"/>
  <c r="D1618" i="9"/>
  <c r="C1618" i="9"/>
  <c r="D1617" i="9"/>
  <c r="C1617" i="9"/>
  <c r="D1616" i="9"/>
  <c r="C1616" i="9"/>
  <c r="D1615" i="9"/>
  <c r="C1615" i="9"/>
  <c r="C1614" i="9"/>
  <c r="D1613" i="9"/>
  <c r="C1613" i="9"/>
  <c r="D1612" i="9"/>
  <c r="C1612" i="9"/>
  <c r="D1611" i="9"/>
  <c r="C1611" i="9"/>
  <c r="D1610" i="9"/>
  <c r="C1610" i="9"/>
  <c r="D1609" i="9"/>
  <c r="C1609" i="9"/>
  <c r="D1608" i="9"/>
  <c r="C1608" i="9"/>
  <c r="D1607" i="9"/>
  <c r="C1607" i="9"/>
  <c r="D1606" i="9"/>
  <c r="C1606" i="9"/>
  <c r="D1605" i="9"/>
  <c r="C1605" i="9"/>
  <c r="C1604" i="9"/>
  <c r="D1603" i="9"/>
  <c r="C1603" i="9"/>
  <c r="C1602" i="9"/>
  <c r="D1601" i="9"/>
  <c r="C1601" i="9"/>
  <c r="D1600" i="9"/>
  <c r="C1600" i="9"/>
  <c r="D1599" i="9"/>
  <c r="C1599" i="9"/>
  <c r="D1598" i="9"/>
  <c r="C1598" i="9"/>
  <c r="D1597" i="9"/>
  <c r="C1597" i="9"/>
  <c r="D1596" i="9"/>
  <c r="C1596" i="9"/>
  <c r="D1595" i="9"/>
  <c r="C1595" i="9"/>
  <c r="D1594" i="9"/>
  <c r="C1594" i="9"/>
  <c r="D1593" i="9"/>
  <c r="C1593" i="9"/>
  <c r="D1592" i="9"/>
  <c r="C1592" i="9"/>
  <c r="D1591" i="9"/>
  <c r="C1591" i="9"/>
  <c r="D1590" i="9"/>
  <c r="C1590" i="9"/>
  <c r="D1589" i="9"/>
  <c r="C1589" i="9"/>
  <c r="D1588" i="9"/>
  <c r="C1588" i="9"/>
  <c r="D1587" i="9"/>
  <c r="C1587" i="9"/>
  <c r="D1586" i="9"/>
  <c r="C1586" i="9"/>
  <c r="C1585" i="9"/>
  <c r="D1584" i="9"/>
  <c r="C1584" i="9"/>
  <c r="C1583" i="9"/>
  <c r="D1582" i="9"/>
  <c r="C1582" i="9"/>
  <c r="D1581" i="9"/>
  <c r="C1581" i="9"/>
  <c r="D1580" i="9"/>
  <c r="C1580" i="9"/>
  <c r="D1579" i="9"/>
  <c r="C1579" i="9"/>
  <c r="D1578" i="9"/>
  <c r="C1578" i="9"/>
  <c r="D1577" i="9"/>
  <c r="C1577" i="9"/>
  <c r="D1576" i="9"/>
  <c r="C1576" i="9"/>
  <c r="C1575" i="9"/>
  <c r="C1574" i="9"/>
  <c r="D1573" i="9"/>
  <c r="C1573" i="9"/>
  <c r="D1572" i="9"/>
  <c r="C1572" i="9"/>
  <c r="D1571" i="9"/>
  <c r="C1571" i="9"/>
  <c r="D1570" i="9"/>
  <c r="C1570" i="9"/>
  <c r="C1569" i="9"/>
  <c r="D1568" i="9"/>
  <c r="C1568" i="9"/>
  <c r="D1567" i="9"/>
  <c r="C1567" i="9"/>
  <c r="C1566" i="9"/>
  <c r="D1565" i="9"/>
  <c r="C1565" i="9"/>
  <c r="D1564" i="9"/>
  <c r="C1564" i="9"/>
  <c r="D1563" i="9"/>
  <c r="C1563" i="9"/>
  <c r="D1562" i="9"/>
  <c r="C1562" i="9"/>
  <c r="D1561" i="9"/>
  <c r="C1561" i="9"/>
  <c r="C1560" i="9"/>
  <c r="C1559" i="9"/>
  <c r="D1558" i="9"/>
  <c r="C1558" i="9"/>
  <c r="D1557" i="9"/>
  <c r="C1557" i="9"/>
  <c r="D1556" i="9"/>
  <c r="C1556" i="9"/>
  <c r="C1555" i="9"/>
  <c r="D1554" i="9"/>
  <c r="C1554" i="9"/>
  <c r="D1553" i="9"/>
  <c r="C1553" i="9"/>
  <c r="D1552" i="9"/>
  <c r="C1552" i="9"/>
  <c r="C1551" i="9"/>
  <c r="D1550" i="9"/>
  <c r="C1550" i="9"/>
  <c r="D1549" i="9"/>
  <c r="C1549" i="9"/>
  <c r="D1548" i="9"/>
  <c r="C1548" i="9"/>
  <c r="D1547" i="9"/>
  <c r="C1547" i="9"/>
  <c r="D1546" i="9"/>
  <c r="C1546" i="9"/>
  <c r="D1545" i="9"/>
  <c r="C1545" i="9"/>
  <c r="D1544" i="9"/>
  <c r="C1544" i="9"/>
  <c r="D1543" i="9"/>
  <c r="C1543" i="9"/>
  <c r="D1542" i="9"/>
  <c r="C1542" i="9"/>
  <c r="D1541" i="9"/>
  <c r="C1541" i="9"/>
  <c r="D1540" i="9"/>
  <c r="C1540" i="9"/>
  <c r="D1539" i="9"/>
  <c r="C1539" i="9"/>
  <c r="D1538" i="9"/>
  <c r="C1538" i="9"/>
  <c r="D1537" i="9"/>
  <c r="C1537" i="9"/>
  <c r="D1536" i="9"/>
  <c r="C1536" i="9"/>
  <c r="D1535" i="9"/>
  <c r="C1535" i="9"/>
  <c r="D1534" i="9"/>
  <c r="C1534" i="9"/>
  <c r="D1533" i="9"/>
  <c r="C1533" i="9"/>
  <c r="D1532" i="9"/>
  <c r="C1532" i="9"/>
  <c r="D1531" i="9"/>
  <c r="C1531" i="9"/>
  <c r="D1530" i="9"/>
  <c r="C1530" i="9"/>
  <c r="C1529" i="9"/>
  <c r="D1528" i="9"/>
  <c r="C1528" i="9"/>
  <c r="D1527" i="9"/>
  <c r="C1527" i="9"/>
  <c r="D1526" i="9"/>
  <c r="C1526" i="9"/>
  <c r="D1525" i="9"/>
  <c r="C1525" i="9"/>
  <c r="C1524" i="9"/>
  <c r="D1523" i="9"/>
  <c r="C1523" i="9"/>
  <c r="D1522" i="9"/>
  <c r="C1522" i="9"/>
  <c r="D1521" i="9"/>
  <c r="C1521" i="9"/>
  <c r="C1520" i="9"/>
  <c r="D1519" i="9"/>
  <c r="C1519" i="9"/>
  <c r="D1518" i="9"/>
  <c r="C1518" i="9"/>
  <c r="C1517" i="9"/>
  <c r="D1516" i="9"/>
  <c r="C1516" i="9"/>
  <c r="C1515" i="9"/>
  <c r="C1514" i="9"/>
  <c r="D1513" i="9"/>
  <c r="C1513" i="9"/>
  <c r="D1512" i="9"/>
  <c r="C1512" i="9"/>
  <c r="D1511" i="9"/>
  <c r="C1511" i="9"/>
  <c r="D1510" i="9"/>
  <c r="C1510" i="9"/>
  <c r="D1509" i="9"/>
  <c r="C1509" i="9"/>
  <c r="D1508" i="9"/>
  <c r="C1508" i="9"/>
  <c r="D1507" i="9"/>
  <c r="C1507" i="9"/>
  <c r="D1506" i="9"/>
  <c r="C1506" i="9"/>
  <c r="D1505" i="9"/>
  <c r="C1505" i="9"/>
  <c r="D1504" i="9"/>
  <c r="C1504" i="9"/>
  <c r="D1503" i="9"/>
  <c r="C1503" i="9"/>
  <c r="D1502" i="9"/>
  <c r="C1502" i="9"/>
  <c r="D1501" i="9"/>
  <c r="C1501" i="9"/>
  <c r="C1500" i="9"/>
  <c r="D1499" i="9"/>
  <c r="C1499" i="9"/>
  <c r="D1498" i="9"/>
  <c r="C1498" i="9"/>
  <c r="D1497" i="9"/>
  <c r="C1497" i="9"/>
  <c r="D1496" i="9"/>
  <c r="C1496" i="9"/>
  <c r="D1495" i="9"/>
  <c r="C1495" i="9"/>
  <c r="C1494" i="9"/>
  <c r="D1493" i="9"/>
  <c r="C1493" i="9"/>
  <c r="C1492" i="9"/>
  <c r="D1491" i="9"/>
  <c r="C1491" i="9"/>
  <c r="C1490" i="9"/>
  <c r="D1489" i="9"/>
  <c r="C1489" i="9"/>
  <c r="D1488" i="9"/>
  <c r="C1488" i="9"/>
  <c r="D1487" i="9"/>
  <c r="C1487" i="9"/>
  <c r="D1486" i="9"/>
  <c r="C1486" i="9"/>
  <c r="D1485" i="9"/>
  <c r="C1485" i="9"/>
  <c r="D1484" i="9"/>
  <c r="C1484" i="9"/>
  <c r="D1483" i="9"/>
  <c r="C1483" i="9"/>
  <c r="C1482" i="9"/>
  <c r="D1481" i="9"/>
  <c r="C1481" i="9"/>
  <c r="D1480" i="9"/>
  <c r="C1480" i="9"/>
  <c r="D1479" i="9"/>
  <c r="C1479" i="9"/>
  <c r="D1478" i="9"/>
  <c r="C1478" i="9"/>
  <c r="D1477" i="9"/>
  <c r="C1477" i="9"/>
  <c r="D1476" i="9"/>
  <c r="C1476" i="9"/>
  <c r="C1475" i="9"/>
  <c r="C1474" i="9"/>
  <c r="D1473" i="9"/>
  <c r="C1473" i="9"/>
  <c r="D1472" i="9"/>
  <c r="C1472" i="9"/>
  <c r="C1471" i="9"/>
  <c r="C1470" i="9"/>
  <c r="D1469" i="9"/>
  <c r="C1469" i="9"/>
  <c r="D1468" i="9"/>
  <c r="C1468" i="9"/>
  <c r="D1467" i="9"/>
  <c r="C1467" i="9"/>
  <c r="D1466" i="9"/>
  <c r="C1466" i="9"/>
  <c r="D1465" i="9"/>
  <c r="C1465" i="9"/>
  <c r="D1464" i="9"/>
  <c r="C1464" i="9"/>
  <c r="D1463" i="9"/>
  <c r="C1463" i="9"/>
  <c r="D1462" i="9"/>
  <c r="C1462" i="9"/>
  <c r="D1461" i="9"/>
  <c r="C1461" i="9"/>
  <c r="D1460" i="9"/>
  <c r="C1460" i="9"/>
  <c r="D1459" i="9"/>
  <c r="C1459" i="9"/>
  <c r="D1458" i="9"/>
  <c r="C1458" i="9"/>
  <c r="D1457" i="9"/>
  <c r="C1457" i="9"/>
  <c r="D1456" i="9"/>
  <c r="C1456" i="9"/>
  <c r="D1455" i="9"/>
  <c r="C1455" i="9"/>
  <c r="D1454" i="9"/>
  <c r="C1454" i="9"/>
  <c r="C1453" i="9"/>
  <c r="D1452" i="9"/>
  <c r="C1452" i="9"/>
  <c r="D1451" i="9"/>
  <c r="C1451" i="9"/>
  <c r="D1450" i="9"/>
  <c r="C1450" i="9"/>
  <c r="C1449" i="9"/>
  <c r="D1448" i="9"/>
  <c r="C1448" i="9"/>
  <c r="D1447" i="9"/>
  <c r="C1447" i="9"/>
  <c r="D1446" i="9"/>
  <c r="C1446" i="9"/>
  <c r="D1445" i="9"/>
  <c r="C1445" i="9"/>
  <c r="D1444" i="9"/>
  <c r="C1444" i="9"/>
  <c r="C1443" i="9"/>
  <c r="C1442" i="9"/>
  <c r="D1441" i="9"/>
  <c r="C1441" i="9"/>
  <c r="C1440" i="9"/>
  <c r="D1439" i="9"/>
  <c r="C1439" i="9"/>
  <c r="D1438" i="9"/>
  <c r="C1438" i="9"/>
  <c r="D1437" i="9"/>
  <c r="C1437" i="9"/>
  <c r="D1436" i="9"/>
  <c r="C1436" i="9"/>
  <c r="D1435" i="9"/>
  <c r="C1435" i="9"/>
  <c r="D1434" i="9"/>
  <c r="C1434" i="9"/>
  <c r="D1433" i="9"/>
  <c r="C1433" i="9"/>
  <c r="C1432" i="9"/>
  <c r="D1431" i="9"/>
  <c r="C1431" i="9"/>
  <c r="D1430" i="9"/>
  <c r="C1430" i="9"/>
  <c r="D1429" i="9"/>
  <c r="C1429" i="9"/>
  <c r="C1428" i="9"/>
  <c r="D1427" i="9"/>
  <c r="C1427" i="9"/>
  <c r="D1426" i="9"/>
  <c r="C1426" i="9"/>
  <c r="C1425" i="9"/>
  <c r="D1424" i="9"/>
  <c r="C1424" i="9"/>
  <c r="D1423" i="9"/>
  <c r="C1423" i="9"/>
  <c r="D1422" i="9"/>
  <c r="C1422" i="9"/>
  <c r="D1421" i="9"/>
  <c r="C1421" i="9"/>
  <c r="C1420" i="9"/>
  <c r="D1419" i="9"/>
  <c r="C1419" i="9"/>
  <c r="D1418" i="9"/>
  <c r="C1418" i="9"/>
  <c r="D1417" i="9"/>
  <c r="C1417" i="9"/>
  <c r="C1416" i="9"/>
  <c r="D1415" i="9"/>
  <c r="C1415" i="9"/>
  <c r="D1414" i="9"/>
  <c r="C1414" i="9"/>
  <c r="D1413" i="9"/>
  <c r="C1413" i="9"/>
  <c r="D1412" i="9"/>
  <c r="C1412" i="9"/>
  <c r="C1411" i="9"/>
  <c r="D1410" i="9"/>
  <c r="C1410" i="9"/>
  <c r="D1409" i="9"/>
  <c r="C1409" i="9"/>
  <c r="C1408" i="9"/>
  <c r="C1407" i="9"/>
  <c r="D1406" i="9"/>
  <c r="C1406" i="9"/>
  <c r="C1405" i="9"/>
  <c r="D1404" i="9"/>
  <c r="C1404" i="9"/>
  <c r="D1403" i="9"/>
  <c r="C1403" i="9"/>
  <c r="C1402" i="9"/>
  <c r="D1401" i="9"/>
  <c r="C1401" i="9"/>
  <c r="D1400" i="9"/>
  <c r="C1400" i="9"/>
  <c r="D1399" i="9"/>
  <c r="C1399" i="9"/>
  <c r="D1398" i="9"/>
  <c r="C1398" i="9"/>
  <c r="D1397" i="9"/>
  <c r="C1397" i="9"/>
  <c r="D1396" i="9"/>
  <c r="C1396" i="9"/>
  <c r="D1395" i="9"/>
  <c r="C1395" i="9"/>
  <c r="D1394" i="9"/>
  <c r="C1394" i="9"/>
  <c r="C1393" i="9"/>
  <c r="D1392" i="9"/>
  <c r="C1392" i="9"/>
  <c r="D1391" i="9"/>
  <c r="C1391" i="9"/>
  <c r="D1390" i="9"/>
  <c r="C1390" i="9"/>
  <c r="D1389" i="9"/>
  <c r="C1389" i="9"/>
  <c r="D1388" i="9"/>
  <c r="C1388" i="9"/>
  <c r="D1387" i="9"/>
  <c r="C1387" i="9"/>
  <c r="D1386" i="9"/>
  <c r="C1386" i="9"/>
  <c r="C1385" i="9"/>
  <c r="D1384" i="9"/>
  <c r="C1384" i="9"/>
  <c r="C1383" i="9"/>
  <c r="D1382" i="9"/>
  <c r="C1382" i="9"/>
  <c r="C1381" i="9"/>
  <c r="D1380" i="9"/>
  <c r="C1380" i="9"/>
  <c r="D1379" i="9"/>
  <c r="C1379" i="9"/>
  <c r="D1378" i="9"/>
  <c r="C1378" i="9"/>
  <c r="D1377" i="9"/>
  <c r="C1377" i="9"/>
  <c r="C1376" i="9"/>
  <c r="C1375" i="9"/>
  <c r="D1374" i="9"/>
  <c r="C1374" i="9"/>
  <c r="D1373" i="9"/>
  <c r="C1373" i="9"/>
  <c r="D1372" i="9"/>
  <c r="C1372" i="9"/>
  <c r="D1371" i="9"/>
  <c r="C1371" i="9"/>
  <c r="D1370" i="9"/>
  <c r="C1370" i="9"/>
  <c r="D1369" i="9"/>
  <c r="C1369" i="9"/>
  <c r="D1368" i="9"/>
  <c r="C1368" i="9"/>
  <c r="D1367" i="9"/>
  <c r="C1367" i="9"/>
  <c r="D1366" i="9"/>
  <c r="C1366" i="9"/>
  <c r="D1365" i="9"/>
  <c r="C1365" i="9"/>
  <c r="D1364" i="9"/>
  <c r="C1364" i="9"/>
  <c r="D1363" i="9"/>
  <c r="C1363" i="9"/>
  <c r="D1362" i="9"/>
  <c r="C1362" i="9"/>
  <c r="D1361" i="9"/>
  <c r="C1361" i="9"/>
  <c r="D1360" i="9"/>
  <c r="C1360" i="9"/>
  <c r="D1359" i="9"/>
  <c r="C1359" i="9"/>
  <c r="D1358" i="9"/>
  <c r="C1358" i="9"/>
  <c r="D1357" i="9"/>
  <c r="C1357" i="9"/>
  <c r="D1356" i="9"/>
  <c r="C1356" i="9"/>
  <c r="D1355" i="9"/>
  <c r="C1355" i="9"/>
  <c r="D1354" i="9"/>
  <c r="C1354" i="9"/>
  <c r="D1353" i="9"/>
  <c r="C1353" i="9"/>
  <c r="D1352" i="9"/>
  <c r="C1352" i="9"/>
  <c r="C1351" i="9"/>
  <c r="D1350" i="9"/>
  <c r="C1350" i="9"/>
  <c r="D1349" i="9"/>
  <c r="C1349" i="9"/>
  <c r="D1348" i="9"/>
  <c r="C1348" i="9"/>
  <c r="C1347" i="9"/>
  <c r="D1346" i="9"/>
  <c r="C1346" i="9"/>
  <c r="C1345" i="9"/>
  <c r="D1344" i="9"/>
  <c r="C1344" i="9"/>
  <c r="C1343" i="9"/>
  <c r="D1342" i="9"/>
  <c r="C1342" i="9"/>
  <c r="D1341" i="9"/>
  <c r="C1341" i="9"/>
  <c r="D1340" i="9"/>
  <c r="C1340" i="9"/>
  <c r="D1339" i="9"/>
  <c r="C1339" i="9"/>
  <c r="D1338" i="9"/>
  <c r="C1338" i="9"/>
  <c r="D1337" i="9"/>
  <c r="C1337" i="9"/>
  <c r="D1336" i="9"/>
  <c r="C1336" i="9"/>
  <c r="C1335" i="9"/>
  <c r="D1334" i="9"/>
  <c r="C1334" i="9"/>
  <c r="D1333" i="9"/>
  <c r="C1333" i="9"/>
  <c r="D1332" i="9"/>
  <c r="C1332" i="9"/>
  <c r="D1331" i="9"/>
  <c r="C1331" i="9"/>
  <c r="D1330" i="9"/>
  <c r="C1330" i="9"/>
  <c r="D1329" i="9"/>
  <c r="C1329" i="9"/>
  <c r="D1328" i="9"/>
  <c r="C1328" i="9"/>
  <c r="D1327" i="9"/>
  <c r="C1327" i="9"/>
  <c r="D1326" i="9"/>
  <c r="C1326" i="9"/>
  <c r="C1325" i="9"/>
  <c r="D1324" i="9"/>
  <c r="C1324" i="9"/>
  <c r="D1323" i="9"/>
  <c r="C1323" i="9"/>
  <c r="D1322" i="9"/>
  <c r="C1322" i="9"/>
  <c r="D1321" i="9"/>
  <c r="C1321" i="9"/>
  <c r="D1320" i="9"/>
  <c r="C1320" i="9"/>
  <c r="D1319" i="9"/>
  <c r="C1319" i="9"/>
  <c r="D1318" i="9"/>
  <c r="C1318" i="9"/>
  <c r="D1317" i="9"/>
  <c r="C1317" i="9"/>
  <c r="D1316" i="9"/>
  <c r="C1316" i="9"/>
  <c r="D1315" i="9"/>
  <c r="C1315" i="9"/>
  <c r="D1314" i="9"/>
  <c r="C1314" i="9"/>
  <c r="D1313" i="9"/>
  <c r="C1313" i="9"/>
  <c r="D1312" i="9"/>
  <c r="C1312" i="9"/>
  <c r="D1311" i="9"/>
  <c r="C1311" i="9"/>
  <c r="C1310" i="9"/>
  <c r="C1309" i="9"/>
  <c r="C1308" i="9"/>
  <c r="C1307" i="9"/>
  <c r="D1306" i="9"/>
  <c r="C1306" i="9"/>
  <c r="D1305" i="9"/>
  <c r="C1305" i="9"/>
  <c r="D1304" i="9"/>
  <c r="C1304" i="9"/>
  <c r="D1303" i="9"/>
  <c r="C1303" i="9"/>
  <c r="D1302" i="9"/>
  <c r="C1302" i="9"/>
  <c r="D1301" i="9"/>
  <c r="C1301" i="9"/>
  <c r="C1300" i="9"/>
  <c r="D1299" i="9"/>
  <c r="C1299" i="9"/>
  <c r="D1298" i="9"/>
  <c r="C1298" i="9"/>
  <c r="D1297" i="9"/>
  <c r="C1297" i="9"/>
  <c r="C1296" i="9"/>
  <c r="D1295" i="9"/>
  <c r="C1295" i="9"/>
  <c r="D1294" i="9"/>
  <c r="C1294" i="9"/>
  <c r="D1293" i="9"/>
  <c r="C1293" i="9"/>
  <c r="C1292" i="9"/>
  <c r="D1291" i="9"/>
  <c r="C1291" i="9"/>
  <c r="C1290" i="9"/>
  <c r="D1289" i="9"/>
  <c r="C1289" i="9"/>
  <c r="D1288" i="9"/>
  <c r="C1288" i="9"/>
  <c r="D1287" i="9"/>
  <c r="C1287" i="9"/>
  <c r="C1286" i="9"/>
  <c r="D1285" i="9"/>
  <c r="C1285" i="9"/>
  <c r="C1284" i="9"/>
  <c r="D1283" i="9"/>
  <c r="C1283" i="9"/>
  <c r="C1282" i="9"/>
  <c r="C1281" i="9"/>
  <c r="D1280" i="9"/>
  <c r="C1280" i="9"/>
  <c r="D1279" i="9"/>
  <c r="C1279" i="9"/>
  <c r="D1278" i="9"/>
  <c r="C1278" i="9"/>
  <c r="D1277" i="9"/>
  <c r="C1277" i="9"/>
  <c r="D1276" i="9"/>
  <c r="C1276" i="9"/>
  <c r="D1275" i="9"/>
  <c r="C1275" i="9"/>
  <c r="D1274" i="9"/>
  <c r="C1274" i="9"/>
  <c r="D1273" i="9"/>
  <c r="C1273" i="9"/>
  <c r="D1272" i="9"/>
  <c r="C1272" i="9"/>
  <c r="D1271" i="9"/>
  <c r="C1271" i="9"/>
  <c r="D1270" i="9"/>
  <c r="C1270" i="9"/>
  <c r="D1269" i="9"/>
  <c r="C1269" i="9"/>
  <c r="D1268" i="9"/>
  <c r="C1268" i="9"/>
  <c r="C1267" i="9"/>
  <c r="D1266" i="9"/>
  <c r="C1266" i="9"/>
  <c r="D1265" i="9"/>
  <c r="C1265" i="9"/>
  <c r="D1264" i="9"/>
  <c r="C1264" i="9"/>
  <c r="C1263" i="9"/>
  <c r="D1262" i="9"/>
  <c r="C1262" i="9"/>
  <c r="C1261" i="9"/>
  <c r="D1260" i="9"/>
  <c r="C1260" i="9"/>
  <c r="D1259" i="9"/>
  <c r="C1259" i="9"/>
  <c r="D1258" i="9"/>
  <c r="C1258" i="9"/>
  <c r="D1257" i="9"/>
  <c r="C1257" i="9"/>
  <c r="C1256" i="9"/>
  <c r="D1255" i="9"/>
  <c r="C1255" i="9"/>
  <c r="D1254" i="9"/>
  <c r="C1254" i="9"/>
  <c r="D1253" i="9"/>
  <c r="C1253" i="9"/>
  <c r="D1252" i="9"/>
  <c r="C1252" i="9"/>
  <c r="D1251" i="9"/>
  <c r="C1251" i="9"/>
  <c r="D1250" i="9"/>
  <c r="C1250" i="9"/>
  <c r="D1249" i="9"/>
  <c r="C1249" i="9"/>
  <c r="D1248" i="9"/>
  <c r="C1248" i="9"/>
  <c r="D1247" i="9"/>
  <c r="C1247" i="9"/>
  <c r="D1246" i="9"/>
  <c r="C1246" i="9"/>
  <c r="D1245" i="9"/>
  <c r="C1245" i="9"/>
  <c r="D1244" i="9"/>
  <c r="C1244" i="9"/>
  <c r="D1243" i="9"/>
  <c r="C1243" i="9"/>
  <c r="D1242" i="9"/>
  <c r="C1242" i="9"/>
  <c r="D1241" i="9"/>
  <c r="C1241" i="9"/>
  <c r="D1240" i="9"/>
  <c r="C1240" i="9"/>
  <c r="C1239" i="9"/>
  <c r="D1238" i="9"/>
  <c r="C1238" i="9"/>
  <c r="D1237" i="9"/>
  <c r="C1237" i="9"/>
  <c r="D1236" i="9"/>
  <c r="C1236" i="9"/>
  <c r="D1235" i="9"/>
  <c r="C1235" i="9"/>
  <c r="D1234" i="9"/>
  <c r="C1234" i="9"/>
  <c r="D1233" i="9"/>
  <c r="C1233" i="9"/>
  <c r="D1232" i="9"/>
  <c r="C1232" i="9"/>
  <c r="D1231" i="9"/>
  <c r="C1231" i="9"/>
  <c r="D1230" i="9"/>
  <c r="C1230" i="9"/>
  <c r="D1229" i="9"/>
  <c r="C1229" i="9"/>
  <c r="D1228" i="9"/>
  <c r="C1228" i="9"/>
  <c r="C1227" i="9"/>
  <c r="D1226" i="9"/>
  <c r="C1226" i="9"/>
  <c r="D1225" i="9"/>
  <c r="C1225" i="9"/>
  <c r="D1224" i="9"/>
  <c r="C1224" i="9"/>
  <c r="D1223" i="9"/>
  <c r="C1223" i="9"/>
  <c r="D1222" i="9"/>
  <c r="C1222" i="9"/>
  <c r="D1221" i="9"/>
  <c r="C1221" i="9"/>
  <c r="D1220" i="9"/>
  <c r="C1220" i="9"/>
  <c r="D1219" i="9"/>
  <c r="C1219" i="9"/>
  <c r="C1218" i="9"/>
  <c r="D1217" i="9"/>
  <c r="C1217" i="9"/>
  <c r="C1216" i="9"/>
  <c r="D1215" i="9"/>
  <c r="C1215" i="9"/>
  <c r="D1214" i="9"/>
  <c r="C1214" i="9"/>
  <c r="D1213" i="9"/>
  <c r="C1213" i="9"/>
  <c r="D1212" i="9"/>
  <c r="C1212" i="9"/>
  <c r="D1211" i="9"/>
  <c r="C1211" i="9"/>
  <c r="D1210" i="9"/>
  <c r="C1210" i="9"/>
  <c r="D1209" i="9"/>
  <c r="C1209" i="9"/>
  <c r="D1208" i="9"/>
  <c r="C1208" i="9"/>
  <c r="C1207" i="9"/>
  <c r="D1206" i="9"/>
  <c r="C1206" i="9"/>
  <c r="D1205" i="9"/>
  <c r="C1205" i="9"/>
  <c r="C1204" i="9"/>
  <c r="D1203" i="9"/>
  <c r="C1203" i="9"/>
  <c r="D1202" i="9"/>
  <c r="C1202" i="9"/>
  <c r="D1201" i="9"/>
  <c r="C1201" i="9"/>
  <c r="D1200" i="9"/>
  <c r="C1200" i="9"/>
  <c r="D1199" i="9"/>
  <c r="C1199" i="9"/>
  <c r="D1198" i="9"/>
  <c r="C1198" i="9"/>
  <c r="D1197" i="9"/>
  <c r="C1197" i="9"/>
  <c r="C1196" i="9"/>
  <c r="D1195" i="9"/>
  <c r="C1195" i="9"/>
  <c r="D1194" i="9"/>
  <c r="C1194" i="9"/>
  <c r="D1193" i="9"/>
  <c r="C1193" i="9"/>
  <c r="D1192" i="9"/>
  <c r="C1192" i="9"/>
  <c r="D1191" i="9"/>
  <c r="C1191" i="9"/>
  <c r="D1190" i="9"/>
  <c r="C1190" i="9"/>
  <c r="D1189" i="9"/>
  <c r="C1189" i="9"/>
  <c r="D1188" i="9"/>
  <c r="C1188" i="9"/>
  <c r="D1187" i="9"/>
  <c r="C1187" i="9"/>
  <c r="D1186" i="9"/>
  <c r="C1186" i="9"/>
  <c r="D1185" i="9"/>
  <c r="C1185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C1177" i="9"/>
  <c r="D1176" i="9"/>
  <c r="C1176" i="9"/>
  <c r="C1175" i="9"/>
  <c r="D1174" i="9"/>
  <c r="C1174" i="9"/>
  <c r="D1173" i="9"/>
  <c r="C1173" i="9"/>
  <c r="D1172" i="9"/>
  <c r="C1172" i="9"/>
  <c r="C1171" i="9"/>
  <c r="D1170" i="9"/>
  <c r="C1170" i="9"/>
  <c r="D1169" i="9"/>
  <c r="C1169" i="9"/>
  <c r="D1168" i="9"/>
  <c r="C1168" i="9"/>
  <c r="D1167" i="9"/>
  <c r="C1167" i="9"/>
  <c r="C1166" i="9"/>
  <c r="D1165" i="9"/>
  <c r="C1165" i="9"/>
  <c r="C1164" i="9"/>
  <c r="D1163" i="9"/>
  <c r="C1163" i="9"/>
  <c r="C1162" i="9"/>
  <c r="D1161" i="9"/>
  <c r="C1161" i="9"/>
  <c r="D1160" i="9"/>
  <c r="C1160" i="9"/>
  <c r="C1159" i="9"/>
  <c r="D1158" i="9"/>
  <c r="C1158" i="9"/>
  <c r="D1157" i="9"/>
  <c r="C1157" i="9"/>
  <c r="C1156" i="9"/>
  <c r="D1155" i="9"/>
  <c r="C1155" i="9"/>
  <c r="D1154" i="9"/>
  <c r="C1154" i="9"/>
  <c r="D1153" i="9"/>
  <c r="C1153" i="9"/>
  <c r="D1152" i="9"/>
  <c r="C1152" i="9"/>
  <c r="D1151" i="9"/>
  <c r="C1151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C1131" i="9"/>
  <c r="D1130" i="9"/>
  <c r="C1130" i="9"/>
  <c r="D1129" i="9"/>
  <c r="C1129" i="9"/>
  <c r="C1128" i="9"/>
  <c r="C1127" i="9"/>
  <c r="D1126" i="9"/>
  <c r="C1126" i="9"/>
  <c r="D1125" i="9"/>
  <c r="C1125" i="9"/>
  <c r="D1124" i="9"/>
  <c r="C1124" i="9"/>
  <c r="D1123" i="9"/>
  <c r="C1123" i="9"/>
  <c r="C1122" i="9"/>
  <c r="D1121" i="9"/>
  <c r="C1121" i="9"/>
  <c r="D1120" i="9"/>
  <c r="C1120" i="9"/>
  <c r="C1119" i="9"/>
  <c r="D1118" i="9"/>
  <c r="C1118" i="9"/>
  <c r="D1117" i="9"/>
  <c r="C1117" i="9"/>
  <c r="D1116" i="9"/>
  <c r="C1116" i="9"/>
  <c r="D1115" i="9"/>
  <c r="C1115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C1100" i="9"/>
  <c r="D1099" i="9"/>
  <c r="C1099" i="9"/>
  <c r="D1098" i="9"/>
  <c r="C1098" i="9"/>
  <c r="D1097" i="9"/>
  <c r="C1097" i="9"/>
  <c r="D1096" i="9"/>
  <c r="C1096" i="9"/>
  <c r="D1095" i="9"/>
  <c r="C1095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C1087" i="9"/>
  <c r="D1086" i="9"/>
  <c r="C1086" i="9"/>
  <c r="D1085" i="9"/>
  <c r="C1085" i="9"/>
  <c r="C1084" i="9"/>
  <c r="D1083" i="9"/>
  <c r="C1083" i="9"/>
  <c r="C1082" i="9"/>
  <c r="D1081" i="9"/>
  <c r="C1081" i="9"/>
  <c r="C1080" i="9"/>
  <c r="D1079" i="9"/>
  <c r="C1079" i="9"/>
  <c r="D1078" i="9"/>
  <c r="C1078" i="9"/>
  <c r="C1077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C1068" i="9"/>
  <c r="C1067" i="9"/>
  <c r="D1066" i="9"/>
  <c r="C1066" i="9"/>
  <c r="D1065" i="9"/>
  <c r="C1065" i="9"/>
  <c r="D1064" i="9"/>
  <c r="C1064" i="9"/>
  <c r="D1063" i="9"/>
  <c r="C1063" i="9"/>
  <c r="C1062" i="9"/>
  <c r="D1061" i="9"/>
  <c r="C1061" i="9"/>
  <c r="C1060" i="9"/>
  <c r="D1059" i="9"/>
  <c r="C1059" i="9"/>
  <c r="D1058" i="9"/>
  <c r="C1058" i="9"/>
  <c r="C1057" i="9"/>
  <c r="C1056" i="9"/>
  <c r="D1055" i="9"/>
  <c r="C1055" i="9"/>
  <c r="D1054" i="9"/>
  <c r="C1054" i="9"/>
  <c r="D1053" i="9"/>
  <c r="C1053" i="9"/>
  <c r="D1052" i="9"/>
  <c r="C1052" i="9"/>
  <c r="C1051" i="9"/>
  <c r="C1050" i="9"/>
  <c r="D1049" i="9"/>
  <c r="C1049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C1039" i="9"/>
  <c r="D1038" i="9"/>
  <c r="C1038" i="9"/>
  <c r="C1037" i="9"/>
  <c r="C1036" i="9"/>
  <c r="D1035" i="9"/>
  <c r="C1035" i="9"/>
  <c r="D1034" i="9"/>
  <c r="C1034" i="9"/>
  <c r="D1033" i="9"/>
  <c r="C1033" i="9"/>
  <c r="D1032" i="9"/>
  <c r="C1032" i="9"/>
  <c r="C1031" i="9"/>
  <c r="D1030" i="9"/>
  <c r="C1030" i="9"/>
  <c r="C1029" i="9"/>
  <c r="D1028" i="9"/>
  <c r="C1028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C1015" i="9"/>
  <c r="D1014" i="9"/>
  <c r="C1014" i="9"/>
  <c r="D1013" i="9"/>
  <c r="C1013" i="9"/>
  <c r="C1012" i="9"/>
  <c r="D1011" i="9"/>
  <c r="C1011" i="9"/>
  <c r="D1010" i="9"/>
  <c r="C1010" i="9"/>
  <c r="D1009" i="9"/>
  <c r="C1009" i="9"/>
  <c r="C1008" i="9"/>
  <c r="D1007" i="9"/>
  <c r="C1007" i="9"/>
  <c r="D1006" i="9"/>
  <c r="C1006" i="9"/>
  <c r="D1005" i="9"/>
  <c r="C1005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C983" i="9"/>
  <c r="D982" i="9"/>
  <c r="C982" i="9"/>
  <c r="C981" i="9"/>
  <c r="D980" i="9"/>
  <c r="C980" i="9"/>
  <c r="C979" i="9"/>
  <c r="C978" i="9"/>
  <c r="D977" i="9"/>
  <c r="C977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C963" i="9"/>
  <c r="C962" i="9"/>
  <c r="D961" i="9"/>
  <c r="C961" i="9"/>
  <c r="D960" i="9"/>
  <c r="C960" i="9"/>
  <c r="C959" i="9"/>
  <c r="D958" i="9"/>
  <c r="C958" i="9"/>
  <c r="C957" i="9"/>
  <c r="D956" i="9"/>
  <c r="C956" i="9"/>
  <c r="D955" i="9"/>
  <c r="C955" i="9"/>
  <c r="D954" i="9"/>
  <c r="C954" i="9"/>
  <c r="D953" i="9"/>
  <c r="C953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C938" i="9"/>
  <c r="D937" i="9"/>
  <c r="C937" i="9"/>
  <c r="D936" i="9"/>
  <c r="C936" i="9"/>
  <c r="C935" i="9"/>
  <c r="C934" i="9"/>
  <c r="D933" i="9"/>
  <c r="C933" i="9"/>
  <c r="D932" i="9"/>
  <c r="C932" i="9"/>
  <c r="C931" i="9"/>
  <c r="C930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C895" i="9"/>
  <c r="D894" i="9"/>
  <c r="C894" i="9"/>
  <c r="C893" i="9"/>
  <c r="D892" i="9"/>
  <c r="C892" i="9"/>
  <c r="C891" i="9"/>
  <c r="C890" i="9"/>
  <c r="D889" i="9"/>
  <c r="C889" i="9"/>
  <c r="D888" i="9"/>
  <c r="C888" i="9"/>
  <c r="D887" i="9"/>
  <c r="C887" i="9"/>
  <c r="C886" i="9"/>
  <c r="D885" i="9"/>
  <c r="C885" i="9"/>
  <c r="C884" i="9"/>
  <c r="C883" i="9"/>
  <c r="D882" i="9"/>
  <c r="C882" i="9"/>
  <c r="D881" i="9"/>
  <c r="C881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C871" i="9"/>
  <c r="D870" i="9"/>
  <c r="C870" i="9"/>
  <c r="D869" i="9"/>
  <c r="C869" i="9"/>
  <c r="D868" i="9"/>
  <c r="C868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C859" i="9"/>
  <c r="D858" i="9"/>
  <c r="C858" i="9"/>
  <c r="D857" i="9"/>
  <c r="C857" i="9"/>
  <c r="C856" i="9"/>
  <c r="C855" i="9"/>
  <c r="D854" i="9"/>
  <c r="C854" i="9"/>
  <c r="C853" i="9"/>
  <c r="D852" i="9"/>
  <c r="C852" i="9"/>
  <c r="D851" i="9"/>
  <c r="C851" i="9"/>
  <c r="D850" i="9"/>
  <c r="C850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C839" i="9"/>
  <c r="D838" i="9"/>
  <c r="C838" i="9"/>
  <c r="C837" i="9"/>
  <c r="D836" i="9"/>
  <c r="C836" i="9"/>
  <c r="D835" i="9"/>
  <c r="C835" i="9"/>
  <c r="C834" i="9"/>
  <c r="D833" i="9"/>
  <c r="C833" i="9"/>
  <c r="D832" i="9"/>
  <c r="C832" i="9"/>
  <c r="D831" i="9"/>
  <c r="C831" i="9"/>
  <c r="C830" i="9"/>
  <c r="D829" i="9"/>
  <c r="C829" i="9"/>
  <c r="D828" i="9"/>
  <c r="C828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C805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C787" i="9"/>
  <c r="D786" i="9"/>
  <c r="C786" i="9"/>
  <c r="D785" i="9"/>
  <c r="C785" i="9"/>
  <c r="D784" i="9"/>
  <c r="C784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C773" i="9"/>
  <c r="D772" i="9"/>
  <c r="C772" i="9"/>
  <c r="D771" i="9"/>
  <c r="C771" i="9"/>
  <c r="D770" i="9"/>
  <c r="C770" i="9"/>
  <c r="D769" i="9"/>
  <c r="C769" i="9"/>
  <c r="C768" i="9"/>
  <c r="C767" i="9"/>
  <c r="D766" i="9"/>
  <c r="C766" i="9"/>
  <c r="D765" i="9"/>
  <c r="C765" i="9"/>
  <c r="D764" i="9"/>
  <c r="C764" i="9"/>
  <c r="D763" i="9"/>
  <c r="C763" i="9"/>
  <c r="C762" i="9"/>
  <c r="D761" i="9"/>
  <c r="C761" i="9"/>
  <c r="D760" i="9"/>
  <c r="C760" i="9"/>
  <c r="D759" i="9"/>
  <c r="C759" i="9"/>
  <c r="D758" i="9"/>
  <c r="C758" i="9"/>
  <c r="D757" i="9"/>
  <c r="C757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C738" i="9"/>
  <c r="D737" i="9"/>
  <c r="C737" i="9"/>
  <c r="D736" i="9"/>
  <c r="C736" i="9"/>
  <c r="D735" i="9"/>
  <c r="C735" i="9"/>
  <c r="D734" i="9"/>
  <c r="C734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C725" i="9"/>
  <c r="D724" i="9"/>
  <c r="C724" i="9"/>
  <c r="D723" i="9"/>
  <c r="C723" i="9"/>
  <c r="C722" i="9"/>
  <c r="D721" i="9"/>
  <c r="C721" i="9"/>
  <c r="D720" i="9"/>
  <c r="C720" i="9"/>
  <c r="D719" i="9"/>
  <c r="C719" i="9"/>
  <c r="C718" i="9"/>
  <c r="D717" i="9"/>
  <c r="C717" i="9"/>
  <c r="D716" i="9"/>
  <c r="C716" i="9"/>
  <c r="C715" i="9"/>
  <c r="C714" i="9"/>
  <c r="D713" i="9"/>
  <c r="C713" i="9"/>
  <c r="D712" i="9"/>
  <c r="C712" i="9"/>
  <c r="C711" i="9"/>
  <c r="C710" i="9"/>
  <c r="C709" i="9"/>
  <c r="D708" i="9"/>
  <c r="C708" i="9"/>
  <c r="D707" i="9"/>
  <c r="C707" i="9"/>
  <c r="D706" i="9"/>
  <c r="C706" i="9"/>
  <c r="C705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C687" i="9"/>
  <c r="D686" i="9"/>
  <c r="C686" i="9"/>
  <c r="D685" i="9"/>
  <c r="C685" i="9"/>
  <c r="D684" i="9"/>
  <c r="C684" i="9"/>
  <c r="D683" i="9"/>
  <c r="C683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C665" i="9"/>
  <c r="D664" i="9"/>
  <c r="C664" i="9"/>
  <c r="D663" i="9"/>
  <c r="C663" i="9"/>
  <c r="D662" i="9"/>
  <c r="C662" i="9"/>
  <c r="D661" i="9"/>
  <c r="C661" i="9"/>
  <c r="C660" i="9"/>
  <c r="D659" i="9"/>
  <c r="C659" i="9"/>
  <c r="D658" i="9"/>
  <c r="C658" i="9"/>
  <c r="D657" i="9"/>
  <c r="C657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C641" i="9"/>
  <c r="C640" i="9"/>
  <c r="D639" i="9"/>
  <c r="C639" i="9"/>
  <c r="D638" i="9"/>
  <c r="C638" i="9"/>
  <c r="D637" i="9"/>
  <c r="C637" i="9"/>
  <c r="D636" i="9"/>
  <c r="C636" i="9"/>
  <c r="C635" i="9"/>
  <c r="D634" i="9"/>
  <c r="C634" i="9"/>
  <c r="D633" i="9"/>
  <c r="C633" i="9"/>
  <c r="D632" i="9"/>
  <c r="C632" i="9"/>
  <c r="D631" i="9"/>
  <c r="C631" i="9"/>
  <c r="D630" i="9"/>
  <c r="C630" i="9"/>
  <c r="C629" i="9"/>
  <c r="C628" i="9"/>
  <c r="D627" i="9"/>
  <c r="C627" i="9"/>
  <c r="D626" i="9"/>
  <c r="C626" i="9"/>
  <c r="D625" i="9"/>
  <c r="C625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C601" i="9"/>
  <c r="C600" i="9"/>
  <c r="D599" i="9"/>
  <c r="C599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C574" i="9"/>
  <c r="C573" i="9"/>
  <c r="D572" i="9"/>
  <c r="C572" i="9"/>
  <c r="D571" i="9"/>
  <c r="C571" i="9"/>
  <c r="D570" i="9"/>
  <c r="C570" i="9"/>
  <c r="C569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C560" i="9"/>
  <c r="D559" i="9"/>
  <c r="C559" i="9"/>
  <c r="C558" i="9"/>
  <c r="D557" i="9"/>
  <c r="C557" i="9"/>
  <c r="D556" i="9"/>
  <c r="C556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C546" i="9"/>
  <c r="C545" i="9"/>
  <c r="D544" i="9"/>
  <c r="C544" i="9"/>
  <c r="D543" i="9"/>
  <c r="C543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C532" i="9"/>
  <c r="C531" i="9"/>
  <c r="D530" i="9"/>
  <c r="C530" i="9"/>
  <c r="C529" i="9"/>
  <c r="D528" i="9"/>
  <c r="C528" i="9"/>
  <c r="D527" i="9"/>
  <c r="C527" i="9"/>
  <c r="C526" i="9"/>
  <c r="D525" i="9"/>
  <c r="C525" i="9"/>
  <c r="D524" i="9"/>
  <c r="C524" i="9"/>
  <c r="D523" i="9"/>
  <c r="C523" i="9"/>
  <c r="D522" i="9"/>
  <c r="C522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C510" i="9"/>
  <c r="D509" i="9"/>
  <c r="C509" i="9"/>
  <c r="C508" i="9"/>
  <c r="D507" i="9"/>
  <c r="C507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C493" i="9"/>
  <c r="D492" i="9"/>
  <c r="C492" i="9"/>
  <c r="D491" i="9"/>
  <c r="C491" i="9"/>
  <c r="D490" i="9"/>
  <c r="C490" i="9"/>
  <c r="D489" i="9"/>
  <c r="C489" i="9"/>
  <c r="C488" i="9"/>
  <c r="D487" i="9"/>
  <c r="C487" i="9"/>
  <c r="C486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C457" i="9"/>
  <c r="D456" i="9"/>
  <c r="C456" i="9"/>
  <c r="D455" i="9"/>
  <c r="C455" i="9"/>
  <c r="D454" i="9"/>
  <c r="C454" i="9"/>
  <c r="D453" i="9"/>
  <c r="C453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C440" i="9"/>
  <c r="D439" i="9"/>
  <c r="C439" i="9"/>
  <c r="D438" i="9"/>
  <c r="C438" i="9"/>
  <c r="D437" i="9"/>
  <c r="C437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C426" i="9"/>
  <c r="D425" i="9"/>
  <c r="C425" i="9"/>
  <c r="D424" i="9"/>
  <c r="C424" i="9"/>
  <c r="D423" i="9"/>
  <c r="C423" i="9"/>
  <c r="D422" i="9"/>
  <c r="C422" i="9"/>
  <c r="D421" i="9"/>
  <c r="C421" i="9"/>
  <c r="C420" i="9"/>
  <c r="C419" i="9"/>
  <c r="C418" i="9"/>
  <c r="D417" i="9"/>
  <c r="C417" i="9"/>
  <c r="D416" i="9"/>
  <c r="C416" i="9"/>
  <c r="D415" i="9"/>
  <c r="C415" i="9"/>
  <c r="D414" i="9"/>
  <c r="C414" i="9"/>
  <c r="C413" i="9"/>
  <c r="D412" i="9"/>
  <c r="C412" i="9"/>
  <c r="D411" i="9"/>
  <c r="C411" i="9"/>
  <c r="C410" i="9"/>
  <c r="C409" i="9"/>
  <c r="D408" i="9"/>
  <c r="C408" i="9"/>
  <c r="D407" i="9"/>
  <c r="C407" i="9"/>
  <c r="C406" i="9"/>
  <c r="D405" i="9"/>
  <c r="C405" i="9"/>
  <c r="D404" i="9"/>
  <c r="C404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C373" i="9"/>
  <c r="D372" i="9"/>
  <c r="C372" i="9"/>
  <c r="C371" i="9"/>
  <c r="C370" i="9"/>
  <c r="D369" i="9"/>
  <c r="C369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C360" i="9"/>
  <c r="D359" i="9"/>
  <c r="C359" i="9"/>
  <c r="D358" i="9"/>
  <c r="C358" i="9"/>
  <c r="D357" i="9"/>
  <c r="C357" i="9"/>
  <c r="C356" i="9"/>
  <c r="D355" i="9"/>
  <c r="C355" i="9"/>
  <c r="D354" i="9"/>
  <c r="C354" i="9"/>
  <c r="D353" i="9"/>
  <c r="C353" i="9"/>
  <c r="C352" i="9"/>
  <c r="C351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C343" i="9"/>
  <c r="D342" i="9"/>
  <c r="C342" i="9"/>
  <c r="D341" i="9"/>
  <c r="C341" i="9"/>
  <c r="D340" i="9"/>
  <c r="C340" i="9"/>
  <c r="D339" i="9"/>
  <c r="C339" i="9"/>
  <c r="C338" i="9"/>
  <c r="D337" i="9"/>
  <c r="C337" i="9"/>
  <c r="D336" i="9"/>
  <c r="C336" i="9"/>
  <c r="C335" i="9"/>
  <c r="D334" i="9"/>
  <c r="C334" i="9"/>
  <c r="D333" i="9"/>
  <c r="C333" i="9"/>
  <c r="C332" i="9"/>
  <c r="D331" i="9"/>
  <c r="C331" i="9"/>
  <c r="D330" i="9"/>
  <c r="C330" i="9"/>
  <c r="D329" i="9"/>
  <c r="C329" i="9"/>
  <c r="C328" i="9"/>
  <c r="D327" i="9"/>
  <c r="C327" i="9"/>
  <c r="D326" i="9"/>
  <c r="C326" i="9"/>
  <c r="C325" i="9"/>
  <c r="D324" i="9"/>
  <c r="C324" i="9"/>
  <c r="C323" i="9"/>
  <c r="D322" i="9"/>
  <c r="C322" i="9"/>
  <c r="D321" i="9"/>
  <c r="C321" i="9"/>
  <c r="D320" i="9"/>
  <c r="C320" i="9"/>
  <c r="C319" i="9"/>
  <c r="D318" i="9"/>
  <c r="C318" i="9"/>
  <c r="C317" i="9"/>
  <c r="D316" i="9"/>
  <c r="C316" i="9"/>
  <c r="C315" i="9"/>
  <c r="D314" i="9"/>
  <c r="C314" i="9"/>
  <c r="C313" i="9"/>
  <c r="D312" i="9"/>
  <c r="C312" i="9"/>
  <c r="D311" i="9"/>
  <c r="C311" i="9"/>
  <c r="D310" i="9"/>
  <c r="C310" i="9"/>
  <c r="D309" i="9"/>
  <c r="C309" i="9"/>
  <c r="C308" i="9"/>
  <c r="C307" i="9"/>
  <c r="D306" i="9"/>
  <c r="C306" i="9"/>
  <c r="D305" i="9"/>
  <c r="C305" i="9"/>
  <c r="C304" i="9"/>
  <c r="D303" i="9"/>
  <c r="C303" i="9"/>
  <c r="D302" i="9"/>
  <c r="C302" i="9"/>
  <c r="D301" i="9"/>
  <c r="C301" i="9"/>
  <c r="C300" i="9"/>
  <c r="D299" i="9"/>
  <c r="C299" i="9"/>
  <c r="C298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C287" i="9"/>
  <c r="D286" i="9"/>
  <c r="C286" i="9"/>
  <c r="D285" i="9"/>
  <c r="C285" i="9"/>
  <c r="C284" i="9"/>
  <c r="C283" i="9"/>
  <c r="D282" i="9"/>
  <c r="C282" i="9"/>
  <c r="D281" i="9"/>
  <c r="C281" i="9"/>
  <c r="C280" i="9"/>
  <c r="C279" i="9"/>
  <c r="D278" i="9"/>
  <c r="C278" i="9"/>
  <c r="D277" i="9"/>
  <c r="C277" i="9"/>
  <c r="D276" i="9"/>
  <c r="C276" i="9"/>
  <c r="D275" i="9"/>
  <c r="C275" i="9"/>
  <c r="C274" i="9"/>
  <c r="D273" i="9"/>
  <c r="C273" i="9"/>
  <c r="C272" i="9"/>
  <c r="D271" i="9"/>
  <c r="C271" i="9"/>
  <c r="C270" i="9"/>
  <c r="D269" i="9"/>
  <c r="C269" i="9"/>
  <c r="D268" i="9"/>
  <c r="C268" i="9"/>
  <c r="D267" i="9"/>
  <c r="C267" i="9"/>
  <c r="D266" i="9"/>
  <c r="C266" i="9"/>
  <c r="C265" i="9"/>
  <c r="D264" i="9"/>
  <c r="C264" i="9"/>
  <c r="D263" i="9"/>
  <c r="C263" i="9"/>
  <c r="D262" i="9"/>
  <c r="C262" i="9"/>
  <c r="D261" i="9"/>
  <c r="C261" i="9"/>
  <c r="D260" i="9"/>
  <c r="C260" i="9"/>
  <c r="C259" i="9"/>
  <c r="D258" i="9"/>
  <c r="C258" i="9"/>
  <c r="C257" i="9"/>
  <c r="D256" i="9"/>
  <c r="C256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C248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C227" i="9"/>
  <c r="D226" i="9"/>
  <c r="C226" i="9"/>
  <c r="D225" i="9"/>
  <c r="C225" i="9"/>
  <c r="D224" i="9"/>
  <c r="C224" i="9"/>
  <c r="C223" i="9"/>
  <c r="D222" i="9"/>
  <c r="C222" i="9"/>
  <c r="D221" i="9"/>
  <c r="C221" i="9"/>
  <c r="C220" i="9"/>
  <c r="D219" i="9"/>
  <c r="C219" i="9"/>
  <c r="C218" i="9"/>
  <c r="D217" i="9"/>
  <c r="C217" i="9"/>
  <c r="D216" i="9"/>
  <c r="C216" i="9"/>
  <c r="C215" i="9"/>
  <c r="D214" i="9"/>
  <c r="C214" i="9"/>
  <c r="C213" i="9"/>
  <c r="D212" i="9"/>
  <c r="C212" i="9"/>
  <c r="D211" i="9"/>
  <c r="C211" i="9"/>
  <c r="C210" i="9"/>
  <c r="D209" i="9"/>
  <c r="C209" i="9"/>
  <c r="D208" i="9"/>
  <c r="C208" i="9"/>
  <c r="D207" i="9"/>
  <c r="C207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C189" i="9"/>
  <c r="D188" i="9"/>
  <c r="C188" i="9"/>
  <c r="D187" i="9"/>
  <c r="C187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C147" i="9"/>
  <c r="D146" i="9"/>
  <c r="C146" i="9"/>
  <c r="D145" i="9"/>
  <c r="C145" i="9"/>
  <c r="C144" i="9"/>
  <c r="C143" i="9"/>
  <c r="C142" i="9"/>
  <c r="D141" i="9"/>
  <c r="C141" i="9"/>
  <c r="D140" i="9"/>
  <c r="C140" i="9"/>
  <c r="D139" i="9"/>
  <c r="C139" i="9"/>
  <c r="C138" i="9"/>
  <c r="D137" i="9"/>
  <c r="C137" i="9"/>
  <c r="D136" i="9"/>
  <c r="C136" i="9"/>
  <c r="D135" i="9"/>
  <c r="C135" i="9"/>
  <c r="D134" i="9"/>
  <c r="C134" i="9"/>
  <c r="D133" i="9"/>
  <c r="C133" i="9"/>
  <c r="C132" i="9"/>
  <c r="D131" i="9"/>
  <c r="C131" i="9"/>
  <c r="D130" i="9"/>
  <c r="C130" i="9"/>
  <c r="C129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C90" i="9"/>
  <c r="C89" i="9"/>
  <c r="D88" i="9"/>
  <c r="C88" i="9"/>
  <c r="D87" i="9"/>
  <c r="C87" i="9"/>
  <c r="D86" i="9"/>
  <c r="C86" i="9"/>
  <c r="D85" i="9"/>
  <c r="C85" i="9"/>
  <c r="C84" i="9"/>
  <c r="C83" i="9"/>
  <c r="D82" i="9"/>
  <c r="C82" i="9"/>
  <c r="D81" i="9"/>
  <c r="C81" i="9"/>
  <c r="C80" i="9"/>
  <c r="D79" i="9"/>
  <c r="C79" i="9"/>
  <c r="D78" i="9"/>
  <c r="C78" i="9"/>
  <c r="D77" i="9"/>
  <c r="C77" i="9"/>
  <c r="D76" i="9"/>
  <c r="C76" i="9"/>
  <c r="D75" i="9"/>
  <c r="C75" i="9"/>
  <c r="C74" i="9"/>
  <c r="D73" i="9"/>
  <c r="C73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C47" i="9"/>
  <c r="D46" i="9"/>
  <c r="C46" i="9"/>
  <c r="D45" i="9"/>
  <c r="C45" i="9"/>
  <c r="D44" i="9"/>
  <c r="C44" i="9"/>
  <c r="D43" i="9"/>
  <c r="C43" i="9"/>
  <c r="D42" i="9"/>
  <c r="C42" i="9"/>
  <c r="C41" i="9"/>
  <c r="D40" i="9"/>
  <c r="C40" i="9"/>
  <c r="C39" i="9"/>
  <c r="C38" i="9"/>
  <c r="D37" i="9"/>
  <c r="C37" i="9"/>
  <c r="C36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C25" i="9"/>
  <c r="D24" i="9"/>
  <c r="C24" i="9"/>
  <c r="D23" i="9"/>
  <c r="C23" i="9"/>
  <c r="C22" i="9"/>
  <c r="D21" i="9"/>
  <c r="C21" i="9"/>
  <c r="D20" i="9"/>
  <c r="C20" i="9"/>
  <c r="D19" i="9"/>
  <c r="C19" i="9"/>
  <c r="D18" i="9"/>
  <c r="C18" i="9"/>
  <c r="C17" i="9"/>
  <c r="D16" i="9"/>
  <c r="C16" i="9"/>
  <c r="D15" i="9"/>
  <c r="C15" i="9"/>
  <c r="D14" i="9"/>
  <c r="C14" i="9"/>
  <c r="D13" i="9"/>
  <c r="C13" i="9"/>
  <c r="D12" i="9"/>
  <c r="C12" i="9"/>
  <c r="C11" i="9"/>
  <c r="D10" i="9"/>
  <c r="C10" i="9"/>
  <c r="D9" i="9"/>
  <c r="C9" i="9"/>
  <c r="D8" i="9"/>
  <c r="C8" i="9"/>
  <c r="D7" i="9"/>
  <c r="C7" i="9"/>
  <c r="D6" i="9"/>
  <c r="C6" i="9"/>
  <c r="C5" i="9"/>
  <c r="D4" i="9"/>
  <c r="C4" i="9"/>
  <c r="D3" i="9"/>
  <c r="C3" i="9"/>
  <c r="D2" i="9"/>
  <c r="C2" i="9"/>
  <c r="C2787" i="8"/>
  <c r="C2786" i="8"/>
  <c r="C2785" i="8"/>
  <c r="C2784" i="8"/>
  <c r="C2783" i="8"/>
  <c r="C2782" i="8"/>
  <c r="C2781" i="8"/>
  <c r="C2780" i="8"/>
  <c r="C2779" i="8"/>
  <c r="C2778" i="8"/>
  <c r="C2777" i="8"/>
  <c r="C2776" i="8"/>
  <c r="C2775" i="8"/>
  <c r="C2774" i="8"/>
  <c r="C2773" i="8"/>
  <c r="C2772" i="8"/>
  <c r="C2771" i="8"/>
  <c r="C2770" i="8"/>
  <c r="C2769" i="8"/>
  <c r="C2768" i="8"/>
  <c r="C2767" i="8"/>
  <c r="C2766" i="8"/>
  <c r="C2765" i="8"/>
  <c r="C2764" i="8"/>
  <c r="C2763" i="8"/>
  <c r="C2762" i="8"/>
  <c r="C2761" i="8"/>
  <c r="C2760" i="8"/>
  <c r="C2759" i="8"/>
  <c r="C2758" i="8"/>
  <c r="C2757" i="8"/>
  <c r="C2756" i="8"/>
  <c r="C2755" i="8"/>
  <c r="C2754" i="8"/>
  <c r="C2753" i="8"/>
  <c r="C2752" i="8"/>
  <c r="C2751" i="8"/>
  <c r="C2750" i="8"/>
  <c r="C2749" i="8"/>
  <c r="C2748" i="8"/>
  <c r="C2747" i="8"/>
  <c r="C2746" i="8"/>
  <c r="C2745" i="8"/>
  <c r="C2744" i="8"/>
  <c r="C2743" i="8"/>
  <c r="C2742" i="8"/>
  <c r="C2741" i="8"/>
  <c r="C2740" i="8"/>
  <c r="C2739" i="8"/>
  <c r="C2738" i="8"/>
  <c r="C2737" i="8"/>
  <c r="C2736" i="8"/>
  <c r="C2735" i="8"/>
  <c r="C2734" i="8"/>
  <c r="C2733" i="8"/>
  <c r="C2732" i="8"/>
  <c r="C2731" i="8"/>
  <c r="C2730" i="8"/>
  <c r="C2729" i="8"/>
  <c r="C2728" i="8"/>
  <c r="C2727" i="8"/>
  <c r="C2726" i="8"/>
  <c r="C2725" i="8"/>
  <c r="C2724" i="8"/>
  <c r="C2723" i="8"/>
  <c r="C2722" i="8"/>
  <c r="C2721" i="8"/>
  <c r="C2720" i="8"/>
  <c r="C2719" i="8"/>
  <c r="C2718" i="8"/>
  <c r="C2717" i="8"/>
  <c r="C2716" i="8"/>
  <c r="C2715" i="8"/>
  <c r="C2714" i="8"/>
  <c r="C2713" i="8"/>
  <c r="C2712" i="8"/>
  <c r="C2711" i="8"/>
  <c r="C2710" i="8"/>
  <c r="C2709" i="8"/>
  <c r="C2708" i="8"/>
  <c r="C2707" i="8"/>
  <c r="C2706" i="8"/>
  <c r="C2705" i="8"/>
  <c r="C2704" i="8"/>
  <c r="C2703" i="8"/>
  <c r="C2702" i="8"/>
  <c r="C2701" i="8"/>
  <c r="C2700" i="8"/>
  <c r="C2699" i="8"/>
  <c r="C2698" i="8"/>
  <c r="C2697" i="8"/>
  <c r="C2696" i="8"/>
  <c r="C2695" i="8"/>
  <c r="C2694" i="8"/>
  <c r="C2693" i="8"/>
  <c r="C2692" i="8"/>
  <c r="C2691" i="8"/>
  <c r="C2690" i="8"/>
  <c r="C2689" i="8"/>
  <c r="C2688" i="8"/>
  <c r="C2687" i="8"/>
  <c r="C2686" i="8"/>
  <c r="C2685" i="8"/>
  <c r="C2684" i="8"/>
  <c r="C2683" i="8"/>
  <c r="C2682" i="8"/>
  <c r="C2681" i="8"/>
  <c r="C2680" i="8"/>
  <c r="C2679" i="8"/>
  <c r="C2678" i="8"/>
  <c r="C2677" i="8"/>
  <c r="C2676" i="8"/>
  <c r="C2675" i="8"/>
  <c r="C2674" i="8"/>
  <c r="C2673" i="8"/>
  <c r="C2672" i="8"/>
  <c r="C2671" i="8"/>
  <c r="C2670" i="8"/>
  <c r="C2669" i="8"/>
  <c r="C2668" i="8"/>
  <c r="C2667" i="8"/>
  <c r="C2666" i="8"/>
  <c r="C2665" i="8"/>
  <c r="C2664" i="8"/>
  <c r="C2663" i="8"/>
  <c r="C2662" i="8"/>
  <c r="C2661" i="8"/>
  <c r="C2660" i="8"/>
  <c r="C2659" i="8"/>
  <c r="C2658" i="8"/>
  <c r="C2657" i="8"/>
  <c r="C2656" i="8"/>
  <c r="C2655" i="8"/>
  <c r="C2654" i="8"/>
  <c r="C2653" i="8"/>
  <c r="C2652" i="8"/>
  <c r="C2651" i="8"/>
  <c r="C2650" i="8"/>
  <c r="C2649" i="8"/>
  <c r="C2648" i="8"/>
  <c r="C2647" i="8"/>
  <c r="C2646" i="8"/>
  <c r="C2645" i="8"/>
  <c r="C2644" i="8"/>
  <c r="C2643" i="8"/>
  <c r="C2642" i="8"/>
  <c r="C2641" i="8"/>
  <c r="C2640" i="8"/>
  <c r="C2639" i="8"/>
  <c r="C2638" i="8"/>
  <c r="C2637" i="8"/>
  <c r="C2636" i="8"/>
  <c r="C2635" i="8"/>
  <c r="C2634" i="8"/>
  <c r="C2633" i="8"/>
  <c r="C2632" i="8"/>
  <c r="C2631" i="8"/>
  <c r="C2630" i="8"/>
  <c r="C2629" i="8"/>
  <c r="C2628" i="8"/>
  <c r="C2627" i="8"/>
  <c r="C2626" i="8"/>
  <c r="C2625" i="8"/>
  <c r="C2624" i="8"/>
  <c r="C2623" i="8"/>
  <c r="C2622" i="8"/>
  <c r="C2621" i="8"/>
  <c r="C2620" i="8"/>
  <c r="C2619" i="8"/>
  <c r="C2618" i="8"/>
  <c r="C2617" i="8"/>
  <c r="C2616" i="8"/>
  <c r="C2615" i="8"/>
  <c r="C2614" i="8"/>
  <c r="C2613" i="8"/>
  <c r="C2612" i="8"/>
  <c r="C2611" i="8"/>
  <c r="C2610" i="8"/>
  <c r="C2609" i="8"/>
  <c r="C2608" i="8"/>
  <c r="C2607" i="8"/>
  <c r="C2606" i="8"/>
  <c r="C2605" i="8"/>
  <c r="C2604" i="8"/>
  <c r="C2603" i="8"/>
  <c r="C2602" i="8"/>
  <c r="C2601" i="8"/>
  <c r="C2600" i="8"/>
  <c r="C2599" i="8"/>
  <c r="C2598" i="8"/>
  <c r="C2597" i="8"/>
  <c r="C2596" i="8"/>
  <c r="C2595" i="8"/>
  <c r="C2594" i="8"/>
  <c r="C2593" i="8"/>
  <c r="C2592" i="8"/>
  <c r="C2591" i="8"/>
  <c r="C2590" i="8"/>
  <c r="C2589" i="8"/>
  <c r="C2588" i="8"/>
  <c r="C2587" i="8"/>
  <c r="C2586" i="8"/>
  <c r="C2585" i="8"/>
  <c r="C2584" i="8"/>
  <c r="C2583" i="8"/>
  <c r="C2582" i="8"/>
  <c r="C2581" i="8"/>
  <c r="C2580" i="8"/>
  <c r="C2579" i="8"/>
  <c r="C2578" i="8"/>
  <c r="C2577" i="8"/>
  <c r="C2576" i="8"/>
  <c r="C2575" i="8"/>
  <c r="C2574" i="8"/>
  <c r="C2573" i="8"/>
  <c r="C2572" i="8"/>
  <c r="C2571" i="8"/>
  <c r="C2570" i="8"/>
  <c r="C2569" i="8"/>
  <c r="C2568" i="8"/>
  <c r="C2567" i="8"/>
  <c r="C2566" i="8"/>
  <c r="C2565" i="8"/>
  <c r="C2564" i="8"/>
  <c r="C2563" i="8"/>
  <c r="C2562" i="8"/>
  <c r="C2561" i="8"/>
  <c r="C2560" i="8"/>
  <c r="C2559" i="8"/>
  <c r="C2558" i="8"/>
  <c r="C2557" i="8"/>
  <c r="C2556" i="8"/>
  <c r="C2555" i="8"/>
  <c r="C2554" i="8"/>
  <c r="C2553" i="8"/>
  <c r="C2552" i="8"/>
  <c r="C2551" i="8"/>
  <c r="C2550" i="8"/>
  <c r="C2549" i="8"/>
  <c r="C2548" i="8"/>
  <c r="C2547" i="8"/>
  <c r="C2546" i="8"/>
  <c r="C2545" i="8"/>
  <c r="C2544" i="8"/>
  <c r="C2543" i="8"/>
  <c r="C2542" i="8"/>
  <c r="C2541" i="8"/>
  <c r="C2540" i="8"/>
  <c r="C2539" i="8"/>
  <c r="C2538" i="8"/>
  <c r="C2537" i="8"/>
  <c r="C2536" i="8"/>
  <c r="C2535" i="8"/>
  <c r="C2534" i="8"/>
  <c r="C2533" i="8"/>
  <c r="C2532" i="8"/>
  <c r="C2531" i="8"/>
  <c r="C2530" i="8"/>
  <c r="C2529" i="8"/>
  <c r="C2528" i="8"/>
  <c r="C2527" i="8"/>
  <c r="C2526" i="8"/>
  <c r="C2525" i="8"/>
  <c r="C2524" i="8"/>
  <c r="C2523" i="8"/>
  <c r="C2522" i="8"/>
  <c r="C2521" i="8"/>
  <c r="C2520" i="8"/>
  <c r="C2519" i="8"/>
  <c r="C2518" i="8"/>
  <c r="C2517" i="8"/>
  <c r="C2516" i="8"/>
  <c r="C2515" i="8"/>
  <c r="C2514" i="8"/>
  <c r="C2513" i="8"/>
  <c r="C2512" i="8"/>
  <c r="C2511" i="8"/>
  <c r="C2510" i="8"/>
  <c r="C2509" i="8"/>
  <c r="C2508" i="8"/>
  <c r="C2507" i="8"/>
  <c r="C2506" i="8"/>
  <c r="C2505" i="8"/>
  <c r="C2504" i="8"/>
  <c r="C2503" i="8"/>
  <c r="C2502" i="8"/>
  <c r="C2501" i="8"/>
  <c r="C2500" i="8"/>
  <c r="C2499" i="8"/>
  <c r="C2498" i="8"/>
  <c r="C2497" i="8"/>
  <c r="C2496" i="8"/>
  <c r="C2495" i="8"/>
  <c r="C2494" i="8"/>
  <c r="C2493" i="8"/>
  <c r="C2492" i="8"/>
  <c r="C2491" i="8"/>
  <c r="C2490" i="8"/>
  <c r="C2489" i="8"/>
  <c r="C2488" i="8"/>
  <c r="C2487" i="8"/>
  <c r="C2486" i="8"/>
  <c r="C2485" i="8"/>
  <c r="C2484" i="8"/>
  <c r="C2483" i="8"/>
  <c r="C2482" i="8"/>
  <c r="C2481" i="8"/>
  <c r="C2480" i="8"/>
  <c r="C2479" i="8"/>
  <c r="C2478" i="8"/>
  <c r="C2477" i="8"/>
  <c r="C2476" i="8"/>
  <c r="C2475" i="8"/>
  <c r="C2474" i="8"/>
  <c r="C2473" i="8"/>
  <c r="C2472" i="8"/>
  <c r="C2471" i="8"/>
  <c r="C2470" i="8"/>
  <c r="C2469" i="8"/>
  <c r="C2468" i="8"/>
  <c r="C2467" i="8"/>
  <c r="C2466" i="8"/>
  <c r="C2465" i="8"/>
  <c r="C2464" i="8"/>
  <c r="C2463" i="8"/>
  <c r="C2462" i="8"/>
  <c r="C2461" i="8"/>
  <c r="C2460" i="8"/>
  <c r="C2459" i="8"/>
  <c r="C2458" i="8"/>
  <c r="C2457" i="8"/>
  <c r="C2456" i="8"/>
  <c r="C2455" i="8"/>
  <c r="C2454" i="8"/>
  <c r="C2453" i="8"/>
  <c r="C2452" i="8"/>
  <c r="C2451" i="8"/>
  <c r="C2450" i="8"/>
  <c r="C2449" i="8"/>
  <c r="C2448" i="8"/>
  <c r="C2447" i="8"/>
  <c r="C2446" i="8"/>
  <c r="C2445" i="8"/>
  <c r="C2444" i="8"/>
  <c r="C2443" i="8"/>
  <c r="C2442" i="8"/>
  <c r="C2441" i="8"/>
  <c r="C2440" i="8"/>
  <c r="C2439" i="8"/>
  <c r="C2438" i="8"/>
  <c r="C2437" i="8"/>
  <c r="C2436" i="8"/>
  <c r="C2435" i="8"/>
  <c r="C2434" i="8"/>
  <c r="C2433" i="8"/>
  <c r="C2432" i="8"/>
  <c r="C2431" i="8"/>
  <c r="C2430" i="8"/>
  <c r="C2429" i="8"/>
  <c r="C2428" i="8"/>
  <c r="C2427" i="8"/>
  <c r="C2426" i="8"/>
  <c r="C2425" i="8"/>
  <c r="C2424" i="8"/>
  <c r="C2423" i="8"/>
  <c r="C2422" i="8"/>
  <c r="C2421" i="8"/>
  <c r="C2420" i="8"/>
  <c r="C2419" i="8"/>
  <c r="C2418" i="8"/>
  <c r="C2417" i="8"/>
  <c r="C2416" i="8"/>
  <c r="C2415" i="8"/>
  <c r="C2414" i="8"/>
  <c r="C2413" i="8"/>
  <c r="C2412" i="8"/>
  <c r="C2411" i="8"/>
  <c r="C2410" i="8"/>
  <c r="C2409" i="8"/>
  <c r="C2408" i="8"/>
  <c r="C2407" i="8"/>
  <c r="C2406" i="8"/>
  <c r="C2405" i="8"/>
  <c r="C2404" i="8"/>
  <c r="C2403" i="8"/>
  <c r="C2402" i="8"/>
  <c r="C2401" i="8"/>
  <c r="C2400" i="8"/>
  <c r="C2399" i="8"/>
  <c r="C2398" i="8"/>
  <c r="C2397" i="8"/>
  <c r="C2396" i="8"/>
  <c r="C2395" i="8"/>
  <c r="C2394" i="8"/>
  <c r="C2393" i="8"/>
  <c r="C2392" i="8"/>
  <c r="C2391" i="8"/>
  <c r="C2390" i="8"/>
  <c r="C2389" i="8"/>
  <c r="C2388" i="8"/>
  <c r="C2387" i="8"/>
  <c r="C2386" i="8"/>
  <c r="C2385" i="8"/>
  <c r="C2384" i="8"/>
  <c r="C2383" i="8"/>
  <c r="C2382" i="8"/>
  <c r="C2381" i="8"/>
  <c r="C2380" i="8"/>
  <c r="C2379" i="8"/>
  <c r="C2378" i="8"/>
  <c r="C2377" i="8"/>
  <c r="C2376" i="8"/>
  <c r="C2375" i="8"/>
  <c r="C2374" i="8"/>
  <c r="C2373" i="8"/>
  <c r="C2372" i="8"/>
  <c r="C2371" i="8"/>
  <c r="C2370" i="8"/>
  <c r="C2369" i="8"/>
  <c r="C2368" i="8"/>
  <c r="C2367" i="8"/>
  <c r="C2366" i="8"/>
  <c r="C2365" i="8"/>
  <c r="C2364" i="8"/>
  <c r="C2363" i="8"/>
  <c r="C2362" i="8"/>
  <c r="C2361" i="8"/>
  <c r="C2360" i="8"/>
  <c r="C2359" i="8"/>
  <c r="C2358" i="8"/>
  <c r="C2357" i="8"/>
  <c r="C2356" i="8"/>
  <c r="C2355" i="8"/>
  <c r="C2354" i="8"/>
  <c r="C2353" i="8"/>
  <c r="C2352" i="8"/>
  <c r="C2351" i="8"/>
  <c r="C2350" i="8"/>
  <c r="C2349" i="8"/>
  <c r="C2348" i="8"/>
  <c r="C2347" i="8"/>
  <c r="C2346" i="8"/>
  <c r="C2345" i="8"/>
  <c r="C2344" i="8"/>
  <c r="C2343" i="8"/>
  <c r="C2342" i="8"/>
  <c r="C2341" i="8"/>
  <c r="C2340" i="8"/>
  <c r="C2339" i="8"/>
  <c r="C2338" i="8"/>
  <c r="C2337" i="8"/>
  <c r="C2336" i="8"/>
  <c r="C2335" i="8"/>
  <c r="C2334" i="8"/>
  <c r="C2333" i="8"/>
  <c r="C2332" i="8"/>
  <c r="C2331" i="8"/>
  <c r="C2330" i="8"/>
  <c r="C2329" i="8"/>
  <c r="C2328" i="8"/>
  <c r="C2327" i="8"/>
  <c r="C2326" i="8"/>
  <c r="C2325" i="8"/>
  <c r="C2324" i="8"/>
  <c r="C2323" i="8"/>
  <c r="C2322" i="8"/>
  <c r="C2321" i="8"/>
  <c r="C2320" i="8"/>
  <c r="C2319" i="8"/>
  <c r="C2318" i="8"/>
  <c r="C2317" i="8"/>
  <c r="C2316" i="8"/>
  <c r="C2315" i="8"/>
  <c r="C2314" i="8"/>
  <c r="C2313" i="8"/>
  <c r="C2312" i="8"/>
  <c r="C2311" i="8"/>
  <c r="C2310" i="8"/>
  <c r="C2309" i="8"/>
  <c r="C2308" i="8"/>
  <c r="C2307" i="8"/>
  <c r="C2306" i="8"/>
  <c r="C2305" i="8"/>
  <c r="C2304" i="8"/>
  <c r="C2303" i="8"/>
  <c r="C2302" i="8"/>
  <c r="C2301" i="8"/>
  <c r="C2300" i="8"/>
  <c r="C2299" i="8"/>
  <c r="C2298" i="8"/>
  <c r="C2297" i="8"/>
  <c r="C2296" i="8"/>
  <c r="C2295" i="8"/>
  <c r="C2294" i="8"/>
  <c r="C2293" i="8"/>
  <c r="C2292" i="8"/>
  <c r="C2291" i="8"/>
  <c r="C2290" i="8"/>
  <c r="C2289" i="8"/>
  <c r="C2288" i="8"/>
  <c r="C2287" i="8"/>
  <c r="C2286" i="8"/>
  <c r="C2285" i="8"/>
  <c r="C2284" i="8"/>
  <c r="C2283" i="8"/>
  <c r="C2282" i="8"/>
  <c r="C2281" i="8"/>
  <c r="C2280" i="8"/>
  <c r="C2279" i="8"/>
  <c r="C2278" i="8"/>
  <c r="C2277" i="8"/>
  <c r="C2276" i="8"/>
  <c r="C2275" i="8"/>
  <c r="C2274" i="8"/>
  <c r="C2273" i="8"/>
  <c r="C2272" i="8"/>
  <c r="C2271" i="8"/>
  <c r="C2270" i="8"/>
  <c r="C2269" i="8"/>
  <c r="C2268" i="8"/>
  <c r="C2267" i="8"/>
  <c r="C2266" i="8"/>
  <c r="C2265" i="8"/>
  <c r="C2264" i="8"/>
  <c r="C2263" i="8"/>
  <c r="C2262" i="8"/>
  <c r="C2261" i="8"/>
  <c r="C2260" i="8"/>
  <c r="C2259" i="8"/>
  <c r="C2258" i="8"/>
  <c r="C2257" i="8"/>
  <c r="C2256" i="8"/>
  <c r="C2255" i="8"/>
  <c r="C2254" i="8"/>
  <c r="C2253" i="8"/>
  <c r="C2252" i="8"/>
  <c r="C2251" i="8"/>
  <c r="C2250" i="8"/>
  <c r="C2249" i="8"/>
  <c r="C2248" i="8"/>
  <c r="C2247" i="8"/>
  <c r="C2246" i="8"/>
  <c r="C2245" i="8"/>
  <c r="C2244" i="8"/>
  <c r="C2243" i="8"/>
  <c r="C2242" i="8"/>
  <c r="C2241" i="8"/>
  <c r="C2240" i="8"/>
  <c r="C2239" i="8"/>
  <c r="C2238" i="8"/>
  <c r="C2237" i="8"/>
  <c r="C2236" i="8"/>
  <c r="C2235" i="8"/>
  <c r="C2234" i="8"/>
  <c r="C2233" i="8"/>
  <c r="C2232" i="8"/>
  <c r="C2231" i="8"/>
  <c r="C2230" i="8"/>
  <c r="C2229" i="8"/>
  <c r="C2228" i="8"/>
  <c r="C2227" i="8"/>
  <c r="C2226" i="8"/>
  <c r="C2225" i="8"/>
  <c r="C2224" i="8"/>
  <c r="C2223" i="8"/>
  <c r="C2222" i="8"/>
  <c r="C2221" i="8"/>
  <c r="C2220" i="8"/>
  <c r="C2219" i="8"/>
  <c r="C2218" i="8"/>
  <c r="C2217" i="8"/>
  <c r="C2216" i="8"/>
  <c r="C2215" i="8"/>
  <c r="C2214" i="8"/>
  <c r="C2213" i="8"/>
  <c r="C2212" i="8"/>
  <c r="C2211" i="8"/>
  <c r="C2210" i="8"/>
  <c r="C2209" i="8"/>
  <c r="C2208" i="8"/>
  <c r="C2207" i="8"/>
  <c r="C2206" i="8"/>
  <c r="C2205" i="8"/>
  <c r="C2204" i="8"/>
  <c r="C2203" i="8"/>
  <c r="C2202" i="8"/>
  <c r="C2201" i="8"/>
  <c r="C2200" i="8"/>
  <c r="C2199" i="8"/>
  <c r="C2198" i="8"/>
  <c r="C2197" i="8"/>
  <c r="C2196" i="8"/>
  <c r="C2195" i="8"/>
  <c r="C2194" i="8"/>
  <c r="C2193" i="8"/>
  <c r="C2192" i="8"/>
  <c r="C2191" i="8"/>
  <c r="C2190" i="8"/>
  <c r="C2189" i="8"/>
  <c r="C2188" i="8"/>
  <c r="C2187" i="8"/>
  <c r="C2186" i="8"/>
  <c r="C2185" i="8"/>
  <c r="C2184" i="8"/>
  <c r="C2183" i="8"/>
  <c r="C2182" i="8"/>
  <c r="C2181" i="8"/>
  <c r="C2180" i="8"/>
  <c r="C2179" i="8"/>
  <c r="C2178" i="8"/>
  <c r="C2177" i="8"/>
  <c r="C2176" i="8"/>
  <c r="C2175" i="8"/>
  <c r="C2174" i="8"/>
  <c r="C2173" i="8"/>
  <c r="C2172" i="8"/>
  <c r="C2171" i="8"/>
  <c r="C2170" i="8"/>
  <c r="C2169" i="8"/>
  <c r="C2168" i="8"/>
  <c r="C2167" i="8"/>
  <c r="C2166" i="8"/>
  <c r="C2165" i="8"/>
  <c r="C2164" i="8"/>
  <c r="C2163" i="8"/>
  <c r="C2162" i="8"/>
  <c r="C2161" i="8"/>
  <c r="C2160" i="8"/>
  <c r="C2159" i="8"/>
  <c r="C2158" i="8"/>
  <c r="C2157" i="8"/>
  <c r="C2156" i="8"/>
  <c r="C2155" i="8"/>
  <c r="C2154" i="8"/>
  <c r="C2153" i="8"/>
  <c r="C2152" i="8"/>
  <c r="C2151" i="8"/>
  <c r="C2150" i="8"/>
  <c r="C2149" i="8"/>
  <c r="C2148" i="8"/>
  <c r="C2147" i="8"/>
  <c r="C2146" i="8"/>
  <c r="C2145" i="8"/>
  <c r="C2144" i="8"/>
  <c r="C2143" i="8"/>
  <c r="C2142" i="8"/>
  <c r="C2141" i="8"/>
  <c r="C2140" i="8"/>
  <c r="C2139" i="8"/>
  <c r="C2138" i="8"/>
  <c r="C2137" i="8"/>
  <c r="C2136" i="8"/>
  <c r="C2135" i="8"/>
  <c r="C2134" i="8"/>
  <c r="C2133" i="8"/>
  <c r="C2132" i="8"/>
  <c r="C2131" i="8"/>
  <c r="C2130" i="8"/>
  <c r="C2129" i="8"/>
  <c r="C2128" i="8"/>
  <c r="C2127" i="8"/>
  <c r="C2126" i="8"/>
  <c r="C2125" i="8"/>
  <c r="C2124" i="8"/>
  <c r="C2123" i="8"/>
  <c r="C2122" i="8"/>
  <c r="C2121" i="8"/>
  <c r="C2120" i="8"/>
  <c r="C2119" i="8"/>
  <c r="C2118" i="8"/>
  <c r="C2117" i="8"/>
  <c r="C2116" i="8"/>
  <c r="C2115" i="8"/>
  <c r="C2114" i="8"/>
  <c r="C2113" i="8"/>
  <c r="C2112" i="8"/>
  <c r="C2111" i="8"/>
  <c r="C2110" i="8"/>
  <c r="C2109" i="8"/>
  <c r="C2108" i="8"/>
  <c r="C2107" i="8"/>
  <c r="C2106" i="8"/>
  <c r="C2105" i="8"/>
  <c r="C2104" i="8"/>
  <c r="C2103" i="8"/>
  <c r="C2102" i="8"/>
  <c r="C2101" i="8"/>
  <c r="C2100" i="8"/>
  <c r="C2099" i="8"/>
  <c r="C2098" i="8"/>
  <c r="C2097" i="8"/>
  <c r="C2096" i="8"/>
  <c r="C2095" i="8"/>
  <c r="C2094" i="8"/>
  <c r="C2093" i="8"/>
  <c r="C2092" i="8"/>
  <c r="C2091" i="8"/>
  <c r="C2090" i="8"/>
  <c r="C2089" i="8"/>
  <c r="C2088" i="8"/>
  <c r="C2087" i="8"/>
  <c r="C2086" i="8"/>
  <c r="C2085" i="8"/>
  <c r="C2084" i="8"/>
  <c r="C2083" i="8"/>
  <c r="C2082" i="8"/>
  <c r="C2081" i="8"/>
  <c r="C2080" i="8"/>
  <c r="C2079" i="8"/>
  <c r="C2078" i="8"/>
  <c r="C2077" i="8"/>
  <c r="C2076" i="8"/>
  <c r="C2075" i="8"/>
  <c r="C2074" i="8"/>
  <c r="C2073" i="8"/>
  <c r="C2072" i="8"/>
  <c r="C2071" i="8"/>
  <c r="C2070" i="8"/>
  <c r="C2069" i="8"/>
  <c r="C2068" i="8"/>
  <c r="C2067" i="8"/>
  <c r="C2066" i="8"/>
  <c r="C2065" i="8"/>
  <c r="C2064" i="8"/>
  <c r="C2063" i="8"/>
  <c r="C2062" i="8"/>
  <c r="C2061" i="8"/>
  <c r="C2060" i="8"/>
  <c r="C2059" i="8"/>
  <c r="C2058" i="8"/>
  <c r="C2057" i="8"/>
  <c r="C2056" i="8"/>
  <c r="C2055" i="8"/>
  <c r="C2054" i="8"/>
  <c r="C2053" i="8"/>
  <c r="C2052" i="8"/>
  <c r="C2051" i="8"/>
  <c r="C2050" i="8"/>
  <c r="C2049" i="8"/>
  <c r="C2048" i="8"/>
  <c r="C2047" i="8"/>
  <c r="C2046" i="8"/>
  <c r="C2045" i="8"/>
  <c r="C2044" i="8"/>
  <c r="C2043" i="8"/>
  <c r="C2042" i="8"/>
  <c r="C2041" i="8"/>
  <c r="C2040" i="8"/>
  <c r="C2039" i="8"/>
  <c r="C2038" i="8"/>
  <c r="C2037" i="8"/>
  <c r="C2036" i="8"/>
  <c r="C2035" i="8"/>
  <c r="C2034" i="8"/>
  <c r="C2033" i="8"/>
  <c r="C2032" i="8"/>
  <c r="C2031" i="8"/>
  <c r="C2030" i="8"/>
  <c r="C2029" i="8"/>
  <c r="C2028" i="8"/>
  <c r="C2027" i="8"/>
  <c r="C2026" i="8"/>
  <c r="C2025" i="8"/>
  <c r="C2024" i="8"/>
  <c r="C2023" i="8"/>
  <c r="C2022" i="8"/>
  <c r="C2021" i="8"/>
  <c r="C2020" i="8"/>
  <c r="C2019" i="8"/>
  <c r="C2018" i="8"/>
  <c r="C2017" i="8"/>
  <c r="C2016" i="8"/>
  <c r="C2015" i="8"/>
  <c r="C2014" i="8"/>
  <c r="C2013" i="8"/>
  <c r="C2012" i="8"/>
  <c r="C2011" i="8"/>
  <c r="C2010" i="8"/>
  <c r="C2009" i="8"/>
  <c r="C2008" i="8"/>
  <c r="C2007" i="8"/>
  <c r="C2006" i="8"/>
  <c r="C2005" i="8"/>
  <c r="C2004" i="8"/>
  <c r="C2003" i="8"/>
  <c r="C2002" i="8"/>
  <c r="C2001" i="8"/>
  <c r="C2000" i="8"/>
  <c r="C1999" i="8"/>
  <c r="C1998" i="8"/>
  <c r="C1997" i="8"/>
  <c r="C1996" i="8"/>
  <c r="C1995" i="8"/>
  <c r="C1994" i="8"/>
  <c r="C1993" i="8"/>
  <c r="C1992" i="8"/>
  <c r="C1991" i="8"/>
  <c r="C1990" i="8"/>
  <c r="C1989" i="8"/>
  <c r="C1988" i="8"/>
  <c r="C1987" i="8"/>
  <c r="C1986" i="8"/>
  <c r="C1985" i="8"/>
  <c r="C1984" i="8"/>
  <c r="C1983" i="8"/>
  <c r="C1982" i="8"/>
  <c r="C1981" i="8"/>
  <c r="C1980" i="8"/>
  <c r="C1979" i="8"/>
  <c r="C1978" i="8"/>
  <c r="C1977" i="8"/>
  <c r="C1976" i="8"/>
  <c r="C1975" i="8"/>
  <c r="C1974" i="8"/>
  <c r="C1973" i="8"/>
  <c r="C1972" i="8"/>
  <c r="C1971" i="8"/>
  <c r="C1970" i="8"/>
  <c r="C1969" i="8"/>
  <c r="C1968" i="8"/>
  <c r="C1967" i="8"/>
  <c r="C1966" i="8"/>
  <c r="C1965" i="8"/>
  <c r="C1964" i="8"/>
  <c r="C1963" i="8"/>
  <c r="C1962" i="8"/>
  <c r="C1961" i="8"/>
  <c r="C1960" i="8"/>
  <c r="C1959" i="8"/>
  <c r="C1958" i="8"/>
  <c r="C1957" i="8"/>
  <c r="C1956" i="8"/>
  <c r="C1955" i="8"/>
  <c r="C1954" i="8"/>
  <c r="C1953" i="8"/>
  <c r="C1952" i="8"/>
  <c r="C1951" i="8"/>
  <c r="C1950" i="8"/>
  <c r="C1949" i="8"/>
  <c r="C1948" i="8"/>
  <c r="C1947" i="8"/>
  <c r="C1946" i="8"/>
  <c r="C1945" i="8"/>
  <c r="C1944" i="8"/>
  <c r="C1943" i="8"/>
  <c r="C1942" i="8"/>
  <c r="C1941" i="8"/>
  <c r="C1940" i="8"/>
  <c r="C1939" i="8"/>
  <c r="C1938" i="8"/>
  <c r="C1937" i="8"/>
  <c r="C1936" i="8"/>
  <c r="C1935" i="8"/>
  <c r="C1934" i="8"/>
  <c r="C1933" i="8"/>
  <c r="C1932" i="8"/>
  <c r="C1931" i="8"/>
  <c r="C1930" i="8"/>
  <c r="C1929" i="8"/>
  <c r="C1928" i="8"/>
  <c r="C1927" i="8"/>
  <c r="C1926" i="8"/>
  <c r="C1925" i="8"/>
  <c r="C1924" i="8"/>
  <c r="C1923" i="8"/>
  <c r="C1922" i="8"/>
  <c r="C1921" i="8"/>
  <c r="C1920" i="8"/>
  <c r="C1919" i="8"/>
  <c r="C1918" i="8"/>
  <c r="C1917" i="8"/>
  <c r="C1916" i="8"/>
  <c r="C1915" i="8"/>
  <c r="C1914" i="8"/>
  <c r="C1913" i="8"/>
  <c r="C1912" i="8"/>
  <c r="C1911" i="8"/>
  <c r="C1910" i="8"/>
  <c r="C1909" i="8"/>
  <c r="C1908" i="8"/>
  <c r="C1907" i="8"/>
  <c r="C1906" i="8"/>
  <c r="C1905" i="8"/>
  <c r="C1904" i="8"/>
  <c r="C1903" i="8"/>
  <c r="C1902" i="8"/>
  <c r="C1901" i="8"/>
  <c r="C1900" i="8"/>
  <c r="C1899" i="8"/>
  <c r="C1898" i="8"/>
  <c r="C1897" i="8"/>
  <c r="C1896" i="8"/>
  <c r="C1895" i="8"/>
  <c r="C1894" i="8"/>
  <c r="C1893" i="8"/>
  <c r="C1892" i="8"/>
  <c r="C1891" i="8"/>
  <c r="C1890" i="8"/>
  <c r="C1889" i="8"/>
  <c r="C1888" i="8"/>
  <c r="C1887" i="8"/>
  <c r="C1886" i="8"/>
  <c r="C1885" i="8"/>
  <c r="C1884" i="8"/>
  <c r="C1883" i="8"/>
  <c r="C1882" i="8"/>
  <c r="C1881" i="8"/>
  <c r="C1880" i="8"/>
  <c r="C1879" i="8"/>
  <c r="C1878" i="8"/>
  <c r="C1877" i="8"/>
  <c r="C1876" i="8"/>
  <c r="C1875" i="8"/>
  <c r="C1874" i="8"/>
  <c r="C1873" i="8"/>
  <c r="C1872" i="8"/>
  <c r="C1871" i="8"/>
  <c r="C1870" i="8"/>
  <c r="C1869" i="8"/>
  <c r="C1868" i="8"/>
  <c r="C1867" i="8"/>
  <c r="C1866" i="8"/>
  <c r="C1865" i="8"/>
  <c r="C1864" i="8"/>
  <c r="C1863" i="8"/>
  <c r="C1862" i="8"/>
  <c r="C1861" i="8"/>
  <c r="C1860" i="8"/>
  <c r="C1859" i="8"/>
  <c r="C1858" i="8"/>
  <c r="C1857" i="8"/>
  <c r="C1856" i="8"/>
  <c r="C1855" i="8"/>
  <c r="C1854" i="8"/>
  <c r="C1853" i="8"/>
  <c r="C1852" i="8"/>
  <c r="C1851" i="8"/>
  <c r="C1850" i="8"/>
  <c r="C1849" i="8"/>
  <c r="C1848" i="8"/>
  <c r="C1847" i="8"/>
  <c r="C1846" i="8"/>
  <c r="C1845" i="8"/>
  <c r="C1844" i="8"/>
  <c r="C1843" i="8"/>
  <c r="C1842" i="8"/>
  <c r="C1841" i="8"/>
  <c r="C1840" i="8"/>
  <c r="C1839" i="8"/>
  <c r="C1838" i="8"/>
  <c r="C1837" i="8"/>
  <c r="C1836" i="8"/>
  <c r="C1835" i="8"/>
  <c r="C1834" i="8"/>
  <c r="C1833" i="8"/>
  <c r="C1832" i="8"/>
  <c r="C1831" i="8"/>
  <c r="C1830" i="8"/>
  <c r="C1829" i="8"/>
  <c r="C1828" i="8"/>
  <c r="C1827" i="8"/>
  <c r="C1826" i="8"/>
  <c r="C1825" i="8"/>
  <c r="C1824" i="8"/>
  <c r="C1823" i="8"/>
  <c r="C1822" i="8"/>
  <c r="C1821" i="8"/>
  <c r="C1820" i="8"/>
  <c r="C1819" i="8"/>
  <c r="C1818" i="8"/>
  <c r="C1817" i="8"/>
  <c r="C1816" i="8"/>
  <c r="C1815" i="8"/>
  <c r="C1814" i="8"/>
  <c r="C1813" i="8"/>
  <c r="C1812" i="8"/>
  <c r="C1811" i="8"/>
  <c r="C1810" i="8"/>
  <c r="C1809" i="8"/>
  <c r="C1808" i="8"/>
  <c r="C1807" i="8"/>
  <c r="C1806" i="8"/>
  <c r="C1805" i="8"/>
  <c r="C1804" i="8"/>
  <c r="C1803" i="8"/>
  <c r="C1802" i="8"/>
  <c r="C1801" i="8"/>
  <c r="C1800" i="8"/>
  <c r="C1799" i="8"/>
  <c r="C1798" i="8"/>
  <c r="C1797" i="8"/>
  <c r="C1796" i="8"/>
  <c r="C1795" i="8"/>
  <c r="C1794" i="8"/>
  <c r="C1793" i="8"/>
  <c r="C1792" i="8"/>
  <c r="C1791" i="8"/>
  <c r="C1790" i="8"/>
  <c r="C1789" i="8"/>
  <c r="C1788" i="8"/>
  <c r="C1787" i="8"/>
  <c r="C1786" i="8"/>
  <c r="C1785" i="8"/>
  <c r="C1784" i="8"/>
  <c r="C1783" i="8"/>
  <c r="C1782" i="8"/>
  <c r="C1781" i="8"/>
  <c r="C1780" i="8"/>
  <c r="C1779" i="8"/>
  <c r="C1778" i="8"/>
  <c r="C1777" i="8"/>
  <c r="C1776" i="8"/>
  <c r="C1775" i="8"/>
  <c r="C1774" i="8"/>
  <c r="C1773" i="8"/>
  <c r="C1772" i="8"/>
  <c r="C1771" i="8"/>
  <c r="C1770" i="8"/>
  <c r="C1769" i="8"/>
  <c r="C1768" i="8"/>
  <c r="C1767" i="8"/>
  <c r="C1766" i="8"/>
  <c r="C1765" i="8"/>
  <c r="C1764" i="8"/>
  <c r="C1763" i="8"/>
  <c r="C1762" i="8"/>
  <c r="C1761" i="8"/>
  <c r="C1760" i="8"/>
  <c r="C1759" i="8"/>
  <c r="C1758" i="8"/>
  <c r="C1757" i="8"/>
  <c r="C1756" i="8"/>
  <c r="C1755" i="8"/>
  <c r="C1754" i="8"/>
  <c r="C1753" i="8"/>
  <c r="C1752" i="8"/>
  <c r="C1751" i="8"/>
  <c r="C1750" i="8"/>
  <c r="C1749" i="8"/>
  <c r="C1748" i="8"/>
  <c r="C1747" i="8"/>
  <c r="C1746" i="8"/>
  <c r="C1745" i="8"/>
  <c r="C1744" i="8"/>
  <c r="C1743" i="8"/>
  <c r="C1742" i="8"/>
  <c r="C1741" i="8"/>
  <c r="C1740" i="8"/>
  <c r="C1739" i="8"/>
  <c r="C1738" i="8"/>
  <c r="C1737" i="8"/>
  <c r="C1736" i="8"/>
  <c r="C1735" i="8"/>
  <c r="C1734" i="8"/>
  <c r="C1733" i="8"/>
  <c r="C1732" i="8"/>
  <c r="C1731" i="8"/>
  <c r="C1730" i="8"/>
  <c r="C1729" i="8"/>
  <c r="C1728" i="8"/>
  <c r="C1727" i="8"/>
  <c r="C1726" i="8"/>
  <c r="C1725" i="8"/>
  <c r="C1724" i="8"/>
  <c r="C1723" i="8"/>
  <c r="C1722" i="8"/>
  <c r="C1721" i="8"/>
  <c r="C1720" i="8"/>
  <c r="C1719" i="8"/>
  <c r="C1718" i="8"/>
  <c r="C1717" i="8"/>
  <c r="C1716" i="8"/>
  <c r="C1715" i="8"/>
  <c r="C1714" i="8"/>
  <c r="C1713" i="8"/>
  <c r="C1712" i="8"/>
  <c r="C1711" i="8"/>
  <c r="C1710" i="8"/>
  <c r="C1709" i="8"/>
  <c r="C1708" i="8"/>
  <c r="C1707" i="8"/>
  <c r="C1706" i="8"/>
  <c r="C1705" i="8"/>
  <c r="C1704" i="8"/>
  <c r="C1703" i="8"/>
  <c r="C1702" i="8"/>
  <c r="C1701" i="8"/>
  <c r="C1700" i="8"/>
  <c r="C1699" i="8"/>
  <c r="C1698" i="8"/>
  <c r="C1697" i="8"/>
  <c r="C1696" i="8"/>
  <c r="C1695" i="8"/>
  <c r="C1694" i="8"/>
  <c r="C1693" i="8"/>
  <c r="C1692" i="8"/>
  <c r="C1691" i="8"/>
  <c r="C1690" i="8"/>
  <c r="C1689" i="8"/>
  <c r="C1688" i="8"/>
  <c r="C1687" i="8"/>
  <c r="C1686" i="8"/>
  <c r="C1685" i="8"/>
  <c r="C1684" i="8"/>
  <c r="C1683" i="8"/>
  <c r="C1682" i="8"/>
  <c r="C1681" i="8"/>
  <c r="C1680" i="8"/>
  <c r="C1679" i="8"/>
  <c r="C1678" i="8"/>
  <c r="C1677" i="8"/>
  <c r="C1676" i="8"/>
  <c r="C1675" i="8"/>
  <c r="C1674" i="8"/>
  <c r="C1673" i="8"/>
  <c r="C1672" i="8"/>
  <c r="C1671" i="8"/>
  <c r="C1670" i="8"/>
  <c r="C1669" i="8"/>
  <c r="C1668" i="8"/>
  <c r="C1667" i="8"/>
  <c r="C1666" i="8"/>
  <c r="C1665" i="8"/>
  <c r="C1664" i="8"/>
  <c r="C1663" i="8"/>
  <c r="C1662" i="8"/>
  <c r="C1661" i="8"/>
  <c r="C1660" i="8"/>
  <c r="C1659" i="8"/>
  <c r="C1658" i="8"/>
  <c r="C1657" i="8"/>
  <c r="C1656" i="8"/>
  <c r="C1655" i="8"/>
  <c r="C1654" i="8"/>
  <c r="C1653" i="8"/>
  <c r="C1652" i="8"/>
  <c r="C1651" i="8"/>
  <c r="C1650" i="8"/>
  <c r="C1649" i="8"/>
  <c r="C1648" i="8"/>
  <c r="C1647" i="8"/>
  <c r="C1646" i="8"/>
  <c r="C1645" i="8"/>
  <c r="C1644" i="8"/>
  <c r="C1643" i="8"/>
  <c r="C1642" i="8"/>
  <c r="C1641" i="8"/>
  <c r="C1640" i="8"/>
  <c r="C1639" i="8"/>
  <c r="C1638" i="8"/>
  <c r="C1637" i="8"/>
  <c r="C1636" i="8"/>
  <c r="C1635" i="8"/>
  <c r="C1634" i="8"/>
  <c r="C1633" i="8"/>
  <c r="C1632" i="8"/>
  <c r="C1631" i="8"/>
  <c r="C1630" i="8"/>
  <c r="C1629" i="8"/>
  <c r="C1628" i="8"/>
  <c r="C1627" i="8"/>
  <c r="C1626" i="8"/>
  <c r="C1625" i="8"/>
  <c r="C1624" i="8"/>
  <c r="C1623" i="8"/>
  <c r="C1622" i="8"/>
  <c r="C1621" i="8"/>
  <c r="C1620" i="8"/>
  <c r="C1619" i="8"/>
  <c r="C1618" i="8"/>
  <c r="C1617" i="8"/>
  <c r="C1616" i="8"/>
  <c r="C1615" i="8"/>
  <c r="C1614" i="8"/>
  <c r="C1613" i="8"/>
  <c r="C1612" i="8"/>
  <c r="C1611" i="8"/>
  <c r="C1610" i="8"/>
  <c r="C1609" i="8"/>
  <c r="C1608" i="8"/>
  <c r="C1607" i="8"/>
  <c r="C1606" i="8"/>
  <c r="C1605" i="8"/>
  <c r="C1604" i="8"/>
  <c r="C1603" i="8"/>
  <c r="C1602" i="8"/>
  <c r="C1601" i="8"/>
  <c r="C1600" i="8"/>
  <c r="C1599" i="8"/>
  <c r="C1598" i="8"/>
  <c r="C1597" i="8"/>
  <c r="C1596" i="8"/>
  <c r="C1595" i="8"/>
  <c r="C1594" i="8"/>
  <c r="C1593" i="8"/>
  <c r="C1592" i="8"/>
  <c r="C1591" i="8"/>
  <c r="C1590" i="8"/>
  <c r="C1589" i="8"/>
  <c r="C1588" i="8"/>
  <c r="C1587" i="8"/>
  <c r="C1586" i="8"/>
  <c r="C1585" i="8"/>
  <c r="C1584" i="8"/>
  <c r="C1583" i="8"/>
  <c r="C1582" i="8"/>
  <c r="C1581" i="8"/>
  <c r="C1580" i="8"/>
  <c r="C1579" i="8"/>
  <c r="C1578" i="8"/>
  <c r="C1577" i="8"/>
  <c r="C1576" i="8"/>
  <c r="C1575" i="8"/>
  <c r="C1574" i="8"/>
  <c r="C1573" i="8"/>
  <c r="C1572" i="8"/>
  <c r="C1571" i="8"/>
  <c r="C1570" i="8"/>
  <c r="C1569" i="8"/>
  <c r="C1568" i="8"/>
  <c r="C1567" i="8"/>
  <c r="C1566" i="8"/>
  <c r="C1565" i="8"/>
  <c r="C1564" i="8"/>
  <c r="C1563" i="8"/>
  <c r="C1562" i="8"/>
  <c r="C1561" i="8"/>
  <c r="C1560" i="8"/>
  <c r="C1559" i="8"/>
  <c r="C1558" i="8"/>
  <c r="C1557" i="8"/>
  <c r="C1556" i="8"/>
  <c r="C1555" i="8"/>
  <c r="C1554" i="8"/>
  <c r="C1553" i="8"/>
  <c r="C1552" i="8"/>
  <c r="C1551" i="8"/>
  <c r="C1550" i="8"/>
  <c r="C1549" i="8"/>
  <c r="C1548" i="8"/>
  <c r="C1547" i="8"/>
  <c r="C1546" i="8"/>
  <c r="C1545" i="8"/>
  <c r="C1544" i="8"/>
  <c r="C1543" i="8"/>
  <c r="C1542" i="8"/>
  <c r="C1541" i="8"/>
  <c r="C1540" i="8"/>
  <c r="C1539" i="8"/>
  <c r="C1538" i="8"/>
  <c r="C1537" i="8"/>
  <c r="C1536" i="8"/>
  <c r="C1535" i="8"/>
  <c r="C1534" i="8"/>
  <c r="C1533" i="8"/>
  <c r="C1532" i="8"/>
  <c r="C1531" i="8"/>
  <c r="C1530" i="8"/>
  <c r="C1529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D2099" i="7"/>
  <c r="D2098" i="7"/>
  <c r="D2097" i="7"/>
  <c r="D2096" i="7"/>
  <c r="D2095" i="7"/>
  <c r="D2094" i="7"/>
  <c r="D2093" i="7"/>
  <c r="D2092" i="7"/>
  <c r="D2091" i="7"/>
  <c r="D2090" i="7"/>
  <c r="D2089" i="7"/>
  <c r="D2088" i="7"/>
  <c r="D2087" i="7"/>
  <c r="D2086" i="7"/>
  <c r="D2085" i="7"/>
  <c r="D2084" i="7"/>
  <c r="D2083" i="7"/>
  <c r="D2082" i="7"/>
  <c r="D2081" i="7"/>
  <c r="D2080" i="7"/>
  <c r="D2079" i="7"/>
  <c r="D2078" i="7"/>
  <c r="D2077" i="7"/>
  <c r="D2076" i="7"/>
  <c r="D2075" i="7"/>
  <c r="D2074" i="7"/>
  <c r="D2073" i="7"/>
  <c r="D2072" i="7"/>
  <c r="D2071" i="7"/>
  <c r="D2070" i="7"/>
  <c r="D2069" i="7"/>
  <c r="D2068" i="7"/>
  <c r="D2067" i="7"/>
  <c r="D2066" i="7"/>
  <c r="D2065" i="7"/>
  <c r="D2064" i="7"/>
  <c r="D2063" i="7"/>
  <c r="D2062" i="7"/>
  <c r="D2061" i="7"/>
  <c r="D2060" i="7"/>
  <c r="D2059" i="7"/>
  <c r="D2058" i="7"/>
  <c r="D2057" i="7"/>
  <c r="D2056" i="7"/>
  <c r="D2055" i="7"/>
  <c r="D2054" i="7"/>
  <c r="D2053" i="7"/>
  <c r="D2052" i="7"/>
  <c r="D2051" i="7"/>
  <c r="D2050" i="7"/>
  <c r="D2049" i="7"/>
  <c r="D2048" i="7"/>
  <c r="D2047" i="7"/>
  <c r="D2046" i="7"/>
  <c r="D2045" i="7"/>
  <c r="D2044" i="7"/>
  <c r="D2043" i="7"/>
  <c r="D2042" i="7"/>
  <c r="D2041" i="7"/>
  <c r="D2040" i="7"/>
  <c r="D2039" i="7"/>
  <c r="D2038" i="7"/>
  <c r="D2037" i="7"/>
  <c r="D2036" i="7"/>
  <c r="D2035" i="7"/>
  <c r="D2034" i="7"/>
  <c r="D2033" i="7"/>
  <c r="D2032" i="7"/>
  <c r="D2031" i="7"/>
  <c r="D2030" i="7"/>
  <c r="D2029" i="7"/>
  <c r="D2028" i="7"/>
  <c r="D2027" i="7"/>
  <c r="D2026" i="7"/>
  <c r="D2025" i="7"/>
  <c r="D2024" i="7"/>
  <c r="D2023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1983" i="7"/>
  <c r="D1982" i="7"/>
  <c r="D1981" i="7"/>
  <c r="D1980" i="7"/>
  <c r="D1979" i="7"/>
  <c r="D1978" i="7"/>
  <c r="D1977" i="7"/>
  <c r="D1976" i="7"/>
  <c r="D1975" i="7"/>
  <c r="D1974" i="7"/>
  <c r="D1973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6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3" i="7"/>
  <c r="D1862" i="7"/>
  <c r="D1861" i="7"/>
  <c r="D1860" i="7"/>
  <c r="D1859" i="7"/>
  <c r="D1858" i="7"/>
  <c r="D1857" i="7"/>
  <c r="D1856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91" i="7"/>
  <c r="D1790" i="7"/>
  <c r="D1789" i="7"/>
  <c r="D1788" i="7"/>
  <c r="D1787" i="7"/>
  <c r="D1786" i="7"/>
  <c r="D1785" i="7"/>
  <c r="D1784" i="7"/>
  <c r="D1783" i="7"/>
  <c r="D1782" i="7"/>
  <c r="D1781" i="7"/>
  <c r="D1780" i="7"/>
  <c r="D1779" i="7"/>
  <c r="D1778" i="7"/>
  <c r="D1777" i="7"/>
  <c r="D1776" i="7"/>
  <c r="D1775" i="7"/>
  <c r="D1774" i="7"/>
  <c r="D1773" i="7"/>
  <c r="D1772" i="7"/>
  <c r="D1771" i="7"/>
  <c r="D1770" i="7"/>
  <c r="D1769" i="7"/>
  <c r="D1768" i="7"/>
  <c r="D1767" i="7"/>
  <c r="D1766" i="7"/>
  <c r="D1765" i="7"/>
  <c r="D1764" i="7"/>
  <c r="D1763" i="7"/>
  <c r="D1762" i="7"/>
  <c r="D1761" i="7"/>
  <c r="D1760" i="7"/>
  <c r="D1759" i="7"/>
  <c r="D1758" i="7"/>
  <c r="D1757" i="7"/>
  <c r="D1756" i="7"/>
  <c r="D1755" i="7"/>
  <c r="D1754" i="7"/>
  <c r="D1753" i="7"/>
  <c r="D1752" i="7"/>
  <c r="D1751" i="7"/>
  <c r="D1750" i="7"/>
  <c r="D1749" i="7"/>
  <c r="D1748" i="7"/>
  <c r="D1747" i="7"/>
  <c r="D1746" i="7"/>
  <c r="D1745" i="7"/>
  <c r="D1744" i="7"/>
  <c r="D1743" i="7"/>
  <c r="D1742" i="7"/>
  <c r="D1741" i="7"/>
  <c r="D1740" i="7"/>
  <c r="D1739" i="7"/>
  <c r="D1738" i="7"/>
  <c r="D1737" i="7"/>
  <c r="D1736" i="7"/>
  <c r="D1735" i="7"/>
  <c r="D1734" i="7"/>
  <c r="D1733" i="7"/>
  <c r="D1732" i="7"/>
  <c r="D1731" i="7"/>
  <c r="D1730" i="7"/>
  <c r="D1729" i="7"/>
  <c r="D1728" i="7"/>
  <c r="D1727" i="7"/>
  <c r="D1726" i="7"/>
  <c r="D1725" i="7"/>
  <c r="D1724" i="7"/>
  <c r="D1723" i="7"/>
  <c r="D1722" i="7"/>
  <c r="D1721" i="7"/>
  <c r="D1720" i="7"/>
  <c r="D1719" i="7"/>
  <c r="D1718" i="7"/>
  <c r="D1717" i="7"/>
  <c r="D1716" i="7"/>
  <c r="D1715" i="7"/>
  <c r="D1714" i="7"/>
  <c r="D1713" i="7"/>
  <c r="D1712" i="7"/>
  <c r="D1711" i="7"/>
  <c r="D1710" i="7"/>
  <c r="D1709" i="7"/>
  <c r="D1708" i="7"/>
  <c r="D1707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AO28" i="1" a="1"/>
  <c r="AO28" i="1" s="1"/>
  <c r="AU4" i="1"/>
  <c r="AU3" i="1"/>
  <c r="AU2" i="1"/>
  <c r="H6" i="1"/>
  <c r="F6" i="1"/>
  <c r="AO27" i="1"/>
  <c r="AO26" i="1" s="1"/>
  <c r="AO25" i="1" s="1"/>
  <c r="AO24" i="1" s="1"/>
  <c r="AO23" i="1" s="1"/>
  <c r="AO22" i="1" s="1"/>
  <c r="AO21" i="1" s="1"/>
  <c r="AO20" i="1" s="1"/>
  <c r="AO19" i="1" s="1"/>
  <c r="AO18" i="1" s="1"/>
  <c r="AO17" i="1" s="1"/>
  <c r="AO16" i="1" s="1"/>
  <c r="AO15" i="1" s="1"/>
  <c r="AO14" i="1" s="1"/>
  <c r="AO13" i="1" s="1"/>
  <c r="AO12" i="1" s="1"/>
  <c r="AO11" i="1" s="1"/>
  <c r="AO10" i="1" s="1"/>
  <c r="AO9" i="1" s="1"/>
  <c r="AO8" i="1" s="1"/>
  <c r="AO7" i="1" s="1"/>
  <c r="AO6" i="1" s="1"/>
  <c r="AO5" i="1" s="1"/>
  <c r="AO4" i="1" s="1"/>
  <c r="AO3" i="1" s="1"/>
  <c r="D14" i="1"/>
  <c r="C7" i="1"/>
  <c r="AH27" i="1" l="1"/>
  <c r="AA27" i="1"/>
  <c r="AA28" i="1" s="1" a="1"/>
  <c r="AA28" i="1" s="1"/>
  <c r="R3" i="1"/>
  <c r="R4" i="1" s="1" a="1"/>
  <c r="R4" i="1" s="1"/>
  <c r="AH26" i="1" l="1"/>
  <c r="AH25" i="1" s="1"/>
  <c r="AH24" i="1" s="1"/>
  <c r="AH23" i="1" s="1"/>
  <c r="AH22" i="1" s="1"/>
  <c r="AH21" i="1" s="1"/>
  <c r="AH20" i="1" s="1"/>
  <c r="AH19" i="1" s="1"/>
  <c r="AH18" i="1" s="1"/>
  <c r="AH17" i="1" s="1"/>
  <c r="AH16" i="1" s="1"/>
  <c r="AH15" i="1" s="1"/>
  <c r="AH14" i="1" s="1"/>
  <c r="AH13" i="1" s="1"/>
  <c r="AH12" i="1" s="1"/>
  <c r="AH11" i="1" s="1"/>
  <c r="AH10" i="1" s="1"/>
  <c r="AH9" i="1" s="1"/>
  <c r="AH8" i="1" s="1"/>
  <c r="AH7" i="1" s="1"/>
  <c r="AH6" i="1" s="1"/>
  <c r="AH5" i="1" s="1"/>
  <c r="AH4" i="1" s="1"/>
  <c r="AH3" i="1" s="1"/>
  <c r="AH28" i="1" a="1"/>
  <c r="AH28" i="1" s="1"/>
  <c r="AA26" i="1"/>
  <c r="AM26" i="1" l="1"/>
  <c r="AL26" i="1"/>
  <c r="AK26" i="1"/>
  <c r="AF26" i="1"/>
  <c r="AE26" i="1"/>
  <c r="AD26" i="1"/>
  <c r="AJ26" i="1"/>
  <c r="AC26" i="1"/>
  <c r="AI26" i="1"/>
  <c r="AB26" i="1"/>
  <c r="AA25" i="1"/>
  <c r="AK25" i="1" l="1"/>
  <c r="AF25" i="1"/>
  <c r="AE25" i="1"/>
  <c r="AD25" i="1"/>
  <c r="AM25" i="1"/>
  <c r="AL25" i="1"/>
  <c r="AJ25" i="1"/>
  <c r="AC25" i="1"/>
  <c r="AI25" i="1"/>
  <c r="AB25" i="1"/>
  <c r="AA24" i="1"/>
  <c r="AE24" i="1" l="1"/>
  <c r="AD24" i="1"/>
  <c r="AM24" i="1"/>
  <c r="AL24" i="1"/>
  <c r="AK24" i="1"/>
  <c r="AF24" i="1"/>
  <c r="AJ24" i="1"/>
  <c r="AC24" i="1"/>
  <c r="AI24" i="1"/>
  <c r="AB24" i="1"/>
  <c r="AA23" i="1"/>
  <c r="AM23" i="1" l="1"/>
  <c r="AL23" i="1"/>
  <c r="AK23" i="1"/>
  <c r="AF23" i="1"/>
  <c r="AE23" i="1"/>
  <c r="AD23" i="1"/>
  <c r="AJ23" i="1"/>
  <c r="AC23" i="1"/>
  <c r="AI23" i="1"/>
  <c r="AB23" i="1"/>
  <c r="AA22" i="1"/>
  <c r="AM22" i="1" l="1"/>
  <c r="AL22" i="1"/>
  <c r="AK22" i="1"/>
  <c r="AF22" i="1"/>
  <c r="AE22" i="1"/>
  <c r="AD22" i="1"/>
  <c r="AJ22" i="1"/>
  <c r="AC22" i="1"/>
  <c r="AI22" i="1"/>
  <c r="AB22" i="1"/>
  <c r="AA21" i="1"/>
  <c r="AK21" i="1" l="1"/>
  <c r="AF21" i="1"/>
  <c r="AE21" i="1"/>
  <c r="AD21" i="1"/>
  <c r="AM21" i="1"/>
  <c r="AL21" i="1"/>
  <c r="AJ21" i="1"/>
  <c r="AC21" i="1"/>
  <c r="AI21" i="1"/>
  <c r="AB21" i="1"/>
  <c r="AA20" i="1"/>
  <c r="AE20" i="1" l="1"/>
  <c r="AD20" i="1"/>
  <c r="AM20" i="1"/>
  <c r="AL20" i="1"/>
  <c r="AK20" i="1"/>
  <c r="AF20" i="1"/>
  <c r="AJ20" i="1"/>
  <c r="AC20" i="1"/>
  <c r="AI20" i="1"/>
  <c r="AB20" i="1"/>
  <c r="AA19" i="1"/>
  <c r="AF19" i="1" l="1"/>
  <c r="AE19" i="1"/>
  <c r="AT19" i="1"/>
  <c r="AD19" i="1"/>
  <c r="AS19" i="1"/>
  <c r="AR19" i="1"/>
  <c r="AM19" i="1"/>
  <c r="AL19" i="1"/>
  <c r="AK19" i="1"/>
  <c r="AC19" i="1"/>
  <c r="AQ19" i="1"/>
  <c r="AJ19" i="1"/>
  <c r="AB19" i="1"/>
  <c r="AP19" i="1"/>
  <c r="AI19" i="1"/>
  <c r="AA18" i="1"/>
  <c r="AK18" i="1" l="1"/>
  <c r="AF18" i="1"/>
  <c r="AE18" i="1"/>
  <c r="AT18" i="1"/>
  <c r="AD18" i="1"/>
  <c r="AS18" i="1"/>
  <c r="AR18" i="1"/>
  <c r="AM18" i="1"/>
  <c r="AL18" i="1"/>
  <c r="AQ18" i="1"/>
  <c r="AJ18" i="1"/>
  <c r="AC18" i="1"/>
  <c r="AP18" i="1"/>
  <c r="AI18" i="1"/>
  <c r="AB18" i="1"/>
  <c r="AA17" i="1"/>
  <c r="AL17" i="1" l="1"/>
  <c r="AK17" i="1"/>
  <c r="AF17" i="1"/>
  <c r="AE17" i="1"/>
  <c r="AT17" i="1"/>
  <c r="AD17" i="1"/>
  <c r="AS17" i="1"/>
  <c r="AR17" i="1"/>
  <c r="AM17" i="1"/>
  <c r="AQ17" i="1"/>
  <c r="AJ17" i="1"/>
  <c r="AC17" i="1"/>
  <c r="AP17" i="1"/>
  <c r="AI17" i="1"/>
  <c r="AB17" i="1"/>
  <c r="AA16" i="1"/>
  <c r="AM16" i="1" l="1"/>
  <c r="AL16" i="1"/>
  <c r="AK16" i="1"/>
  <c r="AF16" i="1"/>
  <c r="AE16" i="1"/>
  <c r="AT16" i="1"/>
  <c r="AD16" i="1"/>
  <c r="AS16" i="1"/>
  <c r="AR16" i="1"/>
  <c r="AJ16" i="1"/>
  <c r="AC16" i="1"/>
  <c r="AQ16" i="1"/>
  <c r="AI16" i="1"/>
  <c r="AB16" i="1"/>
  <c r="AP16" i="1"/>
  <c r="AA15" i="1"/>
  <c r="AR15" i="1" l="1"/>
  <c r="AM15" i="1"/>
  <c r="AM27" i="1" s="1"/>
  <c r="AL15" i="1"/>
  <c r="AL27" i="1" s="1"/>
  <c r="AL28" i="1" s="1"/>
  <c r="AL29" i="1" s="1"/>
  <c r="AK15" i="1"/>
  <c r="AK27" i="1" s="1"/>
  <c r="AF15" i="1"/>
  <c r="AE15" i="1"/>
  <c r="AT15" i="1"/>
  <c r="AD15" i="1"/>
  <c r="AS15" i="1"/>
  <c r="AQ15" i="1"/>
  <c r="AJ15" i="1"/>
  <c r="AJ27" i="1" s="1"/>
  <c r="AJ28" i="1" s="1"/>
  <c r="AJ29" i="1" s="1"/>
  <c r="AC15" i="1"/>
  <c r="AP15" i="1"/>
  <c r="AI15" i="1"/>
  <c r="AI27" i="1" s="1"/>
  <c r="AB15" i="1"/>
  <c r="AA14" i="1"/>
  <c r="AS14" i="1" l="1"/>
  <c r="AR14" i="1"/>
  <c r="AM14" i="1"/>
  <c r="AL14" i="1"/>
  <c r="AK14" i="1"/>
  <c r="AF14" i="1"/>
  <c r="AE14" i="1"/>
  <c r="AT14" i="1"/>
  <c r="AD14" i="1"/>
  <c r="AQ14" i="1"/>
  <c r="AJ14" i="1"/>
  <c r="AC14" i="1"/>
  <c r="AP14" i="1"/>
  <c r="AI14" i="1"/>
  <c r="AB14" i="1"/>
  <c r="AJ30" i="1"/>
  <c r="AK28" i="1"/>
  <c r="AK29" i="1" s="1"/>
  <c r="AK30" i="1" s="1"/>
  <c r="AL30" i="1"/>
  <c r="AL31" i="1" s="1"/>
  <c r="AM28" i="1"/>
  <c r="AI28" i="1"/>
  <c r="AI29" i="1" s="1"/>
  <c r="AA13" i="1"/>
  <c r="AT13" i="1" l="1"/>
  <c r="AD13" i="1"/>
  <c r="AS13" i="1"/>
  <c r="AR13" i="1"/>
  <c r="AM13" i="1"/>
  <c r="AL13" i="1"/>
  <c r="AK13" i="1"/>
  <c r="AF13" i="1"/>
  <c r="AE13" i="1"/>
  <c r="AQ13" i="1"/>
  <c r="AJ13" i="1"/>
  <c r="AC13" i="1"/>
  <c r="AP13" i="1"/>
  <c r="AI13" i="1"/>
  <c r="AB13" i="1"/>
  <c r="AJ31" i="1"/>
  <c r="AJ32" i="1" s="1"/>
  <c r="AJ33" i="1" s="1"/>
  <c r="AM29" i="1"/>
  <c r="AM30" i="1" s="1"/>
  <c r="AL32" i="1"/>
  <c r="AI30" i="1"/>
  <c r="AI31" i="1" s="1"/>
  <c r="AK31" i="1"/>
  <c r="AA12" i="1"/>
  <c r="AE12" i="1" l="1"/>
  <c r="AT12" i="1"/>
  <c r="AD12" i="1"/>
  <c r="AS12" i="1"/>
  <c r="AR12" i="1"/>
  <c r="AM12" i="1"/>
  <c r="AL12" i="1"/>
  <c r="AK12" i="1"/>
  <c r="AF12" i="1"/>
  <c r="AQ12" i="1"/>
  <c r="AJ12" i="1"/>
  <c r="AC12" i="1"/>
  <c r="AP12" i="1"/>
  <c r="AI12" i="1"/>
  <c r="AB12" i="1"/>
  <c r="AM31" i="1"/>
  <c r="AM32" i="1" s="1"/>
  <c r="AJ34" i="1"/>
  <c r="AJ35" i="1" s="1"/>
  <c r="AL33" i="1"/>
  <c r="AI32" i="1"/>
  <c r="AI33" i="1" s="1"/>
  <c r="AI34" i="1" s="1"/>
  <c r="AK32" i="1"/>
  <c r="AK33" i="1" s="1"/>
  <c r="AA11" i="1"/>
  <c r="AF11" i="1" l="1"/>
  <c r="AE11" i="1"/>
  <c r="AT11" i="1"/>
  <c r="AD11" i="1"/>
  <c r="AS11" i="1"/>
  <c r="AR11" i="1"/>
  <c r="AM11" i="1"/>
  <c r="AL11" i="1"/>
  <c r="AK11" i="1"/>
  <c r="AC11" i="1"/>
  <c r="AQ11" i="1"/>
  <c r="AJ11" i="1"/>
  <c r="AB11" i="1"/>
  <c r="AP11" i="1"/>
  <c r="AI11" i="1"/>
  <c r="AM33" i="1"/>
  <c r="AM34" i="1" s="1"/>
  <c r="AM35" i="1" s="1"/>
  <c r="AM36" i="1" s="1"/>
  <c r="AL34" i="1"/>
  <c r="AL35" i="1" s="1"/>
  <c r="AL36" i="1" s="1"/>
  <c r="AK34" i="1"/>
  <c r="AK35" i="1" s="1"/>
  <c r="AI35" i="1"/>
  <c r="AJ36" i="1"/>
  <c r="AJ37" i="1" s="1"/>
  <c r="AA10" i="1"/>
  <c r="AK10" i="1" l="1"/>
  <c r="AF10" i="1"/>
  <c r="AE10" i="1"/>
  <c r="AT10" i="1"/>
  <c r="AD10" i="1"/>
  <c r="AS10" i="1"/>
  <c r="AR10" i="1"/>
  <c r="AM10" i="1"/>
  <c r="AL10" i="1"/>
  <c r="AQ10" i="1"/>
  <c r="AJ10" i="1"/>
  <c r="AC10" i="1"/>
  <c r="AP10" i="1"/>
  <c r="AI10" i="1"/>
  <c r="AB10" i="1"/>
  <c r="AK36" i="1"/>
  <c r="AK37" i="1" s="1"/>
  <c r="AK38" i="1" s="1"/>
  <c r="AL37" i="1"/>
  <c r="AI36" i="1"/>
  <c r="AM37" i="1"/>
  <c r="AM38" i="1" s="1"/>
  <c r="AJ38" i="1"/>
  <c r="AJ39" i="1" s="1"/>
  <c r="AA9" i="1"/>
  <c r="AL9" i="1" l="1"/>
  <c r="AK9" i="1"/>
  <c r="AF9" i="1"/>
  <c r="AE9" i="1"/>
  <c r="AT9" i="1"/>
  <c r="AD9" i="1"/>
  <c r="AS9" i="1"/>
  <c r="AR9" i="1"/>
  <c r="AM9" i="1"/>
  <c r="AQ9" i="1"/>
  <c r="AJ9" i="1"/>
  <c r="AC9" i="1"/>
  <c r="AP9" i="1"/>
  <c r="AI9" i="1"/>
  <c r="AB9" i="1"/>
  <c r="AI37" i="1"/>
  <c r="AK39" i="1"/>
  <c r="AK40" i="1" s="1"/>
  <c r="AL38" i="1"/>
  <c r="AL39" i="1" s="1"/>
  <c r="AL40" i="1" s="1"/>
  <c r="AL41" i="1" s="1"/>
  <c r="AM39" i="1"/>
  <c r="AJ40" i="1"/>
  <c r="AJ41" i="1" s="1"/>
  <c r="AJ42" i="1" s="1"/>
  <c r="AA8" i="1"/>
  <c r="AM8" i="1" l="1"/>
  <c r="AL8" i="1"/>
  <c r="AK8" i="1"/>
  <c r="AF8" i="1"/>
  <c r="AE8" i="1"/>
  <c r="AT8" i="1"/>
  <c r="AD8" i="1"/>
  <c r="AS8" i="1"/>
  <c r="AR8" i="1"/>
  <c r="AJ8" i="1"/>
  <c r="AC8" i="1"/>
  <c r="AQ8" i="1"/>
  <c r="AI8" i="1"/>
  <c r="AB8" i="1"/>
  <c r="AP8" i="1"/>
  <c r="AL42" i="1"/>
  <c r="AL43" i="1" s="1"/>
  <c r="AK41" i="1"/>
  <c r="AK42" i="1" s="1"/>
  <c r="AI38" i="1"/>
  <c r="AJ43" i="1"/>
  <c r="AJ44" i="1" s="1"/>
  <c r="AM40" i="1"/>
  <c r="AA7" i="1"/>
  <c r="AR7" i="1" l="1"/>
  <c r="AM7" i="1"/>
  <c r="AL7" i="1"/>
  <c r="AK7" i="1"/>
  <c r="AF7" i="1"/>
  <c r="AE7" i="1"/>
  <c r="AT7" i="1"/>
  <c r="AD7" i="1"/>
  <c r="AS7" i="1"/>
  <c r="AQ7" i="1"/>
  <c r="AJ7" i="1"/>
  <c r="AC7" i="1"/>
  <c r="AP7" i="1"/>
  <c r="AI7" i="1"/>
  <c r="AB7" i="1"/>
  <c r="AL44" i="1"/>
  <c r="AL45" i="1" s="1"/>
  <c r="AL46" i="1" s="1"/>
  <c r="AL47" i="1" s="1"/>
  <c r="AL48" i="1" s="1"/>
  <c r="AK43" i="1"/>
  <c r="AK44" i="1" s="1"/>
  <c r="AK45" i="1" s="1"/>
  <c r="AK46" i="1" s="1"/>
  <c r="AK47" i="1" s="1"/>
  <c r="AI39" i="1"/>
  <c r="AM41" i="1"/>
  <c r="AJ45" i="1"/>
  <c r="AJ46" i="1" s="1"/>
  <c r="AJ47" i="1" s="1"/>
  <c r="AA6" i="1"/>
  <c r="AS6" i="1" l="1"/>
  <c r="AR6" i="1"/>
  <c r="AM6" i="1"/>
  <c r="AL6" i="1"/>
  <c r="AK6" i="1"/>
  <c r="AF6" i="1"/>
  <c r="AE6" i="1"/>
  <c r="AT6" i="1"/>
  <c r="AD6" i="1"/>
  <c r="AQ6" i="1"/>
  <c r="AJ6" i="1"/>
  <c r="AC6" i="1"/>
  <c r="AP6" i="1"/>
  <c r="AI6" i="1"/>
  <c r="AB6" i="1"/>
  <c r="AL49" i="1"/>
  <c r="AL50" i="1" s="1"/>
  <c r="AK48" i="1"/>
  <c r="AK49" i="1" s="1"/>
  <c r="AK50" i="1" s="1"/>
  <c r="AI40" i="1"/>
  <c r="AM42" i="1"/>
  <c r="AJ48" i="1"/>
  <c r="AJ49" i="1" s="1"/>
  <c r="AA5" i="1"/>
  <c r="AT5" i="1" l="1"/>
  <c r="AD5" i="1"/>
  <c r="AS5" i="1"/>
  <c r="AR5" i="1"/>
  <c r="AM5" i="1"/>
  <c r="AL5" i="1"/>
  <c r="AK5" i="1"/>
  <c r="AF5" i="1"/>
  <c r="AE5" i="1"/>
  <c r="AQ5" i="1"/>
  <c r="AJ5" i="1"/>
  <c r="AC5" i="1"/>
  <c r="AP5" i="1"/>
  <c r="AI5" i="1"/>
  <c r="AB5" i="1"/>
  <c r="AI41" i="1"/>
  <c r="AI42" i="1" s="1"/>
  <c r="AM43" i="1"/>
  <c r="AJ50" i="1"/>
  <c r="AA4" i="1"/>
  <c r="AE4" i="1" l="1"/>
  <c r="AT4" i="1"/>
  <c r="AD4" i="1"/>
  <c r="AS4" i="1"/>
  <c r="AR4" i="1"/>
  <c r="AM4" i="1"/>
  <c r="AL4" i="1"/>
  <c r="AK4" i="1"/>
  <c r="AF4" i="1"/>
  <c r="AQ4" i="1"/>
  <c r="AJ4" i="1"/>
  <c r="AC4" i="1"/>
  <c r="AP4" i="1"/>
  <c r="AI4" i="1"/>
  <c r="AB4" i="1"/>
  <c r="AI43" i="1"/>
  <c r="AI44" i="1" s="1"/>
  <c r="AM44" i="1"/>
  <c r="AM45" i="1" s="1"/>
  <c r="AA3" i="1"/>
  <c r="AF3" i="1" l="1"/>
  <c r="AE3" i="1"/>
  <c r="AT3" i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D3" i="1"/>
  <c r="AS3" i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R3" i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M3" i="1"/>
  <c r="AL3" i="1"/>
  <c r="AK3" i="1"/>
  <c r="AC3" i="1"/>
  <c r="AQ3" i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J3" i="1"/>
  <c r="AB3" i="1"/>
  <c r="AP3" i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I3" i="1"/>
  <c r="AI45" i="1"/>
  <c r="AI46" i="1" s="1"/>
  <c r="AM46" i="1"/>
  <c r="AM47" i="1" s="1"/>
  <c r="AM48" i="1" s="1"/>
  <c r="AI47" i="1" l="1"/>
  <c r="AM49" i="1"/>
  <c r="AM50" i="1" s="1"/>
  <c r="AD27" i="1"/>
  <c r="AC27" i="1"/>
  <c r="AE27" i="1"/>
  <c r="AB27" i="1"/>
  <c r="AF27" i="1"/>
  <c r="AI48" i="1" l="1"/>
  <c r="AI49" i="1" s="1"/>
  <c r="AC28" i="1"/>
  <c r="AF28" i="1"/>
  <c r="AE28" i="1"/>
  <c r="AE29" i="1" s="1"/>
  <c r="AD28" i="1"/>
  <c r="AB28" i="1"/>
  <c r="AI50" i="1" l="1"/>
  <c r="AC29" i="1"/>
  <c r="AC30" i="1" s="1"/>
  <c r="AD29" i="1"/>
  <c r="AB29" i="1"/>
  <c r="AB30" i="1" s="1"/>
  <c r="AF29" i="1"/>
  <c r="AE30" i="1"/>
  <c r="AE31" i="1" s="1"/>
  <c r="AC31" i="1" l="1"/>
  <c r="AC32" i="1" s="1"/>
  <c r="AC33" i="1" s="1"/>
  <c r="AC34" i="1" s="1"/>
  <c r="AD30" i="1"/>
  <c r="AD31" i="1" s="1"/>
  <c r="AE32" i="1"/>
  <c r="AE33" i="1" s="1"/>
  <c r="AB31" i="1"/>
  <c r="AF30" i="1"/>
  <c r="AE34" i="1" l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C35" i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D32" i="1"/>
  <c r="AD33" i="1" s="1"/>
  <c r="AD34" i="1" s="1"/>
  <c r="AF31" i="1"/>
  <c r="AF32" i="1" s="1"/>
  <c r="AB32" i="1"/>
  <c r="AB33" i="1" l="1"/>
  <c r="AB34" i="1" s="1"/>
  <c r="AB35" i="1" s="1"/>
  <c r="AB36" i="1" s="1"/>
  <c r="AB37" i="1" s="1"/>
  <c r="AF33" i="1"/>
  <c r="AD35" i="1"/>
  <c r="AD36" i="1" s="1"/>
  <c r="AF34" i="1" l="1"/>
  <c r="AD37" i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B38" i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F35" i="1" l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S3" i="1" s="1" a="1"/>
  <c r="T25" i="1" l="1"/>
  <c r="S22" i="1"/>
  <c r="W18" i="1"/>
  <c r="V15" i="1"/>
  <c r="U12" i="1"/>
  <c r="T9" i="1"/>
  <c r="S6" i="1"/>
  <c r="S3" i="1"/>
  <c r="T24" i="1"/>
  <c r="S21" i="1"/>
  <c r="W17" i="1"/>
  <c r="V14" i="1"/>
  <c r="U11" i="1"/>
  <c r="T8" i="1"/>
  <c r="S5" i="1"/>
  <c r="T26" i="1"/>
  <c r="S23" i="1"/>
  <c r="W19" i="1"/>
  <c r="V16" i="1"/>
  <c r="U13" i="1"/>
  <c r="T10" i="1"/>
  <c r="S7" i="1"/>
  <c r="W3" i="1"/>
  <c r="W25" i="1"/>
  <c r="V22" i="1"/>
  <c r="U19" i="1"/>
  <c r="T16" i="1"/>
  <c r="S13" i="1"/>
  <c r="W9" i="1"/>
  <c r="V6" i="1"/>
  <c r="U3" i="1"/>
  <c r="S26" i="1"/>
  <c r="W22" i="1"/>
  <c r="V19" i="1"/>
  <c r="U16" i="1"/>
  <c r="T13" i="1"/>
  <c r="S10" i="1"/>
  <c r="W6" i="1"/>
  <c r="V3" i="1"/>
  <c r="U25" i="1"/>
  <c r="W20" i="1"/>
  <c r="S16" i="1"/>
  <c r="V11" i="1"/>
  <c r="T7" i="1"/>
  <c r="U20" i="1"/>
  <c r="U15" i="1"/>
  <c r="S11" i="1"/>
  <c r="W10" i="1"/>
  <c r="S20" i="1"/>
  <c r="V23" i="1"/>
  <c r="T23" i="1"/>
  <c r="W13" i="1"/>
  <c r="U4" i="1"/>
  <c r="U8" i="1"/>
  <c r="S25" i="1"/>
  <c r="V20" i="1"/>
  <c r="W15" i="1"/>
  <c r="T11" i="1"/>
  <c r="U6" i="1"/>
  <c r="W24" i="1"/>
  <c r="V24" i="1"/>
  <c r="T20" i="1"/>
  <c r="T15" i="1"/>
  <c r="W5" i="1"/>
  <c r="S15" i="1"/>
  <c r="U14" i="1"/>
  <c r="V18" i="1"/>
  <c r="W4" i="1"/>
  <c r="T6" i="1"/>
  <c r="U24" i="1"/>
  <c r="V5" i="1"/>
  <c r="W23" i="1"/>
  <c r="V9" i="1"/>
  <c r="U18" i="1"/>
  <c r="V4" i="1"/>
  <c r="V17" i="1"/>
  <c r="S4" i="1"/>
  <c r="V10" i="1"/>
  <c r="U9" i="1"/>
  <c r="U23" i="1"/>
  <c r="S9" i="1"/>
  <c r="T18" i="1"/>
  <c r="W8" i="1"/>
  <c r="U22" i="1"/>
  <c r="S18" i="1"/>
  <c r="V13" i="1"/>
  <c r="V8" i="1"/>
  <c r="T4" i="1"/>
  <c r="S19" i="1"/>
  <c r="T5" i="1"/>
  <c r="T14" i="1"/>
  <c r="T22" i="1"/>
  <c r="W12" i="1"/>
  <c r="S24" i="1"/>
  <c r="T19" i="1"/>
  <c r="W14" i="1"/>
  <c r="U10" i="1"/>
  <c r="U5" i="1"/>
  <c r="S14" i="1"/>
  <c r="S17" i="1"/>
  <c r="W16" i="1"/>
  <c r="V12" i="1"/>
  <c r="T12" i="1"/>
  <c r="S12" i="1"/>
  <c r="W11" i="1"/>
  <c r="W26" i="1"/>
  <c r="S8" i="1"/>
  <c r="W7" i="1"/>
  <c r="V7" i="1"/>
  <c r="V25" i="1"/>
  <c r="U7" i="1"/>
  <c r="W21" i="1"/>
  <c r="V26" i="1"/>
  <c r="U26" i="1"/>
  <c r="T3" i="1"/>
  <c r="V21" i="1"/>
  <c r="U21" i="1"/>
  <c r="T21" i="1"/>
  <c r="U17" i="1"/>
  <c r="T17" i="1"/>
  <c r="X3" i="1" l="1" a="1"/>
  <c r="X3" i="1" s="1"/>
  <c r="D21" i="1" s="1" a="1"/>
  <c r="Y3" i="1" a="1"/>
  <c r="D16" i="1" a="1"/>
  <c r="D17" i="1" a="1"/>
  <c r="N11" i="1" l="1"/>
  <c r="Y18" i="1"/>
  <c r="Y11" i="1"/>
  <c r="Y12" i="1"/>
  <c r="Y3" i="1"/>
  <c r="Y19" i="1"/>
  <c r="Y10" i="1"/>
  <c r="Y4" i="1"/>
  <c r="Y20" i="1"/>
  <c r="Y8" i="1"/>
  <c r="Y9" i="1"/>
  <c r="Y5" i="1"/>
  <c r="Y21" i="1"/>
  <c r="Y24" i="1"/>
  <c r="Y6" i="1"/>
  <c r="Y22" i="1"/>
  <c r="Y25" i="1"/>
  <c r="Y26" i="1"/>
  <c r="Y7" i="1"/>
  <c r="Y23" i="1"/>
  <c r="Y13" i="1"/>
  <c r="Y14" i="1"/>
  <c r="Y15" i="1"/>
  <c r="Y16" i="1"/>
  <c r="Y17" i="1"/>
  <c r="N21" i="1"/>
  <c r="M22" i="1"/>
  <c r="I21" i="1"/>
  <c r="G22" i="1"/>
  <c r="D21" i="1"/>
  <c r="E22" i="1"/>
  <c r="D22" i="1"/>
  <c r="F22" i="1"/>
  <c r="K21" i="1"/>
  <c r="G21" i="1"/>
  <c r="L22" i="1"/>
  <c r="J22" i="1"/>
  <c r="I22" i="1"/>
  <c r="J21" i="1"/>
  <c r="H21" i="1"/>
  <c r="F21" i="1"/>
  <c r="N22" i="1"/>
  <c r="K22" i="1"/>
  <c r="E21" i="1"/>
  <c r="O22" i="1"/>
  <c r="L11" i="1" s="1"/>
  <c r="O21" i="1"/>
  <c r="H22" i="1"/>
  <c r="M21" i="1"/>
  <c r="L21" i="1"/>
  <c r="N19" i="1"/>
  <c r="J18" i="1"/>
  <c r="F17" i="1"/>
  <c r="I19" i="1"/>
  <c r="E18" i="1"/>
  <c r="O18" i="1"/>
  <c r="K17" i="1"/>
  <c r="N18" i="1"/>
  <c r="J17" i="1"/>
  <c r="M18" i="1"/>
  <c r="I17" i="1"/>
  <c r="F18" i="1"/>
  <c r="N17" i="1"/>
  <c r="K19" i="1"/>
  <c r="D17" i="1"/>
  <c r="O19" i="1"/>
  <c r="D18" i="1"/>
  <c r="M19" i="1"/>
  <c r="O17" i="1"/>
  <c r="G19" i="1"/>
  <c r="F19" i="1"/>
  <c r="L19" i="1"/>
  <c r="M17" i="1"/>
  <c r="H19" i="1"/>
  <c r="G17" i="1"/>
  <c r="E17" i="1"/>
  <c r="H17" i="1"/>
  <c r="E19" i="1"/>
  <c r="D19" i="1"/>
  <c r="L18" i="1"/>
  <c r="J19" i="1"/>
  <c r="L17" i="1"/>
  <c r="I18" i="1"/>
  <c r="K18" i="1"/>
  <c r="G18" i="1"/>
  <c r="H18" i="1"/>
  <c r="E16" i="1"/>
  <c r="J16" i="1"/>
  <c r="I16" i="1"/>
  <c r="H16" i="1"/>
  <c r="O16" i="1"/>
  <c r="K16" i="1"/>
  <c r="N16" i="1"/>
  <c r="L16" i="1"/>
  <c r="M16" i="1"/>
  <c r="D16" i="1"/>
  <c r="G16" i="1"/>
  <c r="F16" i="1"/>
  <c r="H11" i="1" l="1"/>
  <c r="F11" i="1"/>
  <c r="J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<sst xmlns="http://schemas.openxmlformats.org/spreadsheetml/2006/main" count="19071" uniqueCount="2005">
  <si>
    <t>Linear Regression</t>
  </si>
  <si>
    <t>Moving Average</t>
  </si>
  <si>
    <t>Simple Exponential Smoothing</t>
  </si>
  <si>
    <t>Month Year</t>
  </si>
  <si>
    <t>Acquired Leads</t>
  </si>
  <si>
    <t>Meetings Booked</t>
  </si>
  <si>
    <t>New Opportunities</t>
  </si>
  <si>
    <t># Projected Closed/Won</t>
  </si>
  <si>
    <t>$ Forecasted Revenue</t>
  </si>
  <si>
    <t>Total Revenue</t>
  </si>
  <si>
    <t>Label</t>
  </si>
  <si>
    <t>Closed/Won</t>
  </si>
  <si>
    <t>New Revenue per Month</t>
  </si>
  <si>
    <t>Salesforce 12-Month Sales Forecast Dashboard</t>
  </si>
  <si>
    <t>Forecast Method:</t>
  </si>
  <si>
    <t>New Forecasted Revenue</t>
  </si>
  <si>
    <t>Total Forecast Revenue</t>
  </si>
  <si>
    <t>24-Month Sales Forecast</t>
  </si>
  <si>
    <t>24-Month Leads-to-Won Forecast</t>
  </si>
  <si>
    <t>First Name</t>
  </si>
  <si>
    <t>Last Name</t>
  </si>
  <si>
    <t>Company</t>
  </si>
  <si>
    <t>Created Date</t>
  </si>
  <si>
    <t>Status</t>
  </si>
  <si>
    <t>Kase</t>
  </si>
  <si>
    <t>Perez</t>
  </si>
  <si>
    <t>Account  Jennings981</t>
  </si>
  <si>
    <t>Product Qualified Lead</t>
  </si>
  <si>
    <t>Sophia</t>
  </si>
  <si>
    <t>Nguyen</t>
  </si>
  <si>
    <t>Account  Stokes949XX - new - new</t>
  </si>
  <si>
    <t>Marketing Qualified Lead</t>
  </si>
  <si>
    <t>Kayden</t>
  </si>
  <si>
    <t>Hayes</t>
  </si>
  <si>
    <t>Account  Leonard584X</t>
  </si>
  <si>
    <t>Sales Qualified Lead</t>
  </si>
  <si>
    <t>Karson</t>
  </si>
  <si>
    <t>Parker</t>
  </si>
  <si>
    <t>Account  Daniels627XX - new</t>
  </si>
  <si>
    <t>Opportunity</t>
  </si>
  <si>
    <t>Faith</t>
  </si>
  <si>
    <t>Simmons</t>
  </si>
  <si>
    <t>Account  Robbins1143</t>
  </si>
  <si>
    <t>Ryder</t>
  </si>
  <si>
    <t>Adams</t>
  </si>
  <si>
    <t>Account  Watson1794</t>
  </si>
  <si>
    <t>Mia</t>
  </si>
  <si>
    <t>Thompson</t>
  </si>
  <si>
    <t>Account  Abbott1184X</t>
  </si>
  <si>
    <t>Kade</t>
  </si>
  <si>
    <t>Martinez</t>
  </si>
  <si>
    <t>Account  Cross1834 -</t>
  </si>
  <si>
    <t>Kaia</t>
  </si>
  <si>
    <t>Account  Perkins1263 - new</t>
  </si>
  <si>
    <t>Cason</t>
  </si>
  <si>
    <t>Account  Johnson1707XXX</t>
  </si>
  <si>
    <t>Lead</t>
  </si>
  <si>
    <t>Julian</t>
  </si>
  <si>
    <t>Campbell</t>
  </si>
  <si>
    <t>Account  Cross1834</t>
  </si>
  <si>
    <t>Customer</t>
  </si>
  <si>
    <t>Ariana</t>
  </si>
  <si>
    <t>Rivera</t>
  </si>
  <si>
    <t>Account  McCormick23</t>
  </si>
  <si>
    <t>Kinley</t>
  </si>
  <si>
    <t>Wright</t>
  </si>
  <si>
    <t>Account  Bates1455X</t>
  </si>
  <si>
    <t>Adam</t>
  </si>
  <si>
    <t>Richardson</t>
  </si>
  <si>
    <t>Account  Dennis956X</t>
  </si>
  <si>
    <t>Kailey</t>
  </si>
  <si>
    <t>Bennett</t>
  </si>
  <si>
    <t>Account  Romero1224X</t>
  </si>
  <si>
    <t>Kailani</t>
  </si>
  <si>
    <t>Hernandez</t>
  </si>
  <si>
    <t>Account  Reyes426X -</t>
  </si>
  <si>
    <t>Account  Stokes949</t>
  </si>
  <si>
    <t>Julia</t>
  </si>
  <si>
    <t>Lee</t>
  </si>
  <si>
    <t>Account  Cross1834 - new - new</t>
  </si>
  <si>
    <t>Elizabeth</t>
  </si>
  <si>
    <t>Account  Conner5XX</t>
  </si>
  <si>
    <t>Account  Moore962 - new</t>
  </si>
  <si>
    <t>Hannah</t>
  </si>
  <si>
    <t>Jenkins</t>
  </si>
  <si>
    <t>Account  Bass1237X -</t>
  </si>
  <si>
    <t>Jaylynn</t>
  </si>
  <si>
    <t>Scott</t>
  </si>
  <si>
    <t>Account  Allison281</t>
  </si>
  <si>
    <t>Daniel</t>
  </si>
  <si>
    <t>Young</t>
  </si>
  <si>
    <t>Account  Wilkins1370</t>
  </si>
  <si>
    <t>Kiara</t>
  </si>
  <si>
    <t>Murphy</t>
  </si>
  <si>
    <t>Account  Murphy1963XX</t>
  </si>
  <si>
    <t>Allyson</t>
  </si>
  <si>
    <t>Ramirez &amp; Co.</t>
  </si>
  <si>
    <t>Hazel</t>
  </si>
  <si>
    <t>Gonzalez</t>
  </si>
  <si>
    <t>Account  Jimenez961X - new</t>
  </si>
  <si>
    <t>Ryann</t>
  </si>
  <si>
    <t>Account  Allison281 - new</t>
  </si>
  <si>
    <t>Kylan</t>
  </si>
  <si>
    <t>Account  Stevenson670X</t>
  </si>
  <si>
    <t>Karter</t>
  </si>
  <si>
    <t>Account  Banks821XX</t>
  </si>
  <si>
    <t>Caleb</t>
  </si>
  <si>
    <t>Reyes</t>
  </si>
  <si>
    <t>Account  Guzman1793X</t>
  </si>
  <si>
    <t>Colton</t>
  </si>
  <si>
    <t>White</t>
  </si>
  <si>
    <t>Account  Walsh1918 -</t>
  </si>
  <si>
    <t>Kai</t>
  </si>
  <si>
    <t>Account  Andrews1792 - new</t>
  </si>
  <si>
    <t>Jennifer</t>
  </si>
  <si>
    <t>Account  Morgan713X</t>
  </si>
  <si>
    <t>Account  Cunningham662 - new</t>
  </si>
  <si>
    <t>Marlon</t>
  </si>
  <si>
    <t>Phillips</t>
  </si>
  <si>
    <t>Gordon</t>
  </si>
  <si>
    <t>Madeline</t>
  </si>
  <si>
    <t>Baker</t>
  </si>
  <si>
    <t>Account  Moss1820XX</t>
  </si>
  <si>
    <t>Peter</t>
  </si>
  <si>
    <t>Carter</t>
  </si>
  <si>
    <t>Account  Park1980</t>
  </si>
  <si>
    <t>Jayleen</t>
  </si>
  <si>
    <t>Account  Gordon852XX - new</t>
  </si>
  <si>
    <t>Micah</t>
  </si>
  <si>
    <t>Account  Brown1230XX - new</t>
  </si>
  <si>
    <t>Kingsley</t>
  </si>
  <si>
    <t>Account  Guzman1793X - new</t>
  </si>
  <si>
    <t>Samantha</t>
  </si>
  <si>
    <t>Myers</t>
  </si>
  <si>
    <t>Account  Flowers1427</t>
  </si>
  <si>
    <t>Devin</t>
  </si>
  <si>
    <t>Account  Bass1237 - new</t>
  </si>
  <si>
    <t>Delaney</t>
  </si>
  <si>
    <t>ACME Corp</t>
  </si>
  <si>
    <t>Brooke</t>
  </si>
  <si>
    <t>Perry</t>
  </si>
  <si>
    <t>Account  Hamilton810</t>
  </si>
  <si>
    <t>Elisa</t>
  </si>
  <si>
    <t>Account  Medina1876</t>
  </si>
  <si>
    <t>Elijah</t>
  </si>
  <si>
    <t>Brown</t>
  </si>
  <si>
    <t>Account  Todd1938</t>
  </si>
  <si>
    <t>Kole</t>
  </si>
  <si>
    <t>Account  Wise361 - new</t>
  </si>
  <si>
    <t>Eli</t>
  </si>
  <si>
    <t>Ward</t>
  </si>
  <si>
    <t>Account  Klein1486XX</t>
  </si>
  <si>
    <t>Karlie</t>
  </si>
  <si>
    <t>Shared Interests</t>
  </si>
  <si>
    <t>Karsyn</t>
  </si>
  <si>
    <t>Account  Hardy1 - new</t>
  </si>
  <si>
    <t>Jack</t>
  </si>
  <si>
    <t>Brooks</t>
  </si>
  <si>
    <t>Account  Bennett62X</t>
  </si>
  <si>
    <t>Damarion</t>
  </si>
  <si>
    <t>Account  Wilkins1370XX</t>
  </si>
  <si>
    <t>Paige</t>
  </si>
  <si>
    <t>Mitchell</t>
  </si>
  <si>
    <t>Account  Hall1897X - new</t>
  </si>
  <si>
    <t>Ruby</t>
  </si>
  <si>
    <t>Nelson</t>
  </si>
  <si>
    <t>Account  Phelps205XX</t>
  </si>
  <si>
    <t>Brandon</t>
  </si>
  <si>
    <t>Allen</t>
  </si>
  <si>
    <t>Account  Alexander95</t>
  </si>
  <si>
    <t>Keaton</t>
  </si>
  <si>
    <t>Account  Hamilton8 - new</t>
  </si>
  <si>
    <t>Christian</t>
  </si>
  <si>
    <t>Russell</t>
  </si>
  <si>
    <t>Account  Rice1187 - new - new</t>
  </si>
  <si>
    <t>Kallie</t>
  </si>
  <si>
    <t>Account  Rice1187XX</t>
  </si>
  <si>
    <t>Harper</t>
  </si>
  <si>
    <t>Rodriguez</t>
  </si>
  <si>
    <t>Account  Olson321XX</t>
  </si>
  <si>
    <t>Kenna</t>
  </si>
  <si>
    <t>Account  Gordon852XX - new - new</t>
  </si>
  <si>
    <t>Jayse</t>
  </si>
  <si>
    <t>Account  Cobb1406X</t>
  </si>
  <si>
    <t>Kaleigh</t>
  </si>
  <si>
    <t>Account  Watson1794X</t>
  </si>
  <si>
    <t>Jovanni</t>
  </si>
  <si>
    <t>Account  Wise361XX - new</t>
  </si>
  <si>
    <t>Account  Malone1334X - new</t>
  </si>
  <si>
    <t>Mackenzie</t>
  </si>
  <si>
    <t>Diaz</t>
  </si>
  <si>
    <t>Account  Abbott1184</t>
  </si>
  <si>
    <t>Kaysen</t>
  </si>
  <si>
    <t>Johnson</t>
  </si>
  <si>
    <t>Account  Abbott1</t>
  </si>
  <si>
    <t>Andi</t>
  </si>
  <si>
    <t>Account  Watson1794XX</t>
  </si>
  <si>
    <t>Desmond</t>
  </si>
  <si>
    <t>Account  McCormick23 - new</t>
  </si>
  <si>
    <t>Charli</t>
  </si>
  <si>
    <t>Stokies</t>
  </si>
  <si>
    <t>Raven</t>
  </si>
  <si>
    <t>Account  Joseph722X</t>
  </si>
  <si>
    <t>Ryan</t>
  </si>
  <si>
    <t>Sydney</t>
  </si>
  <si>
    <t>Kenley</t>
  </si>
  <si>
    <t>Account  Todd162X</t>
  </si>
  <si>
    <t>Harley</t>
  </si>
  <si>
    <t>Account  Olson321 - new</t>
  </si>
  <si>
    <t>Dominic</t>
  </si>
  <si>
    <t>Account  Todd162XX - new</t>
  </si>
  <si>
    <t>Cooper</t>
  </si>
  <si>
    <t>Collins</t>
  </si>
  <si>
    <t>Jedidiah</t>
  </si>
  <si>
    <t>Account  Simpson1385XXX - new</t>
  </si>
  <si>
    <t>Darrell</t>
  </si>
  <si>
    <t>Robbins Inc.</t>
  </si>
  <si>
    <t>Braelynn</t>
  </si>
  <si>
    <t>Account  Collier276XX</t>
  </si>
  <si>
    <t>Kiana</t>
  </si>
  <si>
    <t>Account  Stokes814X - new</t>
  </si>
  <si>
    <t>Jurnee</t>
  </si>
  <si>
    <t>Account  Johnston824X</t>
  </si>
  <si>
    <t>Titan</t>
  </si>
  <si>
    <t>Konnor</t>
  </si>
  <si>
    <t>Account New test opp - new</t>
  </si>
  <si>
    <t>Jacqueline</t>
  </si>
  <si>
    <t>Account  Frazier196XX - new</t>
  </si>
  <si>
    <t>Cairo</t>
  </si>
  <si>
    <t>Account  Reyes426XXX</t>
  </si>
  <si>
    <t>Juniper</t>
  </si>
  <si>
    <t>Account  Nunez39</t>
  </si>
  <si>
    <t>Anthony</t>
  </si>
  <si>
    <t>Account  Rodriquez95</t>
  </si>
  <si>
    <t>Eliana</t>
  </si>
  <si>
    <t>Account  Stevenson670X - new</t>
  </si>
  <si>
    <t>Azul</t>
  </si>
  <si>
    <t>Account New test oppXX - new</t>
  </si>
  <si>
    <t>Maleah</t>
  </si>
  <si>
    <t>Account  Johnson</t>
  </si>
  <si>
    <t>David</t>
  </si>
  <si>
    <t>Account New test opp</t>
  </si>
  <si>
    <t>Willow</t>
  </si>
  <si>
    <t>Account  Chandler1281 - new - new</t>
  </si>
  <si>
    <t>Zayden</t>
  </si>
  <si>
    <t>Ramirez</t>
  </si>
  <si>
    <t>Account  Rice1187 - new</t>
  </si>
  <si>
    <t>Kody</t>
  </si>
  <si>
    <t>Account  Estrada957XX - new</t>
  </si>
  <si>
    <t>Broderick</t>
  </si>
  <si>
    <t>Account  Perkins1263XX</t>
  </si>
  <si>
    <t>Kaelyn</t>
  </si>
  <si>
    <t>Kellen</t>
  </si>
  <si>
    <t>Account  Collier276</t>
  </si>
  <si>
    <t>Connor</t>
  </si>
  <si>
    <t>Account  Brown1230</t>
  </si>
  <si>
    <t>Jordan</t>
  </si>
  <si>
    <t>Barnes</t>
  </si>
  <si>
    <t>Account  Nguyen1971X</t>
  </si>
  <si>
    <t>Emery</t>
  </si>
  <si>
    <t>Account  Hamilton810XX - new</t>
  </si>
  <si>
    <t>Stewart</t>
  </si>
  <si>
    <t>Account  Ramirez1837</t>
  </si>
  <si>
    <t>Vanessa</t>
  </si>
  <si>
    <t>Account  Malone1334X</t>
  </si>
  <si>
    <t>Reese</t>
  </si>
  <si>
    <t>Account  Spencer1223X - new</t>
  </si>
  <si>
    <t>Zander</t>
  </si>
  <si>
    <t>Account  Estrada957 - new</t>
  </si>
  <si>
    <t>Caroline</t>
  </si>
  <si>
    <t>Price</t>
  </si>
  <si>
    <t>Naomi</t>
  </si>
  <si>
    <t>Torres</t>
  </si>
  <si>
    <t>Account  Gordon852XX</t>
  </si>
  <si>
    <t>Hailey</t>
  </si>
  <si>
    <t>Reed</t>
  </si>
  <si>
    <t>Bodhi</t>
  </si>
  <si>
    <t>Account  Stokes - new</t>
  </si>
  <si>
    <t>Account  Release</t>
  </si>
  <si>
    <t>Malcolm</t>
  </si>
  <si>
    <t>Account  Cobb1406XXX</t>
  </si>
  <si>
    <t>Kaliyah</t>
  </si>
  <si>
    <t>McCormick and Sons</t>
  </si>
  <si>
    <t>Andrew</t>
  </si>
  <si>
    <t>Coleman</t>
  </si>
  <si>
    <t>Account  Elliott511X</t>
  </si>
  <si>
    <t>Camille</t>
  </si>
  <si>
    <t>Account  Spencer1223 - new</t>
  </si>
  <si>
    <t>Luis</t>
  </si>
  <si>
    <t>Account  Christensen</t>
  </si>
  <si>
    <t>Kobe</t>
  </si>
  <si>
    <t>Account  Todd162XXX</t>
  </si>
  <si>
    <t>Isla</t>
  </si>
  <si>
    <t>Account  Conner5XX - new</t>
  </si>
  <si>
    <t>Alana</t>
  </si>
  <si>
    <t>Butler</t>
  </si>
  <si>
    <t>Kohen</t>
  </si>
  <si>
    <t>Delilah</t>
  </si>
  <si>
    <t>Sanchez</t>
  </si>
  <si>
    <t>Athena</t>
  </si>
  <si>
    <t>Account  Gordon852X - new</t>
  </si>
  <si>
    <t>Amira</t>
  </si>
  <si>
    <t>Account  Holmes1012X</t>
  </si>
  <si>
    <t>Account  Armstrong60</t>
  </si>
  <si>
    <t>Kyndall</t>
  </si>
  <si>
    <t>Account  Brown1230XX</t>
  </si>
  <si>
    <t>Nyla</t>
  </si>
  <si>
    <t>Foster</t>
  </si>
  <si>
    <t>Account  Frazier196 - new</t>
  </si>
  <si>
    <t>Landon</t>
  </si>
  <si>
    <t>Account  Simpson1 -</t>
  </si>
  <si>
    <t>Samuel</t>
  </si>
  <si>
    <t>Cook</t>
  </si>
  <si>
    <t>Account  Murphy1963X</t>
  </si>
  <si>
    <t>Christopher</t>
  </si>
  <si>
    <t>Account  Park1980XX</t>
  </si>
  <si>
    <t>Account  Dixon</t>
  </si>
  <si>
    <t>Jayceon</t>
  </si>
  <si>
    <t>Account  Hardy1507X - new</t>
  </si>
  <si>
    <t>Hayden</t>
  </si>
  <si>
    <t>Account  Burton1994X</t>
  </si>
  <si>
    <t>Audrey</t>
  </si>
  <si>
    <t>Account  Cobb1</t>
  </si>
  <si>
    <t>Tristan</t>
  </si>
  <si>
    <t>Account  Perkins1263X - new</t>
  </si>
  <si>
    <t>Kyree</t>
  </si>
  <si>
    <t>Flores</t>
  </si>
  <si>
    <t>Account  Todd162XXX - new</t>
  </si>
  <si>
    <t>Damien</t>
  </si>
  <si>
    <t>Account  Collier517XXX - new</t>
  </si>
  <si>
    <t>Amelia</t>
  </si>
  <si>
    <t>King</t>
  </si>
  <si>
    <t>Nathan</t>
  </si>
  <si>
    <t>Watson</t>
  </si>
  <si>
    <t>Account  Smith1859XX</t>
  </si>
  <si>
    <t>Kameron</t>
  </si>
  <si>
    <t>Account  Barber186XX</t>
  </si>
  <si>
    <t>Zaiden</t>
  </si>
  <si>
    <t>Account  Medina1876X - new</t>
  </si>
  <si>
    <t>Matthew</t>
  </si>
  <si>
    <t>Account  Walsh1918XX</t>
  </si>
  <si>
    <t>Essence</t>
  </si>
  <si>
    <t>Account  Todd162XX</t>
  </si>
  <si>
    <t>Kynlee</t>
  </si>
  <si>
    <t>Account  Johnson - new</t>
  </si>
  <si>
    <t>John</t>
  </si>
  <si>
    <t>Anabella</t>
  </si>
  <si>
    <t>Account  Ric</t>
  </si>
  <si>
    <t>Penelope</t>
  </si>
  <si>
    <t>Bryce</t>
  </si>
  <si>
    <t>Account  Barton1764X</t>
  </si>
  <si>
    <t>Washington</t>
  </si>
  <si>
    <t>Account  Bennett62XX</t>
  </si>
  <si>
    <t>Kace</t>
  </si>
  <si>
    <t>Account  Hart387XX</t>
  </si>
  <si>
    <t>Sierra</t>
  </si>
  <si>
    <t>Evans</t>
  </si>
  <si>
    <t>Account  Adams87 - new</t>
  </si>
  <si>
    <t>Gabriella</t>
  </si>
  <si>
    <t>Lewis</t>
  </si>
  <si>
    <t>Account  Nunez399XX</t>
  </si>
  <si>
    <t>Phoenix</t>
  </si>
  <si>
    <t>Account  Wise361X - new</t>
  </si>
  <si>
    <t>Owen</t>
  </si>
  <si>
    <t>Adeline</t>
  </si>
  <si>
    <t>Hudson</t>
  </si>
  <si>
    <t>Account  Nunez399X</t>
  </si>
  <si>
    <t>Heidi</t>
  </si>
  <si>
    <t>Turner</t>
  </si>
  <si>
    <t>Account  Rodrique - new</t>
  </si>
  <si>
    <t>Reagan</t>
  </si>
  <si>
    <t>Account  Ramirez1837X - new - new</t>
  </si>
  <si>
    <t>Brayden</t>
  </si>
  <si>
    <t>Account  Stokes814XX - new</t>
  </si>
  <si>
    <t>Victoria</t>
  </si>
  <si>
    <t>Kyron</t>
  </si>
  <si>
    <t>Account  Abbott11</t>
  </si>
  <si>
    <t>Kael</t>
  </si>
  <si>
    <t>Account  Leonard584X - new</t>
  </si>
  <si>
    <t>Aubri</t>
  </si>
  <si>
    <t>Account  Estrada957</t>
  </si>
  <si>
    <t>Grady</t>
  </si>
  <si>
    <t>Account  Frazier196X - new</t>
  </si>
  <si>
    <t>Miracle</t>
  </si>
  <si>
    <t>Account  Spencer1223XX - new</t>
  </si>
  <si>
    <t>Abigail</t>
  </si>
  <si>
    <t>Account  Howard1207X</t>
  </si>
  <si>
    <t>Agustin</t>
  </si>
  <si>
    <t>Kendra</t>
  </si>
  <si>
    <t>Account  Perkins1263</t>
  </si>
  <si>
    <t>Account  Bass1237XX - new</t>
  </si>
  <si>
    <t>Aria</t>
  </si>
  <si>
    <t>Ross</t>
  </si>
  <si>
    <t>Anika</t>
  </si>
  <si>
    <t>Account  Burton1994XX</t>
  </si>
  <si>
    <t>Luna</t>
  </si>
  <si>
    <t>Account  Andrews1792</t>
  </si>
  <si>
    <t>Alexander</t>
  </si>
  <si>
    <t>Alessia</t>
  </si>
  <si>
    <t>Account  Stokes949 - new</t>
  </si>
  <si>
    <t>Kaison</t>
  </si>
  <si>
    <t>Account  Barton1764 - new</t>
  </si>
  <si>
    <t>Tatiana</t>
  </si>
  <si>
    <t>Account  Adams87X</t>
  </si>
  <si>
    <t>Kylen</t>
  </si>
  <si>
    <t>Account  Medina1876XX</t>
  </si>
  <si>
    <t>Alaina</t>
  </si>
  <si>
    <t>Hayley</t>
  </si>
  <si>
    <t>Account  Robbins1143 - new</t>
  </si>
  <si>
    <t>Violet</t>
  </si>
  <si>
    <t>Account  Reyes426X</t>
  </si>
  <si>
    <t>Account  Stevenson670XX</t>
  </si>
  <si>
    <t>Elia</t>
  </si>
  <si>
    <t>Account  Murphy1963X - new</t>
  </si>
  <si>
    <t>Rey</t>
  </si>
  <si>
    <t>Account  Hardy1</t>
  </si>
  <si>
    <t>Oliver</t>
  </si>
  <si>
    <t>Account  Brown1230X</t>
  </si>
  <si>
    <t>Aliza</t>
  </si>
  <si>
    <t>Account  Barton1670XX - new</t>
  </si>
  <si>
    <t>Jessie</t>
  </si>
  <si>
    <t>Account  Chandler1281 - new</t>
  </si>
  <si>
    <t>Addison</t>
  </si>
  <si>
    <t>Hughes</t>
  </si>
  <si>
    <t>Account  Dixon1405XX</t>
  </si>
  <si>
    <t>Raegan</t>
  </si>
  <si>
    <t>Cross</t>
  </si>
  <si>
    <t>Account  Burns308X - new - new</t>
  </si>
  <si>
    <t>Kenzie</t>
  </si>
  <si>
    <t>Account  Estrada957X</t>
  </si>
  <si>
    <t>Tyler</t>
  </si>
  <si>
    <t>Account  Cunningham6</t>
  </si>
  <si>
    <t>Account  Rice1187X</t>
  </si>
  <si>
    <t>Jaime</t>
  </si>
  <si>
    <t>Account  Santiago1975XX</t>
  </si>
  <si>
    <t>Isabelle</t>
  </si>
  <si>
    <t>Account  Alvarez1088</t>
  </si>
  <si>
    <t>Eloise</t>
  </si>
  <si>
    <t>Account  Hall1897X</t>
  </si>
  <si>
    <t>Jax</t>
  </si>
  <si>
    <t>Account  Release - new</t>
  </si>
  <si>
    <t>Avery</t>
  </si>
  <si>
    <t>Cox</t>
  </si>
  <si>
    <t>Zachary</t>
  </si>
  <si>
    <t>Account  Alexander954XX - new</t>
  </si>
  <si>
    <t>Leah</t>
  </si>
  <si>
    <t>Morris</t>
  </si>
  <si>
    <t>Account  Burns308X -</t>
  </si>
  <si>
    <t>Marcos</t>
  </si>
  <si>
    <t>Account  Armstrong600 - new</t>
  </si>
  <si>
    <t>Makayla</t>
  </si>
  <si>
    <t>Account  Daniels627</t>
  </si>
  <si>
    <t>Aubrey</t>
  </si>
  <si>
    <t>Long</t>
  </si>
  <si>
    <t>Account  Murphy1963</t>
  </si>
  <si>
    <t>Kamden</t>
  </si>
  <si>
    <t>Account  Howard1207 - new</t>
  </si>
  <si>
    <t>Jaxon</t>
  </si>
  <si>
    <t>Account  Todd1</t>
  </si>
  <si>
    <t>Cameron</t>
  </si>
  <si>
    <t>Account  Estrada1122</t>
  </si>
  <si>
    <t>Maya</t>
  </si>
  <si>
    <t>Asher</t>
  </si>
  <si>
    <t>Account  Perkins1263XX - new</t>
  </si>
  <si>
    <t>Gemma</t>
  </si>
  <si>
    <t>Account  Bates1455XX - new</t>
  </si>
  <si>
    <t>Jakobe</t>
  </si>
  <si>
    <t>Account  Leonard584XX - new</t>
  </si>
  <si>
    <t>Account  Stokes949XX</t>
  </si>
  <si>
    <t>Account  Barton1670X</t>
  </si>
  <si>
    <t>Nova</t>
  </si>
  <si>
    <t>Account  Carol - new - new</t>
  </si>
  <si>
    <t>Account  Santiago1975XX - new</t>
  </si>
  <si>
    <t>Luciano</t>
  </si>
  <si>
    <t>Account  Wilkins1370 - new</t>
  </si>
  <si>
    <t>Leilani</t>
  </si>
  <si>
    <t>Account  Barber186</t>
  </si>
  <si>
    <t>Bryant</t>
  </si>
  <si>
    <t>Account  Collier5 -</t>
  </si>
  <si>
    <t>Joshua</t>
  </si>
  <si>
    <t>Account  Reyes - new</t>
  </si>
  <si>
    <t>Account  Leonard584XX</t>
  </si>
  <si>
    <t>Kieran</t>
  </si>
  <si>
    <t>Account New test oppXX</t>
  </si>
  <si>
    <t>Account  Estrada957X - new</t>
  </si>
  <si>
    <t>Account  Rodriquez958X</t>
  </si>
  <si>
    <t>Account  Matt - new - new</t>
  </si>
  <si>
    <t>Aurora</t>
  </si>
  <si>
    <t>Account  Elliott511</t>
  </si>
  <si>
    <t>Carlos</t>
  </si>
  <si>
    <t>Account  McKinney1548X</t>
  </si>
  <si>
    <t>Fernando</t>
  </si>
  <si>
    <t>Account  Morgan713XX - new</t>
  </si>
  <si>
    <t>Mayra</t>
  </si>
  <si>
    <t>Account  Park1980X</t>
  </si>
  <si>
    <t>Kora</t>
  </si>
  <si>
    <t>Account  Butler582X</t>
  </si>
  <si>
    <t>Noelle</t>
  </si>
  <si>
    <t>Account  Wilkerson900X - new</t>
  </si>
  <si>
    <t>Trinity</t>
  </si>
  <si>
    <t>Account  Adams87</t>
  </si>
  <si>
    <t>Kaya</t>
  </si>
  <si>
    <t>Account  Phillips1889 - new</t>
  </si>
  <si>
    <t>Michael</t>
  </si>
  <si>
    <t>Hall</t>
  </si>
  <si>
    <t>Account  Nguyen1971XX</t>
  </si>
  <si>
    <t>Jordyn</t>
  </si>
  <si>
    <t>Account  McKinney1548X - new</t>
  </si>
  <si>
    <t>Quincy</t>
  </si>
  <si>
    <t>Account  Wilkerson900 - new</t>
  </si>
  <si>
    <t>Azariah</t>
  </si>
  <si>
    <t>Account  Burton1994 - new</t>
  </si>
  <si>
    <t>Harrison</t>
  </si>
  <si>
    <t>Account  Collier276XX - new</t>
  </si>
  <si>
    <t>Account  Hart387X - new</t>
  </si>
  <si>
    <t>Account  Rice1187</t>
  </si>
  <si>
    <t>Account  Johnson1707XXX - new</t>
  </si>
  <si>
    <t>Jacob</t>
  </si>
  <si>
    <t>Robinson</t>
  </si>
  <si>
    <t>Account  Burton1994</t>
  </si>
  <si>
    <t>Keenan</t>
  </si>
  <si>
    <t>Account  Johnson1707XX</t>
  </si>
  <si>
    <t>Rachel</t>
  </si>
  <si>
    <t>Garcia</t>
  </si>
  <si>
    <t>Account  Hamilton810X - new</t>
  </si>
  <si>
    <t>Miles</t>
  </si>
  <si>
    <t>Account  Dennis956XXX</t>
  </si>
  <si>
    <t>Anaya</t>
  </si>
  <si>
    <t>Account  Moore962</t>
  </si>
  <si>
    <t>Chace</t>
  </si>
  <si>
    <t>Account  Alvarez1088X</t>
  </si>
  <si>
    <t>Blake</t>
  </si>
  <si>
    <t>Account  Stokes8 - new</t>
  </si>
  <si>
    <t>Ernesto</t>
  </si>
  <si>
    <t>Account  Todd1 - new</t>
  </si>
  <si>
    <t>Branson</t>
  </si>
  <si>
    <t>Account  Blair183X</t>
  </si>
  <si>
    <t>Andre</t>
  </si>
  <si>
    <t>Account  Johnson1707XX - new</t>
  </si>
  <si>
    <t>Adriel</t>
  </si>
  <si>
    <t>Account  Reyes426XXX - new</t>
  </si>
  <si>
    <t>Jonathan</t>
  </si>
  <si>
    <t>Account  Carol - new</t>
  </si>
  <si>
    <t>Camilo</t>
  </si>
  <si>
    <t>Account  Collier276 - new</t>
  </si>
  <si>
    <t>Elena</t>
  </si>
  <si>
    <t>Account  Howard1207</t>
  </si>
  <si>
    <t>Jocelyn</t>
  </si>
  <si>
    <t>Account  Olson321</t>
  </si>
  <si>
    <t>Ethan</t>
  </si>
  <si>
    <t>Howard</t>
  </si>
  <si>
    <t>Account  Adams87X -</t>
  </si>
  <si>
    <t>Roberts</t>
  </si>
  <si>
    <t>Kadence</t>
  </si>
  <si>
    <t>Account  Collier276X</t>
  </si>
  <si>
    <t>Coral</t>
  </si>
  <si>
    <t>Account  Moore962XX</t>
  </si>
  <si>
    <t>Kori</t>
  </si>
  <si>
    <t>Account  Burns308XX - new</t>
  </si>
  <si>
    <t>Tessa</t>
  </si>
  <si>
    <t>Jade</t>
  </si>
  <si>
    <t>Account  Leonard584 - new</t>
  </si>
  <si>
    <t>Aaliyah</t>
  </si>
  <si>
    <t>Account  Alvarez1088XXX - new</t>
  </si>
  <si>
    <t>Powell</t>
  </si>
  <si>
    <t>Account  Cobb1406X -</t>
  </si>
  <si>
    <t>Account  Simpson1</t>
  </si>
  <si>
    <t>Cole</t>
  </si>
  <si>
    <t>Account  Alvarez - new</t>
  </si>
  <si>
    <t>Account  Christensen684XX - new - new</t>
  </si>
  <si>
    <t>Account  Bennett62X - new - new</t>
  </si>
  <si>
    <t>Edgar</t>
  </si>
  <si>
    <t>Account  Smith1859 - new</t>
  </si>
  <si>
    <t>Kiera</t>
  </si>
  <si>
    <t>Account  Cross1834XX</t>
  </si>
  <si>
    <t>Davian</t>
  </si>
  <si>
    <t>Nathaniel</t>
  </si>
  <si>
    <t>Account  Malone1334 - new</t>
  </si>
  <si>
    <t>Isaac</t>
  </si>
  <si>
    <t>Gray</t>
  </si>
  <si>
    <t>Account  Cobb1406XX</t>
  </si>
  <si>
    <t>Peterson</t>
  </si>
  <si>
    <t>Account  Gardner1110</t>
  </si>
  <si>
    <t>Account  Wise361X</t>
  </si>
  <si>
    <t>Isabella</t>
  </si>
  <si>
    <t>Account  Collier5</t>
  </si>
  <si>
    <t>Kellan</t>
  </si>
  <si>
    <t>Account  Baker1304XX</t>
  </si>
  <si>
    <t>Israel</t>
  </si>
  <si>
    <t>Steven</t>
  </si>
  <si>
    <t>Account  Ramirez1837 - new</t>
  </si>
  <si>
    <t>Kennedi</t>
  </si>
  <si>
    <t>Account  Wade966X - new</t>
  </si>
  <si>
    <t>Giovanni</t>
  </si>
  <si>
    <t>Account  Barber186X - new</t>
  </si>
  <si>
    <t>Kyson</t>
  </si>
  <si>
    <t>Kairi</t>
  </si>
  <si>
    <t>Account  Wilkins1370X</t>
  </si>
  <si>
    <t>Konner</t>
  </si>
  <si>
    <t>Account  Rodrique</t>
  </si>
  <si>
    <t>Avah</t>
  </si>
  <si>
    <t>Account  Chandler1816XX</t>
  </si>
  <si>
    <t>Omari</t>
  </si>
  <si>
    <t>Account  Moss1820X</t>
  </si>
  <si>
    <t>Clara</t>
  </si>
  <si>
    <t>Account  Romero1224XX - new - new</t>
  </si>
  <si>
    <t>Account  Hamilton810 - new</t>
  </si>
  <si>
    <t>Taylor</t>
  </si>
  <si>
    <t>Account  Matt - new</t>
  </si>
  <si>
    <t>Elaina</t>
  </si>
  <si>
    <t>Account  Grant1452XX - new</t>
  </si>
  <si>
    <t>Account  Johnson1707X - new</t>
  </si>
  <si>
    <t>Alivia</t>
  </si>
  <si>
    <t>Account  Medina1876XX - new</t>
  </si>
  <si>
    <t>Royal</t>
  </si>
  <si>
    <t>Account  Hall1897 - new</t>
  </si>
  <si>
    <t>Jorge</t>
  </si>
  <si>
    <t>Davis</t>
  </si>
  <si>
    <t>Account  Chandler1281XX - new</t>
  </si>
  <si>
    <t>Darian</t>
  </si>
  <si>
    <t>Account  Butler33X</t>
  </si>
  <si>
    <t>Stella</t>
  </si>
  <si>
    <t>Account  Stokes814X</t>
  </si>
  <si>
    <t>Kayson</t>
  </si>
  <si>
    <t>Account  Brown1230X - new</t>
  </si>
  <si>
    <t>Maximo</t>
  </si>
  <si>
    <t>Account  Hall1897XX</t>
  </si>
  <si>
    <t>Kira</t>
  </si>
  <si>
    <t>Account  Dennis956XX</t>
  </si>
  <si>
    <t>Braelyn</t>
  </si>
  <si>
    <t>Account  Phillips1889X</t>
  </si>
  <si>
    <t>Autumn</t>
  </si>
  <si>
    <t>Celeste</t>
  </si>
  <si>
    <t>Account  Stokes814XX</t>
  </si>
  <si>
    <t>Zola</t>
  </si>
  <si>
    <t>Account  Dixon1405X</t>
  </si>
  <si>
    <t>Kruz</t>
  </si>
  <si>
    <t>Ayden</t>
  </si>
  <si>
    <t>Account  Jimenez961X</t>
  </si>
  <si>
    <t>Chaim</t>
  </si>
  <si>
    <t>Account  Grant1452X</t>
  </si>
  <si>
    <t>Martin</t>
  </si>
  <si>
    <t>Account  Lyons494 -</t>
  </si>
  <si>
    <t>Daxton</t>
  </si>
  <si>
    <t>Green</t>
  </si>
  <si>
    <t>Account  Wilkins1370X - new</t>
  </si>
  <si>
    <t>Jason</t>
  </si>
  <si>
    <t>Account  Hardy1507XX</t>
  </si>
  <si>
    <t>Haleigh</t>
  </si>
  <si>
    <t>Afterwards Inc.</t>
  </si>
  <si>
    <t>Garrett</t>
  </si>
  <si>
    <t>Account  Estrada957XX</t>
  </si>
  <si>
    <t>Account  Butler33X - new</t>
  </si>
  <si>
    <t>Kashton</t>
  </si>
  <si>
    <t>Account  Matt</t>
  </si>
  <si>
    <t>Alessandra</t>
  </si>
  <si>
    <t>Account  Guzman1793XX</t>
  </si>
  <si>
    <t>Kinslee</t>
  </si>
  <si>
    <t>Account  Hardy1507X</t>
  </si>
  <si>
    <t>Account  Romero1224</t>
  </si>
  <si>
    <t>Carson</t>
  </si>
  <si>
    <t>Account  Spencer1223X</t>
  </si>
  <si>
    <t>Selena</t>
  </si>
  <si>
    <t>Account  Smith1859</t>
  </si>
  <si>
    <t>Gabriel</t>
  </si>
  <si>
    <t>Account  Grant1452XX</t>
  </si>
  <si>
    <t>Khloe</t>
  </si>
  <si>
    <t>Account  Adams87XX - new</t>
  </si>
  <si>
    <t>Kimberly</t>
  </si>
  <si>
    <t>Sanders</t>
  </si>
  <si>
    <t>Account  Santiago1975X - new</t>
  </si>
  <si>
    <t>Mariah</t>
  </si>
  <si>
    <t>Account  Wise361</t>
  </si>
  <si>
    <t>Benjamin</t>
  </si>
  <si>
    <t>Account  Robbins1143XX - new - new</t>
  </si>
  <si>
    <t>Kaiden</t>
  </si>
  <si>
    <t>Account  Lyons494XX</t>
  </si>
  <si>
    <t>Jeremy</t>
  </si>
  <si>
    <t>Account  Wilkerson900XX - new</t>
  </si>
  <si>
    <t>Account  Joseph722X - new</t>
  </si>
  <si>
    <t>Korbin</t>
  </si>
  <si>
    <t>Account  Blair183 - new</t>
  </si>
  <si>
    <t>Madison</t>
  </si>
  <si>
    <t>Account  Abbott11 -</t>
  </si>
  <si>
    <t>Solomon</t>
  </si>
  <si>
    <t>Account  Todd1938X - new</t>
  </si>
  <si>
    <t>Allison</t>
  </si>
  <si>
    <t>Ayaan</t>
  </si>
  <si>
    <t>Account  Leonard584</t>
  </si>
  <si>
    <t>Account  Swanson1068XX</t>
  </si>
  <si>
    <t>Account  Burns308XX</t>
  </si>
  <si>
    <t>Account  Barker1602XX - new</t>
  </si>
  <si>
    <t>Jermaine</t>
  </si>
  <si>
    <t>Account  Stevenson670</t>
  </si>
  <si>
    <t>Sarah</t>
  </si>
  <si>
    <t>Patel</t>
  </si>
  <si>
    <t>Kymani</t>
  </si>
  <si>
    <t>Account  Estrada1122XX</t>
  </si>
  <si>
    <t>Brooklyn</t>
  </si>
  <si>
    <t>Account  Wise361XX</t>
  </si>
  <si>
    <t>Seth</t>
  </si>
  <si>
    <t>Account  Abbott1184XX - new</t>
  </si>
  <si>
    <t>Giselle</t>
  </si>
  <si>
    <t>Account  Robbins1143X</t>
  </si>
  <si>
    <t>Melody</t>
  </si>
  <si>
    <t>Account  Adams87XX</t>
  </si>
  <si>
    <t>Paisley</t>
  </si>
  <si>
    <t>Account  Bates1455 -</t>
  </si>
  <si>
    <t>Kyla</t>
  </si>
  <si>
    <t>Account  Barker1602</t>
  </si>
  <si>
    <t>Keith</t>
  </si>
  <si>
    <t>Account  Barber186X</t>
  </si>
  <si>
    <t>Dean</t>
  </si>
  <si>
    <t>Account  Burton1994X - new</t>
  </si>
  <si>
    <t>Account  Stevenson67</t>
  </si>
  <si>
    <t>Account  Daniels627XX</t>
  </si>
  <si>
    <t>Zoey</t>
  </si>
  <si>
    <t>Lopez</t>
  </si>
  <si>
    <t>Account  Chandler128</t>
  </si>
  <si>
    <t>Kyan</t>
  </si>
  <si>
    <t>Account  Estrada1122XX - new</t>
  </si>
  <si>
    <t>Veronica</t>
  </si>
  <si>
    <t>Account  Moss1820</t>
  </si>
  <si>
    <t>Simone</t>
  </si>
  <si>
    <t>Account  Hardy1507XX - new</t>
  </si>
  <si>
    <t>Guillermo</t>
  </si>
  <si>
    <t>Account  Guzman1793</t>
  </si>
  <si>
    <t>Kannon</t>
  </si>
  <si>
    <t>Account  Clayton1676XX</t>
  </si>
  <si>
    <t>Kolten</t>
  </si>
  <si>
    <t>Account  Barker1602 - new</t>
  </si>
  <si>
    <t>Tatum</t>
  </si>
  <si>
    <t>Account  Hart387X</t>
  </si>
  <si>
    <t>Kye</t>
  </si>
  <si>
    <t>Harmony</t>
  </si>
  <si>
    <t>Account  Lyons494X</t>
  </si>
  <si>
    <t>Annabelle</t>
  </si>
  <si>
    <t>Account  Phillips1889XX - new</t>
  </si>
  <si>
    <t>Ameer</t>
  </si>
  <si>
    <t>Account  Allison281X - new</t>
  </si>
  <si>
    <t>Kensley</t>
  </si>
  <si>
    <t>Account  Dennis</t>
  </si>
  <si>
    <t>Account  Butler582XX</t>
  </si>
  <si>
    <t>Marquis</t>
  </si>
  <si>
    <t>Account  Barker1602XX</t>
  </si>
  <si>
    <t>Laylah</t>
  </si>
  <si>
    <t>Kolby</t>
  </si>
  <si>
    <t>Account  Armstrong600XX</t>
  </si>
  <si>
    <t>Jamari</t>
  </si>
  <si>
    <t>Account  Banks821XX - new</t>
  </si>
  <si>
    <t>Fiona</t>
  </si>
  <si>
    <t>Account  Santiago1975X</t>
  </si>
  <si>
    <t>Trace</t>
  </si>
  <si>
    <t>Account  Daniels627 - new</t>
  </si>
  <si>
    <t>Account  Reyes426X - new - new</t>
  </si>
  <si>
    <t>Account  Elliott511 - new</t>
  </si>
  <si>
    <t>Bianca</t>
  </si>
  <si>
    <t>Account  Shaw336X - new</t>
  </si>
  <si>
    <t>Nicholas</t>
  </si>
  <si>
    <t>Henderson</t>
  </si>
  <si>
    <t>Jett</t>
  </si>
  <si>
    <t>Account  Todd162X - new</t>
  </si>
  <si>
    <t>Deandre</t>
  </si>
  <si>
    <t>Account  Reyes</t>
  </si>
  <si>
    <t>Lucy</t>
  </si>
  <si>
    <t>Account  Spencer1223</t>
  </si>
  <si>
    <t>Gabrielle</t>
  </si>
  <si>
    <t>Account  Simpson1385X - new</t>
  </si>
  <si>
    <t>Jagger</t>
  </si>
  <si>
    <t>Account  Rice1187X - new</t>
  </si>
  <si>
    <t>Kenya</t>
  </si>
  <si>
    <t>Account  Johnson1707X</t>
  </si>
  <si>
    <t>Kash</t>
  </si>
  <si>
    <t>William</t>
  </si>
  <si>
    <t>Clark</t>
  </si>
  <si>
    <t>Account  Nunez399XXX - new</t>
  </si>
  <si>
    <t>Tanner</t>
  </si>
  <si>
    <t>Account  Nguyen1971</t>
  </si>
  <si>
    <t>Scarlett</t>
  </si>
  <si>
    <t>Grayson</t>
  </si>
  <si>
    <t>Hill</t>
  </si>
  <si>
    <t>Account  Swanson1068X - new</t>
  </si>
  <si>
    <t>Charles</t>
  </si>
  <si>
    <t>Account  Medina1876X</t>
  </si>
  <si>
    <t>Alexis</t>
  </si>
  <si>
    <t>Account  Moore962X -</t>
  </si>
  <si>
    <t>Account  Chandler181</t>
  </si>
  <si>
    <t>Account  Jennings981 - new</t>
  </si>
  <si>
    <t>Account  Hall1897XX - new</t>
  </si>
  <si>
    <t>Account  Nguyen1971XX - new</t>
  </si>
  <si>
    <t>Denver</t>
  </si>
  <si>
    <t>Account  Alvarez1088XXX</t>
  </si>
  <si>
    <t>Saige</t>
  </si>
  <si>
    <t>Account  Holmes1012XX</t>
  </si>
  <si>
    <t>Annika</t>
  </si>
  <si>
    <t>Account  How</t>
  </si>
  <si>
    <t>Account  Joseph722XX - new</t>
  </si>
  <si>
    <t>Olivia</t>
  </si>
  <si>
    <t>Account New test opp - new - new</t>
  </si>
  <si>
    <t>Mavis</t>
  </si>
  <si>
    <t>Account  Nguyen1971 - new</t>
  </si>
  <si>
    <t>Leia</t>
  </si>
  <si>
    <t>Account  Blair183X - new</t>
  </si>
  <si>
    <t>Anson</t>
  </si>
  <si>
    <t>Account  Clayton1676 - new</t>
  </si>
  <si>
    <t>Eduardo</t>
  </si>
  <si>
    <t>Account  Phelps205 - new</t>
  </si>
  <si>
    <t>Sophie</t>
  </si>
  <si>
    <t>Anderson</t>
  </si>
  <si>
    <t>Account  Lyons494X -</t>
  </si>
  <si>
    <t>Jasmine</t>
  </si>
  <si>
    <t>Account  Collier517X</t>
  </si>
  <si>
    <t>Account  Release - new - new</t>
  </si>
  <si>
    <t>Beckett</t>
  </si>
  <si>
    <t>Account  Butler582 - new</t>
  </si>
  <si>
    <t>Averie</t>
  </si>
  <si>
    <t>Account  Jimenez961XX - new</t>
  </si>
  <si>
    <t>Account  Frazier196</t>
  </si>
  <si>
    <t>Activity ID</t>
  </si>
  <si>
    <t>Subject</t>
  </si>
  <si>
    <t>Diversity Training Workshop with Sarah</t>
  </si>
  <si>
    <t>Sales Team Performance Coaching with Amanda</t>
  </si>
  <si>
    <t>Environmental Sustainability Initiatives Review with Michelle</t>
  </si>
  <si>
    <t>Supply Chain Efficiency Optimization Meeting with Jennifer</t>
  </si>
  <si>
    <t>Leadership Development Program Kickoff with Kevin</t>
  </si>
  <si>
    <t>Creative Thinking and Problem-Solving Workshop with Lisa</t>
  </si>
  <si>
    <t>IT Disaster Recovery Simulation Exercise with Daniel</t>
  </si>
  <si>
    <t>Sales Performance Metrics Review with Amanda</t>
  </si>
  <si>
    <t>Project Kickoff Meeting with Rachel</t>
  </si>
  <si>
    <t>Team Collaboration Enhancement Workshop with Emily</t>
  </si>
  <si>
    <t>Customer Engagement Metrics Analysis and Improvement with Mark</t>
  </si>
  <si>
    <t>Agile Sprint Planning and Execution Review with Rachel</t>
  </si>
  <si>
    <t>HR Policy Review Meeting with Michelle</t>
  </si>
  <si>
    <t>Strategic Partnerships Discussion with Daniel</t>
  </si>
  <si>
    <t>Quarterly Sales Strategy Meeting with John</t>
  </si>
  <si>
    <t>Environmental Sustainability Action Planning Session with Michelle</t>
  </si>
  <si>
    <t>Environmental Sustainability Strategy Meeting with Michelle</t>
  </si>
  <si>
    <t>Financial Report Review Meeting with John</t>
  </si>
  <si>
    <t>Team Performance Evaluation with Jessica</t>
  </si>
  <si>
    <t>Customer Feedback Analysis Roundtable with Mark</t>
  </si>
  <si>
    <t>Customer Experience Journey Optimization Meeting with Mark</t>
  </si>
  <si>
    <t>Diversity and Inclusion Training Program Evaluation with Sarah</t>
  </si>
  <si>
    <t>Corporate Sustainability Reporting Preparation with Michelle</t>
  </si>
  <si>
    <t>Leadership Roundtable Discussion with Kevin</t>
  </si>
  <si>
    <t>Supplier Relationship Management Meeting with Jennifer</t>
  </si>
  <si>
    <t>Inclusive Workplace Policies Review and Update with Sarah</t>
  </si>
  <si>
    <t>Sales Process Optimization and Automation Strategy Meeting with Amanda</t>
  </si>
  <si>
    <t>IT Infrastructure Security Audit Planning with Daniel</t>
  </si>
  <si>
    <t>Financial Compliance Audit Planning with Chris</t>
  </si>
  <si>
    <t>Sales Strategy Alignment Session with Jessica</t>
  </si>
  <si>
    <t>Idea Incubation Session with Lisa</t>
  </si>
  <si>
    <t>Quarterly Review Meeting with John</t>
  </si>
  <si>
    <t>Team Building Retreat with Emily</t>
  </si>
  <si>
    <t>Team Conflict Resolution Workshop with Emily</t>
  </si>
  <si>
    <t>Inclusive Leadership Practices Workshop with Sarah</t>
  </si>
  <si>
    <t>Team Building Exercise with Jessica</t>
  </si>
  <si>
    <t>Supply Chain Resilience Planning with Jennifer</t>
  </si>
  <si>
    <t>Employee Feedback Roundtable with Brian</t>
  </si>
  <si>
    <t>Employee Wellness Program Development with Brian</t>
  </si>
  <si>
    <t>Employee Engagement Action Plan Development with Brian</t>
  </si>
  <si>
    <t>Environmental Sustainability Initiatives Progress Review with Michelle</t>
  </si>
  <si>
    <t>Market Penetration Strategy Meeting with Laura</t>
  </si>
  <si>
    <t>Agile Project Sprint Planning and Review with Rachel</t>
  </si>
  <si>
    <t>Client Feedback Analysis Meeting with Mark</t>
  </si>
  <si>
    <t>Project Closure and Lessons Learned Session with Rachel</t>
  </si>
  <si>
    <t>Leadership Communication Skills Training with Kevin</t>
  </si>
  <si>
    <t>Cybersecurity Awareness Training Session with Daniel</t>
  </si>
  <si>
    <t>Performance Improvement Plan Review with John</t>
  </si>
  <si>
    <t>Product Development Sprint Planning with Rachel</t>
  </si>
  <si>
    <t>Sales Target Setting and Evaluation Meeting with Amanda</t>
  </si>
  <si>
    <t>Corporate Social Responsibility Impact Assessment with Michelle</t>
  </si>
  <si>
    <t>Stakeholder Engagement Workshop with Michael</t>
  </si>
  <si>
    <t>Sales Pipeline Review Session with Amanda</t>
  </si>
  <si>
    <t>Corporate Social Responsibility Discussion with Michelle</t>
  </si>
  <si>
    <t>New Product Launch Strategy Meeting with Alex</t>
  </si>
  <si>
    <t>IT Disaster Recovery Planning Session with Daniel</t>
  </si>
  <si>
    <t>Market Trend Analysis Presentation with Laura</t>
  </si>
  <si>
    <t>Team Performance Improvement Strategy Session with Emily</t>
  </si>
  <si>
    <t>Annual Budget Review Meeting with Amanda</t>
  </si>
  <si>
    <t>Employee Development Plan Review with Brian</t>
  </si>
  <si>
    <t>Financial Forecast Analysis with Chris</t>
  </si>
  <si>
    <t>Agile Project Management Best Practices Sharing and Improvement with Rachel</t>
  </si>
  <si>
    <t>Team Dynamics Assessment Workshop with Emily</t>
  </si>
  <si>
    <t>Product Quality Assurance Review Session with Alex</t>
  </si>
  <si>
    <t>Agile Project Retrospective and Planning with Rachel</t>
  </si>
  <si>
    <t>IT Security Protocol Review Meeting with Daniel</t>
  </si>
  <si>
    <t>Diversity and Inclusion Training Seminar with Sarah</t>
  </si>
  <si>
    <t>Supplier Performance Evaluation Meeting with Jennifer</t>
  </si>
  <si>
    <t>Quarterly Business Review Meeting with John</t>
  </si>
  <si>
    <t>Market Trends Analysis and Forecasting Session with Laura</t>
  </si>
  <si>
    <t>Team Building and Bonding Activities Implementation with Emily</t>
  </si>
  <si>
    <t>Marketing Campaign Planning Meeting with David</t>
  </si>
  <si>
    <t>Market Research Insights Presentation with Laura</t>
  </si>
  <si>
    <t>IT System Integration Planning Session with Daniel</t>
  </si>
  <si>
    <t>Financial Risk Assessment and Mitigation Strategy Session with Chris</t>
  </si>
  <si>
    <t>Product Portfolio Review Session with Alex</t>
  </si>
  <si>
    <t>Employee Training and Development Forum with Brian</t>
  </si>
  <si>
    <t>Customer Engagement Strategy Review with Mark</t>
  </si>
  <si>
    <t>Ideation and Innovation Session with Lisa</t>
  </si>
  <si>
    <t>Agile Sprint Review and Planning with Rachel</t>
  </si>
  <si>
    <t>Financial Control Measures Implementation Meeting with Chris</t>
  </si>
  <si>
    <t>Customer Journey Mapping Workshop with Mark</t>
  </si>
  <si>
    <t>Sales Forecasting Meeting with Amanda</t>
  </si>
  <si>
    <t>Ideation and Prototyping Session with Lisa</t>
  </si>
  <si>
    <t>Annual Shareholder Meeting with John</t>
  </si>
  <si>
    <t>Market Segmentation Strategy Refinement Workshop with Laura</t>
  </si>
  <si>
    <t>Leadership Ethics and Values Discussion with Kevin</t>
  </si>
  <si>
    <t>Sales Performance Review and Incentive Planning with Amanda</t>
  </si>
  <si>
    <t>Inventory Management Optimization Meeting with Jennifer</t>
  </si>
  <si>
    <t>Diversity Recruitment Strategy Meeting with Sarah</t>
  </si>
  <si>
    <t>Product Roadmap Alignment Meeting with Alex</t>
  </si>
  <si>
    <t>Quarterly Operations Review Meeting with John</t>
  </si>
  <si>
    <t>Employee Skills Development Training Session with Brian</t>
  </si>
  <si>
    <t>Market Research Presentation with Laura</t>
  </si>
  <si>
    <t>Financial Risk Management Policy Review with Chris</t>
  </si>
  <si>
    <t>Supply Chain Optimization Meeting with Jennifer</t>
  </si>
  <si>
    <t>Community Outreach Program Planning with Michelle</t>
  </si>
  <si>
    <t>Performance Appraisal Discussion with Emily</t>
  </si>
  <si>
    <t>Quarterly Financial Review Meeting with John</t>
  </si>
  <si>
    <t>Project Status Update Meeting with Rachel</t>
  </si>
  <si>
    <t>Leadership Training Seminar with Kevin</t>
  </si>
  <si>
    <t>Creative Problem-Solving Session with Lisa</t>
  </si>
  <si>
    <t>Leadership Coaching Session with Kevin</t>
  </si>
  <si>
    <t>Leadership Styles Assessment and Development with Kevin</t>
  </si>
  <si>
    <t>Product Lifecycle Extension Strategy Meeting with Alex</t>
  </si>
  <si>
    <t>Client Relationship Management Workshop with Michael</t>
  </si>
  <si>
    <t>Quarterly Business Performance Review with John</t>
  </si>
  <si>
    <t>Leadership Development Workshop Series with Kevin</t>
  </si>
  <si>
    <t>Marketing Analytics Deep Dive with Laura</t>
  </si>
  <si>
    <t>Market Segmentation Analysis Workshop with Laura</t>
  </si>
  <si>
    <t>Innovation Lab Session with Lisa</t>
  </si>
  <si>
    <t>Budget Allocation Strategy Session with Chris</t>
  </si>
  <si>
    <t>Employee Career Development Path Planning with Brian</t>
  </si>
  <si>
    <t>Budget Planning Session with Chris</t>
  </si>
  <si>
    <t>Quarterly Financial Performance Evaluation and Strategy Adjustment with John</t>
  </si>
  <si>
    <t>Financial Efficiency Improvement Discussion with Chris</t>
  </si>
  <si>
    <t>Customer Journey Mapping and Experience Design Workshop with Mark</t>
  </si>
  <si>
    <t>Supplier Relationship Enhancement Strategy Meeting with Jennifer</t>
  </si>
  <si>
    <t>Market Expansion Strategy Discussion with Laura</t>
  </si>
  <si>
    <t>Innovation Pipeline Management and Prioritization Workshop with Lisa</t>
  </si>
  <si>
    <t>Team Performance Metrics Analysis with Emily</t>
  </si>
  <si>
    <t>Project Risk Management Review with David</t>
  </si>
  <si>
    <t>Innovation Culture Building Workshop with Lisa</t>
  </si>
  <si>
    <t>Corporate Sustainability Goals Review and Progress Tracking with Michelle</t>
  </si>
  <si>
    <t>Financial Risk Assessment Meeting with Chris</t>
  </si>
  <si>
    <t>IT Security Incident Response Training with Daniel</t>
  </si>
  <si>
    <t>Customer Feedback Integration into Product Development with Mark</t>
  </si>
  <si>
    <t>Logistics Optimization Meeting with Jennifer</t>
  </si>
  <si>
    <t>Customer Retention Strategy Review with Mark</t>
  </si>
  <si>
    <t>IT Governance Policy Review Session with Daniel</t>
  </si>
  <si>
    <t>Innovation Implementation Strategy Discussion with Lisa</t>
  </si>
  <si>
    <t>Employee Recognition and Rewards Planning with Brian</t>
  </si>
  <si>
    <t>Product Development Update Meeting with Emily</t>
  </si>
  <si>
    <t>Quarterly Performance Analysis Discussion with David</t>
  </si>
  <si>
    <t>Product Portfolio Rationalization and Optimization Meeting with Alex</t>
  </si>
  <si>
    <t>Leadership Success Metrics Evaluation and Adjustment with Kevin</t>
  </si>
  <si>
    <t>Agile Project Management Review with Rachel</t>
  </si>
  <si>
    <t>Agile Project Delivery Process Optimization with Rachel</t>
  </si>
  <si>
    <t>Product Lifecycle Management Discussion with Alex</t>
  </si>
  <si>
    <t>Market Disruption Analysis Discussion with Laura</t>
  </si>
  <si>
    <t>Leadership Development Workshop with Kevin</t>
  </si>
  <si>
    <t>Market Segmentation Strategy Workshop with Laura</t>
  </si>
  <si>
    <t>Corporate Philanthropy Initiatives Review with Michelle</t>
  </si>
  <si>
    <t>Team Building Activities Planning Session with Emily</t>
  </si>
  <si>
    <t>Employee Engagement Survey Analysis with Brian</t>
  </si>
  <si>
    <t>Agile Sprint Review and Retrospective with Rachel</t>
  </si>
  <si>
    <t>Sales Training Workshop with Amanda</t>
  </si>
  <si>
    <t>Customer Experience Enhancement Meeting with Mark</t>
  </si>
  <si>
    <t>Financial Forecast Accuracy Analysis with Chris</t>
  </si>
  <si>
    <t>Innovation Strategy Alignment Meeting with Lisa</t>
  </si>
  <si>
    <t>Inclusive Leadership Training Seminar with Sarah</t>
  </si>
  <si>
    <t>Leadership Succession Planning Forum with Kevin</t>
  </si>
  <si>
    <t>Financial Performance Benchmarking Session with Amanda</t>
  </si>
  <si>
    <t>New Market Entry Strategy Meeting with Alex</t>
  </si>
  <si>
    <t>Quarterly Strategy Alignment Meeting with John</t>
  </si>
  <si>
    <t>IT Infrastructure Upgrade Planning Session with Sarah</t>
  </si>
  <si>
    <t>Talent Acquisition Strategy Discussion with Sarah</t>
  </si>
  <si>
    <t>IT Security Policy Compliance Review with Daniel</t>
  </si>
  <si>
    <t>IT Security Awareness Training and Simulation with Daniel</t>
  </si>
  <si>
    <t>Financial Risk Mitigation Strategy Meeting with Chris</t>
  </si>
  <si>
    <t>Employee Leadership Skills Training and Development with Brian</t>
  </si>
  <si>
    <t>Sales Funnel Optimization Meeting with Jessica</t>
  </si>
  <si>
    <t>Quarterly Performance Review Meeting with John</t>
  </si>
  <si>
    <t>Supply Chain Resilience Assessment and Planning with Jennifer</t>
  </si>
  <si>
    <t>Leadership Coaching and Mentoring Program Launch with Kevin</t>
  </si>
  <si>
    <t>Employee Performance Improvement Plan Review with Brian</t>
  </si>
  <si>
    <t>Team Performance Enhancement Workshop with Emily</t>
  </si>
  <si>
    <t>IT Security Incident Response Plan Simulation and Evaluation with Daniel</t>
  </si>
  <si>
    <t>Ideation Workshop: Generating Innovative Solutions with Lisa</t>
  </si>
  <si>
    <t>Supply Chain Risk Assessment and Mitigation Planning with Jennifer</t>
  </si>
  <si>
    <t>Client Retention Strategy Meeting with Mark</t>
  </si>
  <si>
    <t>Financial Reporting Process Optimization Meeting with Chris</t>
  </si>
  <si>
    <t>Agile Development Process Improvement Session with Rachel</t>
  </si>
  <si>
    <t>Design Thinking Workshop with Lisa</t>
  </si>
  <si>
    <t>Product Innovation Pipeline Evaluation with Alex</t>
  </si>
  <si>
    <t>Customer Loyalty Program Optimization Meeting with Mark</t>
  </si>
  <si>
    <t>Supplier Risk Management Review with Jennifer</t>
  </si>
  <si>
    <t>Supplier Performance Scorecard Development and Implementation with Jennifer</t>
  </si>
  <si>
    <t>Diversity and Inclusion Awareness Campaign Planning with Sarah</t>
  </si>
  <si>
    <t>Product Development Ideation Session with Alex</t>
  </si>
  <si>
    <t>Inclusive Workplace Culture Training with Sarah</t>
  </si>
  <si>
    <t>Leadership Development Program Effectiveness Evaluation and Enhancement with Kevin</t>
  </si>
  <si>
    <t>Market Research Methodologies Workshop with Laura</t>
  </si>
  <si>
    <t>Sales Forecast Accuracy Analysis with Amanda</t>
  </si>
  <si>
    <t>Quarterly Strategic Planning Session with John</t>
  </si>
  <si>
    <t>Creative Ideation Session with Lisa</t>
  </si>
  <si>
    <t>Financial Planning and Analysis Workshop with Chris</t>
  </si>
  <si>
    <t>Team Goal Setting and Alignment Session with Emily</t>
  </si>
  <si>
    <t>Warehouse Operations Optimization Meeting with Jennifer</t>
  </si>
  <si>
    <t>Environmental Impact Reduction Strategy Meeting with Michelle</t>
  </si>
  <si>
    <t>Sales Performance Incentive Planning with Amanda</t>
  </si>
  <si>
    <t>Diversity and Inclusion Awareness Workshop with Sarah</t>
  </si>
  <si>
    <t>Sales Strategy Execution Review with Amanda</t>
  </si>
  <si>
    <t>Project Management Workshop with David</t>
  </si>
  <si>
    <t>Product Portfolio Diversification Strategy Meeting with Alex</t>
  </si>
  <si>
    <t>Marketing Strategy Brainstorming Session with Sarah</t>
  </si>
  <si>
    <t>Product Launch Readiness Assessment with Alex</t>
  </si>
  <si>
    <t>Employee Onboarding Program Evaluation with Brian</t>
  </si>
  <si>
    <t>Team Communication and Collaboration Skills Enhancement Workshop with Emily</t>
  </si>
  <si>
    <t>Customer Satisfaction Survey Analysis with Mark</t>
  </si>
  <si>
    <t>Opportunity ID</t>
  </si>
  <si>
    <t>Name</t>
  </si>
  <si>
    <t>Close Date</t>
  </si>
  <si>
    <t>Stage</t>
  </si>
  <si>
    <t>Closed</t>
  </si>
  <si>
    <t>Won</t>
  </si>
  <si>
    <t>Amount</t>
  </si>
  <si>
    <t>0064T000008ygriQAA</t>
  </si>
  <si>
    <t>Opportunity for Blair183</t>
  </si>
  <si>
    <t>Closed Won</t>
  </si>
  <si>
    <t>0064T000008yguZQAQ</t>
  </si>
  <si>
    <t>Opportunity for Leonard584X - new</t>
  </si>
  <si>
    <t>Closed Lost</t>
  </si>
  <si>
    <t>0064T000008yguMQAQ</t>
  </si>
  <si>
    <t>Opportunity for Brown1230XX - new</t>
  </si>
  <si>
    <t>0064T000008yguyQAA</t>
  </si>
  <si>
    <t>Opportunity for Swanson1068X</t>
  </si>
  <si>
    <t>Prospecting</t>
  </si>
  <si>
    <t>0064T000002kJaHQAU</t>
  </si>
  <si>
    <t>Opportunity for McCormick23 - new</t>
  </si>
  <si>
    <t>0064T000002kJbPQAU</t>
  </si>
  <si>
    <t>Opportunity for Hardy1507XX - new</t>
  </si>
  <si>
    <t>0064T000008ygubQAA</t>
  </si>
  <si>
    <t>Opportunity for Brown1230XX</t>
  </si>
  <si>
    <t>0064T000008ygstQAA</t>
  </si>
  <si>
    <t>Opportunity for Santiago1975X - new</t>
  </si>
  <si>
    <t>0064T000002kJYFQA2</t>
  </si>
  <si>
    <t>Opportunity for Armstrong600 - new</t>
  </si>
  <si>
    <t>0064T000008ygrWQAQ</t>
  </si>
  <si>
    <t>Opportunity for Todd1938</t>
  </si>
  <si>
    <t>0064T000008ygrgQAA</t>
  </si>
  <si>
    <t>Opportunity for Flowers1427X</t>
  </si>
  <si>
    <t>0064T000008ygvkQAA</t>
  </si>
  <si>
    <t>Opportunity for Abbott1184XX</t>
  </si>
  <si>
    <t>0064T000008ygrvQAA</t>
  </si>
  <si>
    <t>Opportunity for Butler33X - new</t>
  </si>
  <si>
    <t>0064T000008ygq0QAA</t>
  </si>
  <si>
    <t>Opportunity for Moss1820XX</t>
  </si>
  <si>
    <t>0064T000008ygvVQAQ</t>
  </si>
  <si>
    <t>Opportunity for Carol</t>
  </si>
  <si>
    <t>0064T000008ygspQAA</t>
  </si>
  <si>
    <t>Opportunity for Rodriquez958X - new</t>
  </si>
  <si>
    <t>0064T000008ygvqQAA</t>
  </si>
  <si>
    <t>Opportunity for Daniels627XX - new</t>
  </si>
  <si>
    <t>0064T000002kJYgQAM</t>
  </si>
  <si>
    <t>Opportunity for Todd162X - new</t>
  </si>
  <si>
    <t>0064T000008yguGQAQ</t>
  </si>
  <si>
    <t>Opportunity for Olson321X - new</t>
  </si>
  <si>
    <t>0064T000008ygtgQAA</t>
  </si>
  <si>
    <t>Opportunity for Bennett62XX</t>
  </si>
  <si>
    <t>Perception Analysis</t>
  </si>
  <si>
    <t>0064T000008yguSQAQ</t>
  </si>
  <si>
    <t>Opportunity for McCormick23X - new</t>
  </si>
  <si>
    <t>0064T000008ygupQAA</t>
  </si>
  <si>
    <t>Opportunity for Phelps205</t>
  </si>
  <si>
    <t>0064T000008ygvyQAA</t>
  </si>
  <si>
    <t>Opportunity for Klein1486XXX - new</t>
  </si>
  <si>
    <t>Proposal/Price Quote</t>
  </si>
  <si>
    <t>Opportunity for Nguyen1971XX - new</t>
  </si>
  <si>
    <t>0064T000008yguPQAQ</t>
  </si>
  <si>
    <t>Opportunity for Murphy1963 - new</t>
  </si>
  <si>
    <t>0064T000008ygvEQAQ</t>
  </si>
  <si>
    <t>Opportunity for Barker1602XX - new</t>
  </si>
  <si>
    <t>0064T000008ygt4QAA</t>
  </si>
  <si>
    <t>Opportunity for Todd162XX</t>
  </si>
  <si>
    <t>0064T000008ygwMQAQ</t>
  </si>
  <si>
    <t>Opportunity for Robbins1143XX</t>
  </si>
  <si>
    <t>0064T000008ygsSQAQ</t>
  </si>
  <si>
    <t>Opportunity for Andrews1792</t>
  </si>
  <si>
    <t>0064T000008ygtFQAQ</t>
  </si>
  <si>
    <t>Opportunity for Robbins1143X</t>
  </si>
  <si>
    <t>0064T000008ygvWQAQ</t>
  </si>
  <si>
    <t>Opportunity for Alvarez1088XXX</t>
  </si>
  <si>
    <t>0064T000002kJXdQAM</t>
  </si>
  <si>
    <t>Opportunity for Banks821XX - new</t>
  </si>
  <si>
    <t>0064T000008ygsAQAQ</t>
  </si>
  <si>
    <t>Opportunity for Joseph722 - new</t>
  </si>
  <si>
    <t>0064T000008ygutQAA</t>
  </si>
  <si>
    <t>Opportunity for Olson321 - new</t>
  </si>
  <si>
    <t>0064T000008yguwQAA</t>
  </si>
  <si>
    <t>Opportunity for Wilkins1370XX - new</t>
  </si>
  <si>
    <t>Negotiation/Review</t>
  </si>
  <si>
    <t>Opportunity for Moore962X</t>
  </si>
  <si>
    <t>Qualification</t>
  </si>
  <si>
    <t>0064T000008ygtJQAQ</t>
  </si>
  <si>
    <t>Opportunity for Chandler1816XX - new</t>
  </si>
  <si>
    <t>0064T000002kJYxQAM</t>
  </si>
  <si>
    <t>Opportunity for Olson321XX - new</t>
  </si>
  <si>
    <t>Needs Analysis</t>
  </si>
  <si>
    <t>0064T000008ygulQAA</t>
  </si>
  <si>
    <t>Opportunity for Conner5X</t>
  </si>
  <si>
    <t>0064T000002kJSnQAM</t>
  </si>
  <si>
    <t>Opportunity for Johnson1707XX - new</t>
  </si>
  <si>
    <t>0064T000008ygrnQAA</t>
  </si>
  <si>
    <t>Upsell Deal</t>
  </si>
  <si>
    <t>0064T000008ygwGQAQ</t>
  </si>
  <si>
    <t>Opportunity for Robbins1143X - new</t>
  </si>
  <si>
    <t>0064T000008ygu7QAA</t>
  </si>
  <si>
    <t>Opportunity for Allison281XX</t>
  </si>
  <si>
    <t>0064T000008ygswQAA</t>
  </si>
  <si>
    <t>Opportunity for Armstrong600X - new</t>
  </si>
  <si>
    <t>0064T000002kJXbQAM</t>
  </si>
  <si>
    <t>Opportunity for Simpson1385XXX - new</t>
  </si>
  <si>
    <t>0064T000008ygsjQAA</t>
  </si>
  <si>
    <t>Opportunity for Alvarez - new</t>
  </si>
  <si>
    <t>0064T000008ygvGQAQ</t>
  </si>
  <si>
    <t>Opportunity for Todd162XXX</t>
  </si>
  <si>
    <t>0064T000008ygv1QAA</t>
  </si>
  <si>
    <t>Opportunity for Brown1230</t>
  </si>
  <si>
    <t>0064T000008ygrtQAA</t>
  </si>
  <si>
    <t>Opportunity for Wilkins1370 - new</t>
  </si>
  <si>
    <t>0064T000008ygrdQAA</t>
  </si>
  <si>
    <t>Opportunity for Christensen684X</t>
  </si>
  <si>
    <t>0064T000008ygszQAA</t>
  </si>
  <si>
    <t>Opportunity for Dennis956XXX - new</t>
  </si>
  <si>
    <t>0064T000008ygqFQAQ</t>
  </si>
  <si>
    <t>Customer Renewal</t>
  </si>
  <si>
    <t>0064T000008ygvKQAQ</t>
  </si>
  <si>
    <t>Opportunity for Rice1187X</t>
  </si>
  <si>
    <t>0064T000008ygtVQAQ</t>
  </si>
  <si>
    <t>Opportunity for Barker1602</t>
  </si>
  <si>
    <t>0064T000008yguIQAQ</t>
  </si>
  <si>
    <t>Opportunity for Gordon852 - new</t>
  </si>
  <si>
    <t>0064T000008ygucQAA</t>
  </si>
  <si>
    <t>Opportunity for Christensen684X - new</t>
  </si>
  <si>
    <t>0064T000008ygtNQAQ</t>
  </si>
  <si>
    <t>Opportunity for Elliott511XX - new</t>
  </si>
  <si>
    <t>0064T000008ygtnQAA</t>
  </si>
  <si>
    <t>Opportunity for Alvarez1088XX</t>
  </si>
  <si>
    <t>0064T000008ygsPQAQ</t>
  </si>
  <si>
    <t>Opportunity for Lyons</t>
  </si>
  <si>
    <t>0064T000002kJWaQAM</t>
  </si>
  <si>
    <t>Opportunity for Leonard584XX - new</t>
  </si>
  <si>
    <t>0064T000008ygsiQAA</t>
  </si>
  <si>
    <t>Opportunity for Burton1994X - new</t>
  </si>
  <si>
    <t>0064T000002kJYJQA2</t>
  </si>
  <si>
    <t>Opportunity for Stokes814X - new</t>
  </si>
  <si>
    <t>0064T000008ygrSQAQ</t>
  </si>
  <si>
    <t>Opportunity for Frazier196XX</t>
  </si>
  <si>
    <t>0064T000002kJX3QAM</t>
  </si>
  <si>
    <t>Opportunity for Ramirez1837X - new</t>
  </si>
  <si>
    <t>0064T000008yguRQAQ</t>
  </si>
  <si>
    <t>Opportunity for Hart387X - new</t>
  </si>
  <si>
    <t>0064T000008ygsJQAQ</t>
  </si>
  <si>
    <t>Opportunity for Estrada957X</t>
  </si>
  <si>
    <t>0064T000008ygvSQAQ</t>
  </si>
  <si>
    <t>Opportunity for Moss1820X - new</t>
  </si>
  <si>
    <t>0064T000002kJZXQA2</t>
  </si>
  <si>
    <t>Opportunity for Abbott11 - new</t>
  </si>
  <si>
    <t>0064T000002kJaiQAE</t>
  </si>
  <si>
    <t>Opportunity for Frazier196 - new</t>
  </si>
  <si>
    <t>0064T000008ygrhQAA</t>
  </si>
  <si>
    <t>Opportunity for Nguyen1971X</t>
  </si>
  <si>
    <t>0064T000008ygwIQAQ</t>
  </si>
  <si>
    <t>Opportunity for Phillips1889XX</t>
  </si>
  <si>
    <t>0064T000008ygvRQAQ</t>
  </si>
  <si>
    <t>Opportunity for Robbins1143</t>
  </si>
  <si>
    <t>0064T000008ygvBQAQ</t>
  </si>
  <si>
    <t>Opportunity for Grant1452XX - new</t>
  </si>
  <si>
    <t>0064T000002kJcdQAE</t>
  </si>
  <si>
    <t>Opportunity for Stokes949XX - new</t>
  </si>
  <si>
    <t>0064T000008ygu3QAA</t>
  </si>
  <si>
    <t>Opportunity for Christensen684XX</t>
  </si>
  <si>
    <t>Opportunity for Collier5</t>
  </si>
  <si>
    <t>0064T000002kJVLQA2</t>
  </si>
  <si>
    <t>Opportunity for Wilkerson900 - new</t>
  </si>
  <si>
    <t>0064T000008ygrlQAA</t>
  </si>
  <si>
    <t>Opportunity for Klein1 - new</t>
  </si>
  <si>
    <t>0064T000008ygrbQAA</t>
  </si>
  <si>
    <t>Opportunity for Chandler1816X</t>
  </si>
  <si>
    <t>0064T000008yguzQAA</t>
  </si>
  <si>
    <t>Opportunity for Baker1304</t>
  </si>
  <si>
    <t>0064T000002kJaDQAU</t>
  </si>
  <si>
    <t>Opportunity for Lyons494XX - new</t>
  </si>
  <si>
    <t>0064T000008ygu5QAA</t>
  </si>
  <si>
    <t>Opportunity for Barton1764X</t>
  </si>
  <si>
    <t>0064T000008ygvXQAQ</t>
  </si>
  <si>
    <t>Opportunity for Johnson</t>
  </si>
  <si>
    <t>0064T000008ygueQAA</t>
  </si>
  <si>
    <t>Opportunity for Butler582XX</t>
  </si>
  <si>
    <t>0064T000008yguNQAQ</t>
  </si>
  <si>
    <t>New 2021 Deal</t>
  </si>
  <si>
    <t>Opportunity for Leonard584XX</t>
  </si>
  <si>
    <t>0064T000008ygtoQAA</t>
  </si>
  <si>
    <t>Opportunity for Cunningham662X - new</t>
  </si>
  <si>
    <t>0064T000008ygrkQAA</t>
  </si>
  <si>
    <t>Opportunity for Watson1794X</t>
  </si>
  <si>
    <t>0064T000002kJTxQAM</t>
  </si>
  <si>
    <t>Opportunity for Barton1670XX - new</t>
  </si>
  <si>
    <t>0064T000008ygtYQAQ</t>
  </si>
  <si>
    <t>Opportunity for Stokes</t>
  </si>
  <si>
    <t>0064T000008ygw2QAA</t>
  </si>
  <si>
    <t>Opportunity for Allison281XX - new</t>
  </si>
  <si>
    <t>0064T000008ygwLQAQ</t>
  </si>
  <si>
    <t>Opportunity for Elliott511X - new</t>
  </si>
  <si>
    <t>0064T000008ygtOQAQ</t>
  </si>
  <si>
    <t>Opportunity for Hart387XX</t>
  </si>
  <si>
    <t>0064T000002kJcUQAU</t>
  </si>
  <si>
    <t>Opportunity for Spencer1223XX - new</t>
  </si>
  <si>
    <t>0064T000008ygsHQAQ</t>
  </si>
  <si>
    <t>Opportunity for Howard1207 - new</t>
  </si>
  <si>
    <t>0064T000008yguqQAA</t>
  </si>
  <si>
    <t>Revamp Opportunity</t>
  </si>
  <si>
    <t>0064T000008ygsxQAA</t>
  </si>
  <si>
    <t>Opportunity for Conner5X - new</t>
  </si>
  <si>
    <t>0064T000008ygvOQAQ</t>
  </si>
  <si>
    <t>Opportunity for Dixon1405XXX</t>
  </si>
  <si>
    <t>0064T000008ygs7QAA</t>
  </si>
  <si>
    <t>Opportunity for Reyes426XX</t>
  </si>
  <si>
    <t>0064T000008yguCQAQ</t>
  </si>
  <si>
    <t>Opportunity for Hamilton810XX</t>
  </si>
  <si>
    <t>0064T000002kJUnQAM</t>
  </si>
  <si>
    <t>Opportunity for Andrews1792 - new</t>
  </si>
  <si>
    <t>0064T000008ygrsQAA</t>
  </si>
  <si>
    <t>Opportunity for Smith1859 - new</t>
  </si>
  <si>
    <t>0064T000008ygu4QAA</t>
  </si>
  <si>
    <t>Opportunity for Watson1794XX</t>
  </si>
  <si>
    <t>0064T000008ygv4QAA</t>
  </si>
  <si>
    <t>0064T000008ygt5QAA</t>
  </si>
  <si>
    <t>Opportunity for Barton1670X - new</t>
  </si>
  <si>
    <t>0064T000008ygt6QAA</t>
  </si>
  <si>
    <t>Opportunity for Adams87</t>
  </si>
  <si>
    <t>0064T000008ygtSQAQ</t>
  </si>
  <si>
    <t>Opportunity for Gardner1110X</t>
  </si>
  <si>
    <t>0064T000008xAAMQA2</t>
  </si>
  <si>
    <t>0064T000008ygsUQAQ</t>
  </si>
  <si>
    <t>Opportunity for Park1980X</t>
  </si>
  <si>
    <t>Opportunity for Chandler1816X - new</t>
  </si>
  <si>
    <t>Opportunity for Reyes426XXX</t>
  </si>
  <si>
    <t>0064T000008ygvdQAA</t>
  </si>
  <si>
    <t>Opportunity for Nunez399XX</t>
  </si>
  <si>
    <t>Opportunity for Bates1455 - new</t>
  </si>
  <si>
    <t>0064T000008ygviQAA</t>
  </si>
  <si>
    <t>Opportunity for Hardy1507XX</t>
  </si>
  <si>
    <t>0064T000008ygslQAA</t>
  </si>
  <si>
    <t>Opportunity for Smith1859XX</t>
  </si>
  <si>
    <t>0064T000008ygu9QAA</t>
  </si>
  <si>
    <t>Opportunity for Cunningham662XX</t>
  </si>
  <si>
    <t>0064T000002kJXGQA2</t>
  </si>
  <si>
    <t>New test opp - new</t>
  </si>
  <si>
    <t>Opportunity for Guzman1793X</t>
  </si>
  <si>
    <t>0064T000008ygu1QAA</t>
  </si>
  <si>
    <t>0064T000008ygtRQAQ</t>
  </si>
  <si>
    <t>0064T000008ygsVQAQ</t>
  </si>
  <si>
    <t>0064T000008ygrTQAQ</t>
  </si>
  <si>
    <t>Opportunity for Joseph722</t>
  </si>
  <si>
    <t>0064T000008ygu8QAA</t>
  </si>
  <si>
    <t>Opportunity for Jimenez961X</t>
  </si>
  <si>
    <t>0064T000002kJZdQAM</t>
  </si>
  <si>
    <t>Opportunity for Barber186XX - new</t>
  </si>
  <si>
    <t>0064T000008ygvgQAA</t>
  </si>
  <si>
    <t>Opportunity for Holmes1012</t>
  </si>
  <si>
    <t>0064T000008ygsEQAQ</t>
  </si>
  <si>
    <t>Opportunity for Jennings981</t>
  </si>
  <si>
    <t>Opportunity for Armstrong600XX - new</t>
  </si>
  <si>
    <t>Case Management Opportunity</t>
  </si>
  <si>
    <t>0064T000008ygsuQAA</t>
  </si>
  <si>
    <t>0064T000008ygusQAA</t>
  </si>
  <si>
    <t>0064T000002kJWIQA2</t>
  </si>
  <si>
    <t>Opportunity for Nguyen1971X - new</t>
  </si>
  <si>
    <t>0064T000008ygw5QAA</t>
  </si>
  <si>
    <t>0064T000008ygvaQAA</t>
  </si>
  <si>
    <t>Opportunity for Ramirez1837XX</t>
  </si>
  <si>
    <t>0064T000008ygtEQAQ</t>
  </si>
  <si>
    <t>Opportunity for Blair183XX</t>
  </si>
  <si>
    <t>0064T000008ygsCQAQ</t>
  </si>
  <si>
    <t>0064T000002kJaLQAU</t>
  </si>
  <si>
    <t>Opportunity for Barker1602 - new</t>
  </si>
  <si>
    <t>0064T000008ygtQQAQ</t>
  </si>
  <si>
    <t>Opportunity for Spencer1223</t>
  </si>
  <si>
    <t>0064T000002kJS5QAM</t>
  </si>
  <si>
    <t>Opportunity for Hamilton810XX - new</t>
  </si>
  <si>
    <t>0064T000008ygw3QAA</t>
  </si>
  <si>
    <t>Opportunity for Adams87 - new</t>
  </si>
  <si>
    <t>0064T000008ygvuQAA</t>
  </si>
  <si>
    <t>Opportunity for Banks821</t>
  </si>
  <si>
    <t>0064T000002kJSMQA2</t>
  </si>
  <si>
    <t>Opportunity for Holmes1012 - new</t>
  </si>
  <si>
    <t>0064T000008ygtiQAA</t>
  </si>
  <si>
    <t>Opportunity for Swanson1068XX</t>
  </si>
  <si>
    <t>0064T000002kJTYQA2</t>
  </si>
  <si>
    <t>Opportunity for Rice1187X - new</t>
  </si>
  <si>
    <t>0064T000008ygsRQAQ</t>
  </si>
  <si>
    <t>Opportunity for Frazier196X</t>
  </si>
  <si>
    <t>0064T000008ygtjQAA</t>
  </si>
  <si>
    <t>Opportunity for Morgan713XX</t>
  </si>
  <si>
    <t>0064T000002kJWDQA2</t>
  </si>
  <si>
    <t>New test oppXX - new</t>
  </si>
  <si>
    <t>0064T000002kJWgQAM</t>
  </si>
  <si>
    <t>Opportunity for Dixon - new</t>
  </si>
  <si>
    <t>0064T000008ygvbQAA</t>
  </si>
  <si>
    <t>Opportunity for Estrada957 - new</t>
  </si>
  <si>
    <t>0064T000008yguiQAA</t>
  </si>
  <si>
    <t>Opportunity for Estrada1122XX</t>
  </si>
  <si>
    <t>0064T000008ygsMQAQ</t>
  </si>
  <si>
    <t>0064T000008ygruQAA</t>
  </si>
  <si>
    <t>Opportunity for Moss1820 - new</t>
  </si>
  <si>
    <t>Opportunity for Todd1938X</t>
  </si>
  <si>
    <t>0064T000008ygv9QAA</t>
  </si>
  <si>
    <t>Opportunity for Phelps205 - new</t>
  </si>
  <si>
    <t>0064T000002kJY4QAM</t>
  </si>
  <si>
    <t>Opportunity for McCormick23XX - new</t>
  </si>
  <si>
    <t>0064T000008ygsBQAQ</t>
  </si>
  <si>
    <t>Opportunity for Hardy1 - new</t>
  </si>
  <si>
    <t>0064T000008ygwBQAQ</t>
  </si>
  <si>
    <t>Opportunity for Murphy1963X</t>
  </si>
  <si>
    <t>0064T000002kJVkQAM</t>
  </si>
  <si>
    <t>Opportunity for Daniels627X - new</t>
  </si>
  <si>
    <t>0064T000008ygvLQAQ</t>
  </si>
  <si>
    <t>Opportunity for Elliott511X</t>
  </si>
  <si>
    <t>0064T000008ygsqQAA</t>
  </si>
  <si>
    <t>Opportunity for Collier517X</t>
  </si>
  <si>
    <t>0064T000008ygvcQAA</t>
  </si>
  <si>
    <t>Opportunity for Hart387</t>
  </si>
  <si>
    <t>0064T000008ygu6QAA</t>
  </si>
  <si>
    <t>Opportunity for Alexander954</t>
  </si>
  <si>
    <t>0064T000002kJacQAE</t>
  </si>
  <si>
    <t>Opportunity for Alvarez1088XX - new</t>
  </si>
  <si>
    <t>0064T000008ygsLQAQ</t>
  </si>
  <si>
    <t>Opportunity for Johnson1707XXX</t>
  </si>
  <si>
    <t>0064T000008ygvxQAA</t>
  </si>
  <si>
    <t>Opportunity for Guzman1793X - new</t>
  </si>
  <si>
    <t>0064T000008yguhQAA</t>
  </si>
  <si>
    <t>Opportunity for Gordon852</t>
  </si>
  <si>
    <t>0064T000002kJV2QAM</t>
  </si>
  <si>
    <t>Opportunity for Murphy1963X - new</t>
  </si>
  <si>
    <t>0064T000002kJXyQAM</t>
  </si>
  <si>
    <t>Opportunity for Wise361XX - new</t>
  </si>
  <si>
    <t>0064T000008ygukQAA</t>
  </si>
  <si>
    <t>Opportunity for Estrada1122</t>
  </si>
  <si>
    <t>0064T000008ygs1QAA</t>
  </si>
  <si>
    <t>Opportunity for Stevenson670X</t>
  </si>
  <si>
    <t>0064T000002kJSsQAM</t>
  </si>
  <si>
    <t>Opportunity for Klein1486XX - new</t>
  </si>
  <si>
    <t>0064T000008ygv8QAA</t>
  </si>
  <si>
    <t>Opportunity for Frazier196XX - new</t>
  </si>
  <si>
    <t>0064T000008ygwJQAQ</t>
  </si>
  <si>
    <t>0064T000008ygsrQAA</t>
  </si>
  <si>
    <t>Opportunity for Todd1</t>
  </si>
  <si>
    <t>0064T000008ygvFQAQ</t>
  </si>
  <si>
    <t>Opportunity for Simpson1385X</t>
  </si>
  <si>
    <t>0064T000008ygtwQAA</t>
  </si>
  <si>
    <t>Opportunity for Clayton1676X</t>
  </si>
  <si>
    <t>Opportunity for Collier517XXX - new</t>
  </si>
  <si>
    <t>0064T000008ygvUQAQ</t>
  </si>
  <si>
    <t>Opportunity for Walsh1918</t>
  </si>
  <si>
    <t>0064T000008ygv5QAA</t>
  </si>
  <si>
    <t>Opportunity for Barton1764X - new</t>
  </si>
  <si>
    <t>0064T000008ygtcQAA</t>
  </si>
  <si>
    <t>Opportunity for Cobb1406XX</t>
  </si>
  <si>
    <t>0064T000008ygwNQAQ</t>
  </si>
  <si>
    <t>Opportunity for Perkins1263X</t>
  </si>
  <si>
    <t>0064T000002kJZEQA2</t>
  </si>
  <si>
    <t>Opportunity for Jennings981XX - new</t>
  </si>
  <si>
    <t>0064T000008ygwHQAQ</t>
  </si>
  <si>
    <t>Opportunity for Howard1207X - new</t>
  </si>
  <si>
    <t>0064T000002kJZhQAM</t>
  </si>
  <si>
    <t>Opportunity for Cunningham662XX - new</t>
  </si>
  <si>
    <t>Opportunity for Abbott1</t>
  </si>
  <si>
    <t>0064T000008ygujQAA</t>
  </si>
  <si>
    <t>Opportunity for Simpson1</t>
  </si>
  <si>
    <t>Opportunity for Moss1820X</t>
  </si>
  <si>
    <t>0064T000008ygsXQAQ</t>
  </si>
  <si>
    <t>Opportunity for Jimenez961XX</t>
  </si>
  <si>
    <t>Opportunity for Medina1876X</t>
  </si>
  <si>
    <t>0064T000002kJXYQA2</t>
  </si>
  <si>
    <t>Opportunity for Hall1897 - new</t>
  </si>
  <si>
    <t>0064T000008yguXQAQ</t>
  </si>
  <si>
    <t>Opportunity for Allison281X - new</t>
  </si>
  <si>
    <t>0064T000008ygvZQAQ</t>
  </si>
  <si>
    <t>New test opp</t>
  </si>
  <si>
    <t>0064T000008yguLQAQ</t>
  </si>
  <si>
    <t>Opportunity for McKinney1548</t>
  </si>
  <si>
    <t>Opportunity for Dixon1405XX</t>
  </si>
  <si>
    <t>0064T000008ygt2QAA</t>
  </si>
  <si>
    <t>Opportunity for Matt</t>
  </si>
  <si>
    <t>0064T000008yguFQAQ</t>
  </si>
  <si>
    <t>Opportunity for Murphy1963XX - new</t>
  </si>
  <si>
    <t>0064T000008ygtWQAQ</t>
  </si>
  <si>
    <t>0064T000008ygvsQAA</t>
  </si>
  <si>
    <t>Opportunity for Watson1794 - new</t>
  </si>
  <si>
    <t>0064T000008ygrpQAA</t>
  </si>
  <si>
    <t>Opportunity for Daniels627X</t>
  </si>
  <si>
    <t>0064T000008yguDQAQ</t>
  </si>
  <si>
    <t>Opportunity for Wilkerson900X</t>
  </si>
  <si>
    <t>0064T000008yguVQAQ</t>
  </si>
  <si>
    <t>Opportunity for Dixon</t>
  </si>
  <si>
    <t>0064T000008ygtMQAQ</t>
  </si>
  <si>
    <t>Opportunity for Gardner1110XX</t>
  </si>
  <si>
    <t>0064T000002kJVuQAM</t>
  </si>
  <si>
    <t>Opportunity for Johnston824XX - new</t>
  </si>
  <si>
    <t>0064T000008ygvlQAA</t>
  </si>
  <si>
    <t>Opportunity for Swanson1068</t>
  </si>
  <si>
    <t>Opportunity for Johnson1707X</t>
  </si>
  <si>
    <t>Opportunity for Simpson1385XX</t>
  </si>
  <si>
    <t>0064T000008ygsWQAQ</t>
  </si>
  <si>
    <t>Opportunity for Dennis - new</t>
  </si>
  <si>
    <t>0064T000008ygsGQAQ</t>
  </si>
  <si>
    <t>Opportunity for Alexander954 - new</t>
  </si>
  <si>
    <t>0064T000008ygvvQAA</t>
  </si>
  <si>
    <t>Opportunity for Bass1237</t>
  </si>
  <si>
    <t>0064T000008yguYQAQ</t>
  </si>
  <si>
    <t>Opportunity for Adams87X</t>
  </si>
  <si>
    <t>0064T000008ygvfQAA</t>
  </si>
  <si>
    <t>Opportunity for Butler33 - new</t>
  </si>
  <si>
    <t>Opportunity for Cross1834</t>
  </si>
  <si>
    <t>0064T000008ygreQAA</t>
  </si>
  <si>
    <t>Opportunity for Burton1994XX</t>
  </si>
  <si>
    <t>Opportunity for Burton1994</t>
  </si>
  <si>
    <t>0064T000008ygtDQAQ</t>
  </si>
  <si>
    <t>Opportunity for Butler582XX - new</t>
  </si>
  <si>
    <t>0064T000008ygtIQAQ</t>
  </si>
  <si>
    <t>Opportunity for Swanson1068X - new</t>
  </si>
  <si>
    <t>0064T000008ygw8QAA</t>
  </si>
  <si>
    <t>Opportunity for Armstrong600X</t>
  </si>
  <si>
    <t>0064T000008ygrXQAQ</t>
  </si>
  <si>
    <t>Opportunity for Alexander954XX</t>
  </si>
  <si>
    <t>0064T000008ygsZQAQ</t>
  </si>
  <si>
    <t>Opportunity for Shaw336X</t>
  </si>
  <si>
    <t>0064T000002kJSPQA2</t>
  </si>
  <si>
    <t>Opportunity for Romero1224 - new</t>
  </si>
  <si>
    <t>Opportunity for Santiago1975XX - new</t>
  </si>
  <si>
    <t>0064T000008ygwEQAQ</t>
  </si>
  <si>
    <t>Opportunity for Phillips1889X - new</t>
  </si>
  <si>
    <t>0064T000008ygvzQAA</t>
  </si>
  <si>
    <t>Opportunity for Walsh1918XX - new</t>
  </si>
  <si>
    <t>0064T000008ygsaQAA</t>
  </si>
  <si>
    <t>Opportunity for Joseph722X</t>
  </si>
  <si>
    <t>0064T000008ygrVQAQ</t>
  </si>
  <si>
    <t>0064T000008ygv2QAA</t>
  </si>
  <si>
    <t>Opportunity for Watson1794XX - new</t>
  </si>
  <si>
    <t>0064T000008ygscQAA</t>
  </si>
  <si>
    <t>Opportunity for Nunez39 - new</t>
  </si>
  <si>
    <t>0064T000002kJcTQAU</t>
  </si>
  <si>
    <t>Opportunity for Stokes8 - new</t>
  </si>
  <si>
    <t>0064T000008ygvTQAQ</t>
  </si>
  <si>
    <t>Opportunity for Romero1224X</t>
  </si>
  <si>
    <t>Opportunity for Hamilton810</t>
  </si>
  <si>
    <t>0064T000008ygsmQAA</t>
  </si>
  <si>
    <t>Opportunity for Burton1994XX - new</t>
  </si>
  <si>
    <t>0064T000008yguKQAQ</t>
  </si>
  <si>
    <t>Opportunity for Stokes949X</t>
  </si>
  <si>
    <t>0064T000008ygrrQAA</t>
  </si>
  <si>
    <t>Opportunity for Phelps205X</t>
  </si>
  <si>
    <t>0064T000002kJSlQAM</t>
  </si>
  <si>
    <t>Opportunity for Dixon1405XXX - new</t>
  </si>
  <si>
    <t>0064T000008ygvrQAA</t>
  </si>
  <si>
    <t>Opportunity for Conner5XX</t>
  </si>
  <si>
    <t>0064T000008ygryQAA</t>
  </si>
  <si>
    <t>Opportunity for Butler582 - new</t>
  </si>
  <si>
    <t>0064T000008ygtTQAQ</t>
  </si>
  <si>
    <t>Opportunity for Carol - new</t>
  </si>
  <si>
    <t>0064T000008ygvnQAA</t>
  </si>
  <si>
    <t>Opportunity for Daniels627XX</t>
  </si>
  <si>
    <t>0064T000008ygsgQAA</t>
  </si>
  <si>
    <t>Opportunity for Swanson1068XX - new</t>
  </si>
  <si>
    <t>0064T000008ygtrQAA</t>
  </si>
  <si>
    <t>Opportunity for Blair183X</t>
  </si>
  <si>
    <t>0064T000002kJX4QAM</t>
  </si>
  <si>
    <t>Opportunity for Clayton1676X - new</t>
  </si>
  <si>
    <t>Opportunity for Stevenson670XX - new</t>
  </si>
  <si>
    <t>Opportunity for Klein1486XXX</t>
  </si>
  <si>
    <t>0064T000008ygtKQAQ</t>
  </si>
  <si>
    <t>Opportunity for McKinney1548X</t>
  </si>
  <si>
    <t>0064T000002kJUMQA2</t>
  </si>
  <si>
    <t>Opportunity for Bennett62X - new</t>
  </si>
  <si>
    <t>Opportunity for Elliott511</t>
  </si>
  <si>
    <t>0064T000008ygsTQAQ</t>
  </si>
  <si>
    <t>Opportunity for Holmes1012X</t>
  </si>
  <si>
    <t>Opportunity for Collier276XX - new</t>
  </si>
  <si>
    <t>0064T000008ygtzQAA</t>
  </si>
  <si>
    <t>Opportunity for Murphy1963</t>
  </si>
  <si>
    <t>0064T000008ygwAQAQ</t>
  </si>
  <si>
    <t>Opportunity for Howard1207XX</t>
  </si>
  <si>
    <t>0064T000008ygt7QAA</t>
  </si>
  <si>
    <t>Opportunity for Stokes814XX</t>
  </si>
  <si>
    <t>0064T000002kJX8QAM</t>
  </si>
  <si>
    <t>Opportunity for Barber186X - new</t>
  </si>
  <si>
    <t>0064T000008ygs9QAA</t>
  </si>
  <si>
    <t>0064T000002kJbtQAE</t>
  </si>
  <si>
    <t>Opportunity for Bennett62XX - new</t>
  </si>
  <si>
    <t>Opportunity for Banks821 - new</t>
  </si>
  <si>
    <t>Opportunity for Estrada957XX - new</t>
  </si>
  <si>
    <t>0064T000008ygvJQAQ</t>
  </si>
  <si>
    <t>Opportunity for Estrada1122X - new</t>
  </si>
  <si>
    <t>0064T000008ygtLQAQ</t>
  </si>
  <si>
    <t>Opportunity for Bennett62</t>
  </si>
  <si>
    <t>0064T000008ygt1QAA</t>
  </si>
  <si>
    <t>Opportunity for Barton1764</t>
  </si>
  <si>
    <t>Opportunity for Todd1938 - new</t>
  </si>
  <si>
    <t>0064T000008ygtvQAA</t>
  </si>
  <si>
    <t>Opportunity for Rice1187XX - new</t>
  </si>
  <si>
    <t>0064T000008ygtfQAA</t>
  </si>
  <si>
    <t>Opportunity for Dennis956X</t>
  </si>
  <si>
    <t>Opportunity for Hamilton810X</t>
  </si>
  <si>
    <t>0064T000008ygw1QAA</t>
  </si>
  <si>
    <t>Opportunity for Phillips1889</t>
  </si>
  <si>
    <t>0064T000008yguJQAQ</t>
  </si>
  <si>
    <t>Opportunity for Bates1455</t>
  </si>
  <si>
    <t>0064T000002kJYjQAM</t>
  </si>
  <si>
    <t>Opportunity for Watson1794X - new</t>
  </si>
  <si>
    <t>Opportunity for Walsh1918X</t>
  </si>
  <si>
    <t>0064T000008ygskQAA</t>
  </si>
  <si>
    <t>Opportunity for Phillips1889X</t>
  </si>
  <si>
    <t>0064T000008ygw4QAA</t>
  </si>
  <si>
    <t>Opportunity for Butler582</t>
  </si>
  <si>
    <t>0064T000002kJUyQAM</t>
  </si>
  <si>
    <t>Opportunity for Jimenez961X - new</t>
  </si>
  <si>
    <t>Opportunity for Clayton1676XX - new</t>
  </si>
  <si>
    <t>0064T000008ygtdQAA</t>
  </si>
  <si>
    <t>0064T000002kJcJQAU</t>
  </si>
  <si>
    <t>Opportunity for Shaw336X - new</t>
  </si>
  <si>
    <t>0064T000008ygtZQAQ</t>
  </si>
  <si>
    <t>Opportunity for Bass1237 - new</t>
  </si>
  <si>
    <t>Opportunity for Stevenson670 - new</t>
  </si>
  <si>
    <t>0064T000008ygtmQAA</t>
  </si>
  <si>
    <t>Opportunity for Romero1224XX</t>
  </si>
  <si>
    <t>Opportunity for Chandler1281</t>
  </si>
  <si>
    <t>0064T000008yguaQAA</t>
  </si>
  <si>
    <t>Opportunity for Malone1334</t>
  </si>
  <si>
    <t>Opportunity for Gardner1110X - new</t>
  </si>
  <si>
    <t>0064T000008ygtCQAQ</t>
  </si>
  <si>
    <t>Opportunity for Park1980X - new</t>
  </si>
  <si>
    <t>0064T000008ygudQAA</t>
  </si>
  <si>
    <t>0064T000008ygtHQAQ</t>
  </si>
  <si>
    <t>Opportunity for Matt - new</t>
  </si>
  <si>
    <t>Opportunity for Dennis956XX</t>
  </si>
  <si>
    <t>0064T000008ygwCQAQ</t>
  </si>
  <si>
    <t>Opportunity for Brown1230X - new</t>
  </si>
  <si>
    <t>0064T000008yguHQAQ</t>
  </si>
  <si>
    <t>Opportunity for Gordon852XX</t>
  </si>
  <si>
    <t>0064T000008yguoQAA</t>
  </si>
  <si>
    <t>Opportunity for Todd162X</t>
  </si>
  <si>
    <t>0064T000008yguBQAQ</t>
  </si>
  <si>
    <t>Opportunity for Hall1897X - new</t>
  </si>
  <si>
    <t>Opportunity for Lyons494XX</t>
  </si>
  <si>
    <t>0064T000008ygtuQAA</t>
  </si>
  <si>
    <t>Opportunity for Olson321XX</t>
  </si>
  <si>
    <t>0064T000008ygvpQAA</t>
  </si>
  <si>
    <t>Opportunity for Frazier196</t>
  </si>
  <si>
    <t>Opportunity for Joseph722XX</t>
  </si>
  <si>
    <t>Opportunity for Nunez399XX - new</t>
  </si>
  <si>
    <t>0064T000008ygseQAA</t>
  </si>
  <si>
    <t>Opportunity for Santiago1975X</t>
  </si>
  <si>
    <t>0064T000008ygsKQAQ</t>
  </si>
  <si>
    <t>Opportunity for Ramirez1837XX - new</t>
  </si>
  <si>
    <t>0064T000008ygvmQAA</t>
  </si>
  <si>
    <t>Opportunity for Walsh1918X - new</t>
  </si>
  <si>
    <t>Opportunity for Cobb1406XXX - new</t>
  </si>
  <si>
    <t>0064T000008ygsoQAA</t>
  </si>
  <si>
    <t>Opportunity for Howard1207</t>
  </si>
  <si>
    <t>0064T000008ygvYQAQ</t>
  </si>
  <si>
    <t>Opportunity for Medina1876</t>
  </si>
  <si>
    <t>Opportunity for Estrada957</t>
  </si>
  <si>
    <t>Opportunity for Reyes426XXX - new</t>
  </si>
  <si>
    <t>Opportunity for Lyons494X - new</t>
  </si>
  <si>
    <t>0064T000008ygwOQAQ</t>
  </si>
  <si>
    <t>Opportunity for Klein1</t>
  </si>
  <si>
    <t>0064T000008ygthQAA</t>
  </si>
  <si>
    <t>Opportunity for Johnston824X - new</t>
  </si>
  <si>
    <t>Opportunity for Moore962 - new</t>
  </si>
  <si>
    <t>0064T000008ygsnQAA</t>
  </si>
  <si>
    <t>Opportunity for Wilkins1370</t>
  </si>
  <si>
    <t>0064T000008ygtqQAA</t>
  </si>
  <si>
    <t>Opportunity for Morgan713X</t>
  </si>
  <si>
    <t>Opportunity for Grant1452X</t>
  </si>
  <si>
    <t>Opportunity for Johnson1707XX</t>
  </si>
  <si>
    <t>Opportunity for Cobb1406X - new</t>
  </si>
  <si>
    <t>Opportunity for Cobb1406XXX</t>
  </si>
  <si>
    <t>Opportunity for Klein1486XX</t>
  </si>
  <si>
    <t>Opportunity for Malone1334X</t>
  </si>
  <si>
    <t>0064T000008ygvPQAQ</t>
  </si>
  <si>
    <t>Opportunity for Reyes</t>
  </si>
  <si>
    <t>0064T000002kJatQAE</t>
  </si>
  <si>
    <t>0064T000008ygsyQAA</t>
  </si>
  <si>
    <t>0064T000008ygsbQAA</t>
  </si>
  <si>
    <t>Opportunity for Cross1834XX</t>
  </si>
  <si>
    <t>Opportunity for Perkins1263X - new</t>
  </si>
  <si>
    <t>0064T000008ygteQAA</t>
  </si>
  <si>
    <t>0064T000008ygwDQAQ</t>
  </si>
  <si>
    <t>Opportunity for Elliott511XX</t>
  </si>
  <si>
    <t>0064T000008ygttQAA</t>
  </si>
  <si>
    <t>Opportunity for Ramir</t>
  </si>
  <si>
    <t>0064T000008ygvNQAQ</t>
  </si>
  <si>
    <t>Opportunity for Morgan713XX - new</t>
  </si>
  <si>
    <t>0064T000008ygrcQAA</t>
  </si>
  <si>
    <t>Opportunity for McKinney1548X - new</t>
  </si>
  <si>
    <t>Opportunity for Bennett62XXX - new</t>
  </si>
  <si>
    <t>Opportunity for Ramirez1837 - new</t>
  </si>
  <si>
    <t>Opportunity for Guzman1793XX - new</t>
  </si>
  <si>
    <t>Opportunity for Release</t>
  </si>
  <si>
    <t>Opportunity for Collier276XX</t>
  </si>
  <si>
    <t>0064T000008ygrZQAQ</t>
  </si>
  <si>
    <t>Opportunity for Swanson1068 - new</t>
  </si>
  <si>
    <t>Opportunity for Grant1452X - new</t>
  </si>
  <si>
    <t>New test oppX - new</t>
  </si>
  <si>
    <t>0064T000002kJTsQAM</t>
  </si>
  <si>
    <t>Opportunity for Butler582X - new</t>
  </si>
  <si>
    <t>0064T000002kJaRQAU</t>
  </si>
  <si>
    <t>Opportunity for Romero1224X - new</t>
  </si>
  <si>
    <t>0064T000008ygtbQAA</t>
  </si>
  <si>
    <t>Opportunity for Johnson1707X - new</t>
  </si>
  <si>
    <t>0064T000008ygs4QAA</t>
  </si>
  <si>
    <t>Opportunity for Wise361</t>
  </si>
  <si>
    <t>0064T000008ygrmQAA</t>
  </si>
  <si>
    <t>Opportunity for Spencer1223XX</t>
  </si>
  <si>
    <t>0064T000008ygvhQAA</t>
  </si>
  <si>
    <t>0064T000008ygsvQAA</t>
  </si>
  <si>
    <t>Opportunity for Adams87X - new</t>
  </si>
  <si>
    <t>Opportunity for Ramirez1837</t>
  </si>
  <si>
    <t>0064T000008ygvtQAA</t>
  </si>
  <si>
    <t>Opportunity for Wilkerson900XX - new</t>
  </si>
  <si>
    <t>0064T000008ygugQAA</t>
  </si>
  <si>
    <t>Opportunity for Joseph722XX - new</t>
  </si>
  <si>
    <t>Opportunity for Cobb1 - new</t>
  </si>
  <si>
    <t>0064T000008ygrUQAQ</t>
  </si>
  <si>
    <t>Opportunity for Flowers1427XX - new</t>
  </si>
  <si>
    <t>0064T000008ygv6QAA</t>
  </si>
  <si>
    <t>Opportunity for Reyes426X - new</t>
  </si>
  <si>
    <t>Opportunity for Baker1304 - new</t>
  </si>
  <si>
    <t>0064T000008ygtGQAQ</t>
  </si>
  <si>
    <t>Opportunity for Joseph722X - new</t>
  </si>
  <si>
    <t>0064T000008ygw0QAA</t>
  </si>
  <si>
    <t>Opportunity for Abbott1184</t>
  </si>
  <si>
    <t>0064T000008ygssQAA</t>
  </si>
  <si>
    <t>Opportunity for Leonard584</t>
  </si>
  <si>
    <t>0064T000008yguWQAQ</t>
  </si>
  <si>
    <t>0064T000008ygtkQAA</t>
  </si>
  <si>
    <t>Opportunity for Burns308X - new</t>
  </si>
  <si>
    <t>0064T000008ygrwQAA</t>
  </si>
  <si>
    <t>Opportunity for Medina1876XX - new</t>
  </si>
  <si>
    <t>Opportunity for Alexander954X - new</t>
  </si>
  <si>
    <t>0064T000008ygtUQAQ</t>
  </si>
  <si>
    <t>Opportunity for Nunez399XXX</t>
  </si>
  <si>
    <t>0064T000008ygvIQAQ</t>
  </si>
  <si>
    <t>Opportunity for Barton1764 - new</t>
  </si>
  <si>
    <t>0064T000002kJX7QAM</t>
  </si>
  <si>
    <t>Opportunity for Wade966 - new</t>
  </si>
  <si>
    <t>Opportunity for Nunez39</t>
  </si>
  <si>
    <t>0064T000002kJVaQAM</t>
  </si>
  <si>
    <t>Opportunity for Malone1334X - new</t>
  </si>
  <si>
    <t>0064T000002kJbfQAE</t>
  </si>
  <si>
    <t>Opportunity for Nunez399XXX - new</t>
  </si>
  <si>
    <t>Opportunity for Adams87XX - new</t>
  </si>
  <si>
    <t>Opportunity for Hamilton810X - new</t>
  </si>
  <si>
    <t>Opportunity for Romero1224</t>
  </si>
  <si>
    <t>Opportunity for Baker1304XX</t>
  </si>
  <si>
    <t>0064T000002kJYNQA2</t>
  </si>
  <si>
    <t>Opportunity for Gordon852XX - new</t>
  </si>
  <si>
    <t>0064T000002kJcKQAU</t>
  </si>
  <si>
    <t>Opportunity for Simpson1385XX - new</t>
  </si>
  <si>
    <t>0064T000008ygvDQAQ</t>
  </si>
  <si>
    <t>0064T000002kJY2QAM</t>
  </si>
  <si>
    <t>Opportunity for Wise361 - new</t>
  </si>
  <si>
    <t>0064T000008ygtyQAA</t>
  </si>
  <si>
    <t>Opportunity for Bennett62XXX</t>
  </si>
  <si>
    <t>0064T000002kJaNQAU</t>
  </si>
  <si>
    <t>Opportunity for Collier5 - new</t>
  </si>
  <si>
    <t>Opportunity for Blair183X - new</t>
  </si>
  <si>
    <t>0064T000008ygwFQAQ</t>
  </si>
  <si>
    <t>0064T000008ygv0QAA</t>
  </si>
  <si>
    <t>Opportunity for Chandler1281 - new</t>
  </si>
  <si>
    <t>0064T000008yguuQAA</t>
  </si>
  <si>
    <t>Opportunity for Hardy1507XXX</t>
  </si>
  <si>
    <t>Opportunity for Nunez399X</t>
  </si>
  <si>
    <t>0064T000008ygtlQAA</t>
  </si>
  <si>
    <t>Opportunity for Daniels627</t>
  </si>
  <si>
    <t>0064T000008ygw9QAA</t>
  </si>
  <si>
    <t>Opportunity for Hall1897XX</t>
  </si>
  <si>
    <t>0064T000008ygvjQAA</t>
  </si>
  <si>
    <t>Opportunity for Todd1938XX</t>
  </si>
  <si>
    <t>Opportunity for Olson321X</t>
  </si>
  <si>
    <t>Opportunity for Wilkerson900XX</t>
  </si>
  <si>
    <t>Opportunity for Bennett62X</t>
  </si>
  <si>
    <t>0064T000008yguQQAQ</t>
  </si>
  <si>
    <t>0064T000002kJU9QAM</t>
  </si>
  <si>
    <t>Opportunity for Park1980 - new</t>
  </si>
  <si>
    <t>0064T000008ygw7QAA</t>
  </si>
  <si>
    <t>Opportunity for Bates1455X</t>
  </si>
  <si>
    <t>0064T000002kJb5QAE</t>
  </si>
  <si>
    <t>Opportunity for Spencer1223 - new</t>
  </si>
  <si>
    <t>Opportunity for Gardner1110XX - new</t>
  </si>
  <si>
    <t>0064T000008yguxQAA</t>
  </si>
  <si>
    <t>Opportunity for Bass1237X</t>
  </si>
  <si>
    <t>0064T000008ygvHQAQ</t>
  </si>
  <si>
    <t>Opportunity for Phillips1889XX - new</t>
  </si>
  <si>
    <t>Opportunity for Stokes949X - new</t>
  </si>
  <si>
    <t>Opportunity for Collier517X - new</t>
  </si>
  <si>
    <t>0064T000008ygsdQAA</t>
  </si>
  <si>
    <t>Opportunity for Burns308X</t>
  </si>
  <si>
    <t>Opportunity for Wilkins1370X</t>
  </si>
  <si>
    <t>0064T000008ygroQAA</t>
  </si>
  <si>
    <t>Opportunity for Butler33X</t>
  </si>
  <si>
    <t>0064T000008ygtXQAQ</t>
  </si>
  <si>
    <t>Opportunity for Cobb1406X</t>
  </si>
  <si>
    <t>Opportunity for Medina1876 - new</t>
  </si>
  <si>
    <t>Opportunity for Allison281 - new</t>
  </si>
  <si>
    <t>Opportunity for Hall1897X</t>
  </si>
  <si>
    <t>0064T000008ygt0QAA</t>
  </si>
  <si>
    <t>Opportunity for Flowers1427</t>
  </si>
  <si>
    <t>0064T000008ygrxQAA</t>
  </si>
  <si>
    <t>Opportunity for Butler33XX</t>
  </si>
  <si>
    <t>0064T000008ygsQQAQ</t>
  </si>
  <si>
    <t>Opportunity for Gordon852X</t>
  </si>
  <si>
    <t>Opportunity for Bates1455XX - new</t>
  </si>
  <si>
    <t>Opportunity for Wise361X</t>
  </si>
  <si>
    <t>Opportunity for Barton1670X</t>
  </si>
  <si>
    <t>0064T000008ygsDQAQ</t>
  </si>
  <si>
    <t>Opportunity for Flowers1427XX</t>
  </si>
  <si>
    <t>0064T000008ygs2QAA</t>
  </si>
  <si>
    <t>Opportunity for Collier276X</t>
  </si>
  <si>
    <t>Opportunity for Wilkins1370X - new</t>
  </si>
  <si>
    <t>Opportunity for Barber186X</t>
  </si>
  <si>
    <t>Opportunity for Stevenson670</t>
  </si>
  <si>
    <t>Opportunity for Stokes814X</t>
  </si>
  <si>
    <t>0064T000002kJRkQAM</t>
  </si>
  <si>
    <t>Opportunity for Hardy1507X - new</t>
  </si>
  <si>
    <t>0064T000008yguAQAQ</t>
  </si>
  <si>
    <t>Opportunity for Holmes1012XX</t>
  </si>
  <si>
    <t>0064T000008ygt8QAA</t>
  </si>
  <si>
    <t>Opportunity for Stevenson670XX</t>
  </si>
  <si>
    <t>0064T000008ygv7QAA</t>
  </si>
  <si>
    <t>Opportunity for How</t>
  </si>
  <si>
    <t>0064T000002kJTUQA2</t>
  </si>
  <si>
    <t>Opportunity for Robbins1143 - new</t>
  </si>
  <si>
    <t>Opportunity for Cunningham662X</t>
  </si>
  <si>
    <t>0064T000008ygwKQAQ</t>
  </si>
  <si>
    <t>Opportunity for Klein1486X</t>
  </si>
  <si>
    <t>0064T000002kJUDQA2</t>
  </si>
  <si>
    <t>Opportunity for Wilkerson900X - new</t>
  </si>
  <si>
    <t>Opportunity for Lyons494</t>
  </si>
  <si>
    <t>Opportunity for Wilkerson900</t>
  </si>
  <si>
    <t>Opportunity for Bass1237X - new</t>
  </si>
  <si>
    <t>0064T000002kJcSQAU</t>
  </si>
  <si>
    <t>Opportunity for Frazier196X - new</t>
  </si>
  <si>
    <t>Opportunity for Dennis956XXX</t>
  </si>
  <si>
    <t>Opportunity for Nguyen1971XX</t>
  </si>
  <si>
    <t>Opportunity for Hart387XX - new</t>
  </si>
  <si>
    <t>0064T000008ygs5QAA</t>
  </si>
  <si>
    <t>0064T000008ygt9QAA</t>
  </si>
  <si>
    <t>Opportunity for Hamilton8</t>
  </si>
  <si>
    <t>0064T000002kJaSQAU</t>
  </si>
  <si>
    <t>Opportunity for Bates1455X - new</t>
  </si>
  <si>
    <t>0064T000002kJUTQA2</t>
  </si>
  <si>
    <t>Opportunity for Phelps205X - new</t>
  </si>
  <si>
    <t>0064T000008ygtsQAA</t>
  </si>
  <si>
    <t>Opportunity for Lyons494 - new</t>
  </si>
  <si>
    <t>0064T000002kJVBQA2</t>
  </si>
  <si>
    <t>Opportunity for Rice1187 - new</t>
  </si>
  <si>
    <t>Opportunity for Ramir - new</t>
  </si>
  <si>
    <t>0064T000002kJUKQA2</t>
  </si>
  <si>
    <t>Opportunity for Todd1938X - new</t>
  </si>
  <si>
    <t>0064T000002kJS9QAM</t>
  </si>
  <si>
    <t>Opportunity for Wise361X - new</t>
  </si>
  <si>
    <t>Opportunity for Reyes426X</t>
  </si>
  <si>
    <t>Opportunity for Malone1334XX - new</t>
  </si>
  <si>
    <t>0064T000002kJaUQAU</t>
  </si>
  <si>
    <t>Opportunity for Dixon1405XX - new</t>
  </si>
  <si>
    <t>Opportunity for Smith1859XX - new</t>
  </si>
  <si>
    <t>0064T000008ygu0QAA</t>
  </si>
  <si>
    <t>0064T000008ygw6QAA</t>
  </si>
  <si>
    <t>Opportunity for Park1980XX</t>
  </si>
  <si>
    <t>0064T000008ygtaQAA</t>
  </si>
  <si>
    <t>0064T000008ygsOQAQ</t>
  </si>
  <si>
    <t>Opportunity for Brown1230X</t>
  </si>
  <si>
    <t>Opportunity for Alvarez1088XXX - new</t>
  </si>
  <si>
    <t>0064T000008ygsYQAQ</t>
  </si>
  <si>
    <t>Opportunity for Release - new</t>
  </si>
  <si>
    <t>Opportunity for Alvarez1088X - new</t>
  </si>
  <si>
    <t>Opportunity for Collier276</t>
  </si>
  <si>
    <t>Opportunity for Rodriquez958XX - new</t>
  </si>
  <si>
    <t>0064T000008ygrfQAA</t>
  </si>
  <si>
    <t>Opportunity for Estrada1122XX - new</t>
  </si>
  <si>
    <t>Opportunity for Moore962XX</t>
  </si>
  <si>
    <t>0064T000002kJaKQAU</t>
  </si>
  <si>
    <t>Opportunity for Lyons - new</t>
  </si>
  <si>
    <t>Opportunity for Alexander954X</t>
  </si>
  <si>
    <t>0064T000008ygsIQAQ</t>
  </si>
  <si>
    <t>Opportunity for Abbott1184X</t>
  </si>
  <si>
    <t>0064T000008ygraQAA</t>
  </si>
  <si>
    <t>0064T000008ygvMQAQ</t>
  </si>
  <si>
    <t>Opportunity for Wilkins1370XX</t>
  </si>
  <si>
    <t>Opportunity for Butler33</t>
  </si>
  <si>
    <t>Opportunity for Stokes814XX - new</t>
  </si>
  <si>
    <t>Opportunity for Rodriquez958X</t>
  </si>
  <si>
    <t>0064T000002kJaQQAU</t>
  </si>
  <si>
    <t>Opportunity for Morgan713X - new</t>
  </si>
  <si>
    <t>Opportunity for Jennings981XX</t>
  </si>
  <si>
    <t>0064T000008ygvQQAQ</t>
  </si>
  <si>
    <t>Opportunity for Barton1670XX</t>
  </si>
  <si>
    <t>Opportunity for Banks821XX</t>
  </si>
  <si>
    <t>Opportunity for Santiago1975XX</t>
  </si>
  <si>
    <t>0064T000008ygtPQAQ</t>
  </si>
  <si>
    <t>Opportunity for Bass1237XX</t>
  </si>
  <si>
    <t>0064T000008ygs8QAA</t>
  </si>
  <si>
    <t>Opportunity for Spencer1223X</t>
  </si>
  <si>
    <t>0064T000008ygveQAA</t>
  </si>
  <si>
    <t>Opportunity for Barker1602XX</t>
  </si>
  <si>
    <t>Opportunity for Chandler1816XX</t>
  </si>
  <si>
    <t>0064T000008ygrYQAQ</t>
  </si>
  <si>
    <t>New test oppX</t>
  </si>
  <si>
    <t>0064T000008ygu2QAA</t>
  </si>
  <si>
    <t>0064T000008yguEQAQ</t>
  </si>
  <si>
    <t>Opportunity for Christensen684XX - new</t>
  </si>
  <si>
    <t>Opportunity for Estrada1122X</t>
  </si>
  <si>
    <t>0064T000002kJWpQAM</t>
  </si>
  <si>
    <t>Opportunity for Jimenez961XX - new</t>
  </si>
  <si>
    <t>0064T000008ygsfQAA</t>
  </si>
  <si>
    <t>New test oppXX</t>
  </si>
  <si>
    <t>Opportunity for Burton1994 - new</t>
  </si>
  <si>
    <t>0064T000008ygunQAA</t>
  </si>
  <si>
    <t>Opportunity for Barber186</t>
  </si>
  <si>
    <t>0064T000002kJd5QAE</t>
  </si>
  <si>
    <t>Opportunity for Moore962X - new</t>
  </si>
  <si>
    <t>Opportunity for Reyes426XX - new</t>
  </si>
  <si>
    <t>0064T000002kJTDQA2</t>
  </si>
  <si>
    <t>Opportunity for Dixon1405X - new</t>
  </si>
  <si>
    <t>Opportunity for Johnston824X</t>
  </si>
  <si>
    <t>Opportunity for Medina1876XX</t>
  </si>
  <si>
    <t>0064T000002kJUYQA2</t>
  </si>
  <si>
    <t>Opportunity for Hart387 - new</t>
  </si>
  <si>
    <t>Opportunity for Park1980</t>
  </si>
  <si>
    <t>0064T000008ygrqQAA</t>
  </si>
  <si>
    <t>Opportunity for Burns308XX</t>
  </si>
  <si>
    <t>Opportunity for Grant1452XX</t>
  </si>
  <si>
    <t>0064T000008ygs0QAA</t>
  </si>
  <si>
    <t>Opportunity for Guzman1793XX</t>
  </si>
  <si>
    <t>0064T000002kJTJQA2</t>
  </si>
  <si>
    <t>Opportunity for Nunez399X - new</t>
  </si>
  <si>
    <t>Opportunity for Cunningham662 - new</t>
  </si>
  <si>
    <t>0064T000002kJXxQAM</t>
  </si>
  <si>
    <t>Opportunity for Dennis956XX - new</t>
  </si>
  <si>
    <t>0064T000008ygvoQAA</t>
  </si>
  <si>
    <t>Opportunity for Perkins1263 - new</t>
  </si>
  <si>
    <t>Opportunity for Burton1994X</t>
  </si>
  <si>
    <t>Opportunity for Leonard584X</t>
  </si>
  <si>
    <t>0064T000008ygsNQAQ</t>
  </si>
  <si>
    <t>Opportunity for Cobb1</t>
  </si>
  <si>
    <t>Opportunity for Malone1334XX</t>
  </si>
  <si>
    <t>Opportunity for Murphy1963XX</t>
  </si>
  <si>
    <t>0064T000008ygrjQAA</t>
  </si>
  <si>
    <t>Opportunity for Guzman1793</t>
  </si>
  <si>
    <t>Opportunity for Lyons494X</t>
  </si>
  <si>
    <t>Opportunity for Rice1187</t>
  </si>
  <si>
    <t>Opportunity for Todd162XX - new</t>
  </si>
  <si>
    <t>0064T000002kJYSQA2</t>
  </si>
  <si>
    <t>Opportunity for Cobb1406XX - new</t>
  </si>
  <si>
    <t>0064T000002kJWbQAM</t>
  </si>
  <si>
    <t>Opportunity for Romero1224XX - new</t>
  </si>
  <si>
    <t>0064T000002kJSWQA2</t>
  </si>
  <si>
    <t>Opportunity for Medina1876X - new</t>
  </si>
  <si>
    <t>Opportunity for Dennis</t>
  </si>
  <si>
    <t>0064T000008ygufQAA</t>
  </si>
  <si>
    <t>Opportunity for Ric</t>
  </si>
  <si>
    <t>Opportunity for McCormick23X</t>
  </si>
  <si>
    <t>Opportunity for Rodriquez958XX</t>
  </si>
  <si>
    <t>0064T000002kJYBQA2</t>
  </si>
  <si>
    <t>Opportunity for Abbott1 - new</t>
  </si>
  <si>
    <t>0064T000002kJbTQAU</t>
  </si>
  <si>
    <t>Opportunity for Todd1 - new</t>
  </si>
  <si>
    <t>Opportunity for Dixon1405X</t>
  </si>
  <si>
    <t>Opportunity for Nguyen1971</t>
  </si>
  <si>
    <t>Opportunity for Howard1207XX - new</t>
  </si>
  <si>
    <t>Opportunity for Estrada957XX</t>
  </si>
  <si>
    <t>0064T000008ygs3QAA</t>
  </si>
  <si>
    <t>Opportunity for Hardy1</t>
  </si>
  <si>
    <t>Opportunity for Wise361XX</t>
  </si>
  <si>
    <t>Opportunity for Baker1304XX - new</t>
  </si>
  <si>
    <t>Opportunity for Hamilton810 - new</t>
  </si>
  <si>
    <t>Opportunity for Hall1897</t>
  </si>
  <si>
    <t>Opportunity for Hamilton8 - new</t>
  </si>
  <si>
    <t>Opportunity for Simpson1385XXX</t>
  </si>
  <si>
    <t>0064T000008ygumQAA</t>
  </si>
  <si>
    <t>Opportunity for McKinney1548 - new</t>
  </si>
  <si>
    <t>0064T000008yguTQAQ</t>
  </si>
  <si>
    <t>Opportunity for Clayton1676XX</t>
  </si>
  <si>
    <t>0064T000002kJSvQAM</t>
  </si>
  <si>
    <t>Opportunity for Andrews1792XX - new</t>
  </si>
  <si>
    <t>Opportunity for Spencer1223X - new</t>
  </si>
  <si>
    <t>0064T000008ygurQAA</t>
  </si>
  <si>
    <t>Opportunity for Hardy1507X</t>
  </si>
  <si>
    <t>0064T000008ygvwQAA</t>
  </si>
  <si>
    <t>Opportunity for Phelps205XX</t>
  </si>
  <si>
    <t>Opportunity for Armstrong600XX</t>
  </si>
  <si>
    <t>Opportunity for Wade966X</t>
  </si>
  <si>
    <t>Opportunity for Wade966</t>
  </si>
  <si>
    <t>Opportunity for Andrews1792XX</t>
  </si>
  <si>
    <t>Opportunity for Moore962XX - new</t>
  </si>
  <si>
    <t>0064T000008ygsFQAQ</t>
  </si>
  <si>
    <t>Opportunity for Hart387X</t>
  </si>
  <si>
    <t>0064T000008yguvQAA</t>
  </si>
  <si>
    <t>Opportunity for Olson321</t>
  </si>
  <si>
    <t>Opportunity for Blair183 - new</t>
  </si>
  <si>
    <t>0064T000008ygtAQAQ</t>
  </si>
  <si>
    <t>Opportunity for Cross1834 - new</t>
  </si>
  <si>
    <t>0064T000008ygtBQAQ</t>
  </si>
  <si>
    <t>0064T000002kJcaQAE</t>
  </si>
  <si>
    <t>Opportunity for Estrada1122 - new</t>
  </si>
  <si>
    <t>0064T000008ygvAQAQ</t>
  </si>
  <si>
    <t>Opportunity for Clayton1676 - new</t>
  </si>
  <si>
    <t>Opportunity for Cunningham662</t>
  </si>
  <si>
    <t>Opportunity for Perkins1263</t>
  </si>
  <si>
    <t>0064T000008yguUQAQ</t>
  </si>
  <si>
    <t>Opportunity for Allison281X</t>
  </si>
  <si>
    <t>Opportunity for Jennings981 - new</t>
  </si>
  <si>
    <t>0064T000002kJYuQAM</t>
  </si>
  <si>
    <t>Opportunity for Elliott511 - new</t>
  </si>
  <si>
    <t>Opportunity for Barton1670</t>
  </si>
  <si>
    <t>0064T000008ygt3QAA</t>
  </si>
  <si>
    <t>Opportunity for Robbins1143XX - new</t>
  </si>
  <si>
    <t>Opportunity for Gordon852X - new</t>
  </si>
  <si>
    <t>Opportunity for Rice1187XX</t>
  </si>
  <si>
    <t>0064T000008yguOQAQ</t>
  </si>
  <si>
    <t>Opportunity for Allison281</t>
  </si>
  <si>
    <t>0064T000002kJUEQA2</t>
  </si>
  <si>
    <t>Opportunity for Daniels627 - new</t>
  </si>
  <si>
    <t>Opportunity for Stokes949</t>
  </si>
  <si>
    <t>0064T000002kJaMQAU</t>
  </si>
  <si>
    <t>Opportunity for Abbott1184X - new</t>
  </si>
  <si>
    <t>Opportunity for Todd1938XX - new</t>
  </si>
  <si>
    <t>Opportunity for Rodrique</t>
  </si>
  <si>
    <t>0064T000008ygrzQAA</t>
  </si>
  <si>
    <t>Opportunity for Wade966X - new</t>
  </si>
  <si>
    <t>0064T000008ygs6QAA</t>
  </si>
  <si>
    <t>Opportunity for Perkins1263XX</t>
  </si>
  <si>
    <t>Opportunity for McCormick23</t>
  </si>
  <si>
    <t>Opportunity for Moss1820</t>
  </si>
  <si>
    <t>0064T000008ygtpQAA</t>
  </si>
  <si>
    <t>Opportunity for Alvarez1088X</t>
  </si>
  <si>
    <t>Opportunity for McCormick23XX</t>
  </si>
  <si>
    <t>0064T000002kJVjQAM</t>
  </si>
  <si>
    <t>Opportunity for Barton1670 - new</t>
  </si>
  <si>
    <t>Opportunity for Barber186XX</t>
  </si>
  <si>
    <t>0064T000002kJS3QAM</t>
  </si>
  <si>
    <t>Opportunity for Brown1230 - new</t>
  </si>
  <si>
    <t>0064T000008ygv3QAA</t>
  </si>
  <si>
    <t>Opportunity for Ramirez1837X</t>
  </si>
  <si>
    <t>0064T000008ygshQAA</t>
  </si>
  <si>
    <t>Opportunity for Watson1794</t>
  </si>
  <si>
    <t>Opportunity for Stokes949XX</t>
  </si>
  <si>
    <t>0064T000002kJcrQAE</t>
  </si>
  <si>
    <t>Opportunity for Collier276 - new</t>
  </si>
  <si>
    <t>Opportunity for Clayton1676</t>
  </si>
  <si>
    <t>Opportunity for Abbott11</t>
  </si>
  <si>
    <t>0064T000002kJStQAM</t>
  </si>
  <si>
    <t>Opportunity for Todd162XXX - new</t>
  </si>
  <si>
    <t>0064T000002kJU4QAM</t>
  </si>
  <si>
    <t>Opportunity for Stokes - new</t>
  </si>
  <si>
    <t>Opportunity for Collier517XXX</t>
  </si>
  <si>
    <t>Opportunity for Walsh1918XX</t>
  </si>
  <si>
    <t>0064T000002kJSyQAM</t>
  </si>
  <si>
    <t>Opportunity for Moss1820XX - new</t>
  </si>
  <si>
    <t>Opportunity for How - new</t>
  </si>
  <si>
    <t>Opportunity for Chandler1281XX - new</t>
  </si>
  <si>
    <t>Opportunity for Armstrong600</t>
  </si>
  <si>
    <t>Opportunity for Butler582X</t>
  </si>
  <si>
    <t>Opportunity for Moore962</t>
  </si>
  <si>
    <t>Opportunity for Chandler1281XX</t>
  </si>
  <si>
    <t>Opportunity for Adams87XX</t>
  </si>
  <si>
    <t>0064T000008ygtxQAA</t>
  </si>
  <si>
    <t>Opportunity for Alvarez</t>
  </si>
  <si>
    <t>Opportunity for Smith1859</t>
  </si>
  <si>
    <t>0064T000008ygvCQAQ</t>
  </si>
  <si>
    <t>Opportunity for Stokes949 - new</t>
  </si>
  <si>
    <t>Opportunity for Johnston824XX</t>
  </si>
  <si>
    <t>0064T000002kJd7QAE</t>
  </si>
  <si>
    <t>Opportunity for Cross1834XX - new</t>
  </si>
  <si>
    <t>Opportunity for Abbott1184XX - new</t>
  </si>
  <si>
    <t>Opportunity for Howard1207X</t>
  </si>
  <si>
    <t>Opportunity for Ric - new</t>
  </si>
  <si>
    <t>Opportunity for Bates1455XX</t>
  </si>
  <si>
    <t>Opportunity for Stokes8</t>
  </si>
  <si>
    <t>Opportunity for Rodrique - new</t>
  </si>
  <si>
    <t>0064T000002kJanQAE</t>
  </si>
  <si>
    <t>Opportunity for Dennis956X - new</t>
  </si>
  <si>
    <t>Opportunity for Nguyen1971 - new</t>
  </si>
  <si>
    <t>Opportunity for Guzman1793 - new</t>
  </si>
  <si>
    <t>Opportunity for Phillips1889 - new</t>
  </si>
  <si>
    <r>
      <t xml:space="preserve">Average Count of New Leads
</t>
    </r>
    <r>
      <rPr>
        <i/>
        <sz val="10"/>
        <color rgb="FFFFFFFF"/>
        <rFont val="Aptos Display"/>
        <family val="2"/>
      </rPr>
      <t>(Previous Three Months)</t>
    </r>
  </si>
  <si>
    <r>
      <t xml:space="preserve">Average Deal Size
</t>
    </r>
    <r>
      <rPr>
        <i/>
        <sz val="10"/>
        <color rgb="FFFFFFFF"/>
        <rFont val="Aptos Display"/>
        <family val="2"/>
      </rPr>
      <t>(Previous Three Months)</t>
    </r>
  </si>
  <si>
    <r>
      <t xml:space="preserve">Total Forecasted Leads
</t>
    </r>
    <r>
      <rPr>
        <i/>
        <sz val="10"/>
        <color rgb="FFFFFFFF"/>
        <rFont val="Aptos Display"/>
        <family val="2"/>
      </rPr>
      <t>(in 12 Months)</t>
    </r>
  </si>
  <si>
    <r>
      <t xml:space="preserve">Total Forecasted Meetings Booked
</t>
    </r>
    <r>
      <rPr>
        <i/>
        <sz val="10"/>
        <color rgb="FFFFFFFF"/>
        <rFont val="Aptos Display"/>
        <family val="2"/>
      </rPr>
      <t>(in 12 Months)</t>
    </r>
  </si>
  <si>
    <r>
      <t xml:space="preserve">Total Forecasted Closed/Won
</t>
    </r>
    <r>
      <rPr>
        <i/>
        <sz val="10"/>
        <color rgb="FFFFFFFF"/>
        <rFont val="Aptos Display"/>
        <family val="2"/>
      </rPr>
      <t>(in 12 Months)</t>
    </r>
  </si>
  <si>
    <r>
      <t xml:space="preserve">Total Forecasted Revenue
</t>
    </r>
    <r>
      <rPr>
        <i/>
        <sz val="10"/>
        <color rgb="FFFFFFFF"/>
        <rFont val="Aptos Display"/>
        <family val="2"/>
      </rPr>
      <t>(in 12 Months)</t>
    </r>
  </si>
  <si>
    <r>
      <t xml:space="preserve">Total Forecasted Revenue
</t>
    </r>
    <r>
      <rPr>
        <i/>
        <sz val="10"/>
        <color rgb="FFFFFFFF"/>
        <rFont val="Aptos Display"/>
        <family val="2"/>
      </rPr>
      <t>(in 24 Months)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</si>
</sst>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"/>
    <numFmt numFmtId="165" formatCode="mmm\ yyyy"/>
    <numFmt numFmtId="166" formatCode="&quot;$&quot;#,##0.00"/>
  </numFmts>
  <fonts count="2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2677F1"/>
      <name val="Aptos Display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b/>
      <sz val="9"/>
      <color rgb="FFFFFFFF"/>
      <name val="Aptos Display"/>
      <family val="2"/>
    </font>
    <font>
      <sz val="10"/>
      <name val="Aptos Display"/>
      <family val="2"/>
    </font>
    <font>
      <i/>
      <sz val="8"/>
      <color rgb="FFFFFFFF"/>
      <name val="Aptos Display"/>
      <family val="2"/>
    </font>
    <font>
      <b/>
      <sz val="9"/>
      <color rgb="FF2677F1"/>
      <name val="Aptos Display"/>
      <family val="2"/>
    </font>
    <font>
      <b/>
      <sz val="10"/>
      <color rgb="FFFFFFFF"/>
      <name val="Aptos Display"/>
      <family val="2"/>
    </font>
    <font>
      <b/>
      <sz val="9"/>
      <color theme="1"/>
      <name val="Aptos Display"/>
      <family val="2"/>
    </font>
    <font>
      <b/>
      <sz val="12"/>
      <color rgb="FFFFFFFF"/>
      <name val="Aptos Display"/>
      <family val="2"/>
    </font>
    <font>
      <i/>
      <sz val="10"/>
      <color rgb="FFFFFFFF"/>
      <name val="Aptos Display"/>
      <family val="2"/>
    </font>
    <font>
      <b/>
      <sz val="31"/>
      <color rgb="FF000000"/>
      <name val="Aptos Display"/>
      <family val="2"/>
    </font>
    <font>
      <b/>
      <sz val="15"/>
      <color rgb="FFFFFFFF"/>
      <name val="Aptos Display"/>
      <family val="2"/>
    </font>
    <font>
      <b/>
      <sz val="15"/>
      <color rgb="FF1C4587"/>
      <name val="Aptos Display"/>
      <family val="2"/>
    </font>
    <font>
      <b/>
      <sz val="15"/>
      <color rgb="FF2677F1"/>
      <name val="Aptos Display"/>
      <family val="2"/>
    </font>
    <font>
      <i/>
      <sz val="10"/>
      <color theme="1" tint="0.499984740745262"/>
      <name val="Aptos Display"/>
      <family val="2"/>
    </font>
    <font>
      <sz val="10"/>
      <color theme="1" tint="0.499984740745262"/>
      <name val="Aptos Display"/>
      <family val="2"/>
    </font>
    <font>
      <u/>
      <sz val="10"/>
      <color rgb="FF3053FF"/>
      <name val="Aptos Display"/>
      <family val="2"/>
    </font>
    <font>
      <b/>
      <sz val="28"/>
      <color rgb="FFFFFFFF"/>
      <name val="Aptos Display"/>
      <family val="2"/>
    </font>
    <font>
      <sz val="28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AEDFF"/>
        <bgColor rgb="FFDAEDFF"/>
      </patternFill>
    </fill>
    <fill>
      <patternFill patternType="solid">
        <fgColor rgb="FF3C78D8"/>
        <bgColor rgb="FF3C78D8"/>
      </patternFill>
    </fill>
    <fill>
      <patternFill patternType="solid">
        <fgColor rgb="FF0F3762"/>
        <bgColor rgb="FF0F3762"/>
      </patternFill>
    </fill>
    <fill>
      <patternFill patternType="solid">
        <fgColor rgb="FF073763"/>
        <bgColor rgb="FF073763"/>
      </patternFill>
    </fill>
    <fill>
      <patternFill patternType="solid">
        <fgColor rgb="FFEFF7FF"/>
        <bgColor rgb="FFEFF7FF"/>
      </patternFill>
    </fill>
    <fill>
      <patternFill patternType="solid">
        <fgColor rgb="FFDAEDFF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3976DA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ck">
        <color rgb="FFC7C7C7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3" fillId="8" borderId="16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right"/>
    </xf>
    <xf numFmtId="0" fontId="5" fillId="4" borderId="1" xfId="0" applyFont="1" applyFill="1" applyBorder="1"/>
    <xf numFmtId="0" fontId="5" fillId="2" borderId="0" xfId="0" applyFont="1" applyFill="1"/>
    <xf numFmtId="0" fontId="5" fillId="3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6" fillId="3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165" fontId="5" fillId="3" borderId="0" xfId="0" applyNumberFormat="1" applyFont="1" applyFill="1"/>
    <xf numFmtId="0" fontId="5" fillId="4" borderId="0" xfId="0" applyFont="1" applyFill="1"/>
    <xf numFmtId="0" fontId="9" fillId="4" borderId="0" xfId="0" applyFont="1" applyFill="1" applyAlignment="1">
      <alignment vertical="top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3" fillId="6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165" fontId="5" fillId="3" borderId="0" xfId="0" applyNumberFormat="1" applyFont="1" applyFill="1" applyAlignment="1">
      <alignment vertical="center"/>
    </xf>
    <xf numFmtId="165" fontId="11" fillId="6" borderId="6" xfId="0" applyNumberFormat="1" applyFont="1" applyFill="1" applyBorder="1" applyAlignment="1">
      <alignment horizontal="center"/>
    </xf>
    <xf numFmtId="165" fontId="11" fillId="6" borderId="7" xfId="0" applyNumberFormat="1" applyFont="1" applyFill="1" applyBorder="1" applyAlignment="1">
      <alignment horizontal="center"/>
    </xf>
    <xf numFmtId="3" fontId="5" fillId="7" borderId="9" xfId="0" applyNumberFormat="1" applyFont="1" applyFill="1" applyBorder="1" applyAlignment="1">
      <alignment horizontal="center" vertical="center"/>
    </xf>
    <xf numFmtId="3" fontId="5" fillId="7" borderId="10" xfId="0" applyNumberFormat="1" applyFont="1" applyFill="1" applyBorder="1" applyAlignment="1">
      <alignment horizontal="center" vertical="center"/>
    </xf>
    <xf numFmtId="164" fontId="5" fillId="7" borderId="9" xfId="0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3" fontId="5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right"/>
    </xf>
    <xf numFmtId="0" fontId="21" fillId="0" borderId="0" xfId="0" applyFont="1"/>
    <xf numFmtId="0" fontId="5" fillId="0" borderId="0" xfId="0" applyFont="1"/>
    <xf numFmtId="0" fontId="4" fillId="0" borderId="0" xfId="0" applyFont="1"/>
    <xf numFmtId="0" fontId="17" fillId="0" borderId="0" xfId="0" applyFont="1" applyAlignment="1">
      <alignment vertical="center"/>
    </xf>
    <xf numFmtId="0" fontId="6" fillId="7" borderId="11" xfId="0" applyFont="1" applyFill="1" applyBorder="1" applyAlignment="1">
      <alignment vertical="center"/>
    </xf>
    <xf numFmtId="0" fontId="8" fillId="0" borderId="8" xfId="0" applyFont="1" applyBorder="1"/>
    <xf numFmtId="0" fontId="5" fillId="0" borderId="12" xfId="0" applyFont="1" applyBorder="1"/>
    <xf numFmtId="0" fontId="8" fillId="0" borderId="13" xfId="0" applyFont="1" applyBorder="1"/>
    <xf numFmtId="0" fontId="5" fillId="7" borderId="11" xfId="0" applyFont="1" applyFill="1" applyBorder="1" applyAlignment="1">
      <alignment horizontal="center" vertical="center"/>
    </xf>
    <xf numFmtId="164" fontId="15" fillId="7" borderId="2" xfId="0" applyNumberFormat="1" applyFont="1" applyFill="1" applyBorder="1" applyAlignment="1">
      <alignment horizontal="center" vertical="center"/>
    </xf>
    <xf numFmtId="0" fontId="8" fillId="0" borderId="3" xfId="0" applyFont="1" applyBorder="1"/>
    <xf numFmtId="3" fontId="15" fillId="7" borderId="2" xfId="0" applyNumberFormat="1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vertical="center"/>
    </xf>
    <xf numFmtId="0" fontId="8" fillId="0" borderId="5" xfId="0" applyFont="1" applyBorder="1"/>
    <xf numFmtId="0" fontId="5" fillId="7" borderId="11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center" wrapText="1"/>
    </xf>
    <xf numFmtId="0" fontId="8" fillId="0" borderId="1" xfId="0" applyFont="1" applyBorder="1"/>
    <xf numFmtId="0" fontId="22" fillId="4" borderId="1" xfId="0" applyFont="1" applyFill="1" applyBorder="1"/>
    <xf numFmtId="0" fontId="23" fillId="0" borderId="1" xfId="0" applyFont="1" applyBorder="1"/>
    <xf numFmtId="0" fontId="11" fillId="5" borderId="0" xfId="0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1" fillId="6" borderId="2" xfId="0" applyFont="1" applyFill="1" applyBorder="1" applyAlignment="1">
      <alignment horizontal="center" vertical="center" wrapText="1"/>
    </xf>
  </cellXfs>
  <cellStyles count="3">
    <cellStyle name="Hyperlink 2" xfId="2" xr:uid="{E053E88B-619E-0F4B-B6CC-278C5FE0A755}"/>
    <cellStyle name="Normal" xfId="0" builtinId="0"/>
    <cellStyle name="Normal 2" xfId="1" xr:uid="{3E134571-32FE-6E42-8F2D-9E1949478679}"/>
  </cellStyles>
  <dxfs count="27"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6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7" formatCode="m/d/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7" formatCode="m/d/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ptos Display"/>
        <family val="2"/>
        <scheme val="none"/>
      </font>
    </dxf>
    <dxf>
      <border>
        <bottom style="thick">
          <color rgb="FFC7C7C7"/>
        </bottom>
      </border>
    </dxf>
    <dxf>
      <font>
        <b/>
        <strike val="0"/>
        <outline val="0"/>
        <shadow val="0"/>
        <vertAlign val="baseline"/>
        <sz val="10"/>
        <color rgb="FF2677F1"/>
        <name val="Aptos Display"/>
        <family val="2"/>
        <scheme val="none"/>
      </font>
      <fill>
        <patternFill patternType="solid">
          <fgColor indexed="64"/>
          <bgColor rgb="FFDAEDFF"/>
        </patternFill>
      </fill>
      <alignment vertical="center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7" formatCode="m/d/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Display"/>
        <family val="2"/>
        <scheme val="none"/>
      </font>
    </dxf>
    <dxf>
      <border>
        <bottom style="thick">
          <color rgb="FFC7C7C7"/>
        </bottom>
      </border>
    </dxf>
    <dxf>
      <font>
        <b/>
        <strike val="0"/>
        <outline val="0"/>
        <shadow val="0"/>
        <u val="none"/>
        <vertAlign val="baseline"/>
        <sz val="10"/>
        <color rgb="FF2677F1"/>
        <name val="Aptos Display"/>
        <family val="2"/>
        <scheme val="none"/>
      </font>
      <fill>
        <patternFill patternType="solid">
          <fgColor indexed="64"/>
          <bgColor rgb="FFDAEDFF"/>
        </patternFill>
      </fill>
      <alignment vertical="center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numFmt numFmtId="167" formatCode="m/d/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</dxf>
    <dxf>
      <border>
        <bottom style="thick">
          <color rgb="FFC7C7C7"/>
        </bottom>
      </border>
    </dxf>
    <dxf>
      <font>
        <b/>
        <strike val="0"/>
        <outline val="0"/>
        <shadow val="0"/>
        <u val="none"/>
        <vertAlign val="baseline"/>
        <sz val="10"/>
        <color rgb="FF2677F1"/>
        <name val="Aptos Display"/>
        <family val="2"/>
        <scheme val="none"/>
      </font>
      <fill>
        <patternFill patternType="solid">
          <fgColor indexed="64"/>
          <bgColor rgb="FFDAEDFF"/>
        </patternFill>
      </fill>
      <alignment vertical="center" wrapText="0"/>
    </dxf>
  </dxfs>
  <tableStyles count="1" defaultTableStyle="TableStyleMedium2" defaultPivotStyle="PivotStyleLight16">
    <tableStyle name="Invisible" pivot="0" table="0" count="0" xr9:uid="{E7FC9344-C1A0-486B-AC28-B0AF170094A3}"/>
  </tableStyles>
  <colors>
    <mruColors>
      <color rgb="FFEF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>
        <c:manualLayout>
          <c:xMode val="edge"/>
          <c:yMode val="edge"/>
          <c:x val="1.0749724366041897E-2"/>
          <c:y val="6.8298969072164942E-2"/>
          <c:w val="0.97794928335170894"/>
          <c:h val="0.8298969072164948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'📊 12-Month Sales Forecast Dash'!$W$2</c:f>
              <c:strCache>
                <c:ptCount val="1"/>
                <c:pt idx="0">
                  <c:v>$ Forecasted Revenue</c:v>
                </c:pt>
              </c:strCache>
            </c:strRef>
          </c:tx>
          <c:spPr>
            <a:solidFill>
              <a:srgbClr val="3C78D8"/>
            </a:solidFill>
            <a:ln cmpd="sng">
              <a:noFill/>
              <a:prstDash val="solid"/>
            </a:ln>
          </c:spPr>
          <c:invertIfNegative val="1"/>
          <c:dLbls>
            <c:dLbl>
              <c:idx val="0"/>
              <c:tx>
                <c:rich>
                  <a:bodyPr/>
                  <a:lstStyle/>
                  <a:p>
                    <a:fld id="{BAC7F82B-F7EF-4551-976A-B59346C60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FFE-4E05-A96C-9850AB51AA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D8490EA-474B-4A0F-842B-050C70FFC1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FFE-4E05-A96C-9850AB51AA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52D4E31-47E7-45AB-848D-3584FE894A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FFE-4E05-A96C-9850AB51AA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3BEEC63-DC88-4C43-BBC1-CE3921A0A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FFE-4E05-A96C-9850AB51AA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3FEE08-B07D-4A10-A5AF-127F24DC9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FFE-4E05-A96C-9850AB51AA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0151ECD-6394-4A78-BA76-F570509296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FFE-4E05-A96C-9850AB51AA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342301B-C000-4A66-8EED-41F89702F9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FFE-4E05-A96C-9850AB51AA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7BD26E0-1622-4620-946B-828988EF40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FFE-4E05-A96C-9850AB51AA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86636F4-A4E6-4CD5-868C-89B6866457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FFE-4E05-A96C-9850AB51AA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6542258-081E-40BE-93C8-5B958C143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FFE-4E05-A96C-9850AB51AA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B929374-6147-486E-B0B7-2E5FFF0248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FFE-4E05-A96C-9850AB51AA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1DD36BC-BF0A-4083-812B-6133B2EFBA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FFE-4E05-A96C-9850AB51AA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C45B95A-6873-4792-BD33-6F687F2A37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FFE-4E05-A96C-9850AB51AA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9BF584E-2F17-409B-9C53-CD6DC1828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FFE-4E05-A96C-9850AB51AA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DAE8CB9-8943-406A-8095-BA56EDCBBB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FFE-4E05-A96C-9850AB51AA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9E56B47-E43E-428C-819A-3AD0571E0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FFE-4E05-A96C-9850AB51AA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DA1910F-32DC-4024-B9EE-089D9C83F2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FFE-4E05-A96C-9850AB51AA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5D71BD8-F0A2-44EA-932D-A5EFE066F6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FFE-4E05-A96C-9850AB51AA5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017AB0C-8DDC-47FE-9EAB-167C024E1F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FFE-4E05-A96C-9850AB51AA5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3684248-AC78-4BE9-A9A8-B2393C081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FFE-4E05-A96C-9850AB51AA5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A471E4C-D799-40B8-A3E2-FE4ED8BDA6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FFE-4E05-A96C-9850AB51AA5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550B72F-740D-44E5-8FF1-699349AD41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FFE-4E05-A96C-9850AB51AA5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FABFCA0-F1F3-49DD-AF87-685DD02922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FFE-4E05-A96C-9850AB51AA5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93DE222-3354-4DDB-BE28-2B89DB829D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FFE-4E05-A96C-9850AB51AA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34925">
                <a:solidFill>
                  <a:srgbClr val="073763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'📊 12-Month Sales Forecast Dash'!$R$3:$R$26</c:f>
              <c:numCache>
                <c:formatCode>mmm\ yyyy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'📊 12-Month Sales Forecast Dash'!$W$3:$W$26</c:f>
              <c:numCache>
                <c:formatCode>"$"#,##0</c:formatCode>
                <c:ptCount val="24"/>
                <c:pt idx="0">
                  <c:v>99793.517418215008</c:v>
                </c:pt>
                <c:pt idx="1">
                  <c:v>99950.891669412144</c:v>
                </c:pt>
                <c:pt idx="2">
                  <c:v>99972.213325304125</c:v>
                </c:pt>
                <c:pt idx="3">
                  <c:v>100038.59080678599</c:v>
                </c:pt>
                <c:pt idx="4">
                  <c:v>99437.793860286605</c:v>
                </c:pt>
                <c:pt idx="5">
                  <c:v>99384.071524972838</c:v>
                </c:pt>
                <c:pt idx="6">
                  <c:v>99638.670968780309</c:v>
                </c:pt>
                <c:pt idx="7">
                  <c:v>99836.21724110606</c:v>
                </c:pt>
                <c:pt idx="8">
                  <c:v>100041.73916768555</c:v>
                </c:pt>
                <c:pt idx="9">
                  <c:v>99855.706581510152</c:v>
                </c:pt>
                <c:pt idx="10">
                  <c:v>99698.241766469961</c:v>
                </c:pt>
                <c:pt idx="11">
                  <c:v>99583.122585738834</c:v>
                </c:pt>
                <c:pt idx="12">
                  <c:v>99513.779857774265</c:v>
                </c:pt>
                <c:pt idx="13">
                  <c:v>99487.151926097038</c:v>
                </c:pt>
                <c:pt idx="14">
                  <c:v>99493.346528710375</c:v>
                </c:pt>
                <c:pt idx="15">
                  <c:v>99519.181630644482</c:v>
                </c:pt>
                <c:pt idx="16">
                  <c:v>99549.678175960333</c:v>
                </c:pt>
                <c:pt idx="17">
                  <c:v>99578.494482361843</c:v>
                </c:pt>
                <c:pt idx="18">
                  <c:v>99599.01784588478</c:v>
                </c:pt>
                <c:pt idx="19">
                  <c:v>99611.296844661643</c:v>
                </c:pt>
                <c:pt idx="20">
                  <c:v>99616.873967440275</c:v>
                </c:pt>
                <c:pt idx="21">
                  <c:v>99616.37429108264</c:v>
                </c:pt>
                <c:pt idx="22">
                  <c:v>99618.075496241188</c:v>
                </c:pt>
                <c:pt idx="23">
                  <c:v>99622.189448265301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5="http://schemas.microsoft.com/office/drawing/2012/chart" uri="{02D57815-91ED-43cb-92C2-25804820EDAC}">
              <c15:datalabelsRange>
                <c15:f>'📊 12-Month Sales Forecast Dash'!$Y$3:$Y$26</c15:f>
                <c15:dlblRangeCache>
                  <c:ptCount val="24"/>
                  <c:pt idx="0">
                    <c:v>$100k</c:v>
                  </c:pt>
                  <c:pt idx="1">
                    <c:v>$100k</c:v>
                  </c:pt>
                  <c:pt idx="2">
                    <c:v>$100k</c:v>
                  </c:pt>
                  <c:pt idx="3">
                    <c:v>$100k</c:v>
                  </c:pt>
                  <c:pt idx="4">
                    <c:v>$99k</c:v>
                  </c:pt>
                  <c:pt idx="5">
                    <c:v>$99k</c:v>
                  </c:pt>
                  <c:pt idx="6">
                    <c:v>$100k</c:v>
                  </c:pt>
                  <c:pt idx="7">
                    <c:v>$100k</c:v>
                  </c:pt>
                  <c:pt idx="8">
                    <c:v>$100k</c:v>
                  </c:pt>
                  <c:pt idx="9">
                    <c:v>$100k</c:v>
                  </c:pt>
                  <c:pt idx="10">
                    <c:v>$100k</c:v>
                  </c:pt>
                  <c:pt idx="11">
                    <c:v>$100k</c:v>
                  </c:pt>
                  <c:pt idx="12">
                    <c:v>$100k</c:v>
                  </c:pt>
                  <c:pt idx="13">
                    <c:v>$99k</c:v>
                  </c:pt>
                  <c:pt idx="14">
                    <c:v>$99k</c:v>
                  </c:pt>
                  <c:pt idx="15">
                    <c:v>$100k</c:v>
                  </c:pt>
                  <c:pt idx="16">
                    <c:v>$100k</c:v>
                  </c:pt>
                  <c:pt idx="17">
                    <c:v>$100k</c:v>
                  </c:pt>
                  <c:pt idx="18">
                    <c:v>$100k</c:v>
                  </c:pt>
                  <c:pt idx="19">
                    <c:v>$100k</c:v>
                  </c:pt>
                  <c:pt idx="20">
                    <c:v>$100k</c:v>
                  </c:pt>
                  <c:pt idx="21">
                    <c:v>$100k</c:v>
                  </c:pt>
                  <c:pt idx="22">
                    <c:v>$100k</c:v>
                  </c:pt>
                  <c:pt idx="23">
                    <c:v>$100k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FFE-4E05-A96C-9850AB51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620727933"/>
        <c:axId val="1084498933"/>
      </c:barChart>
      <c:dateAx>
        <c:axId val="620727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mmm\ 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4498933"/>
        <c:crosses val="autoZero"/>
        <c:auto val="1"/>
        <c:lblOffset val="100"/>
        <c:baseTimeUnit val="months"/>
      </c:dateAx>
      <c:valAx>
        <c:axId val="1084498933"/>
        <c:scaling>
          <c:orientation val="minMax"/>
        </c:scaling>
        <c:delete val="1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crossAx val="620727933"/>
        <c:crosses val="autoZero"/>
        <c:crossBetween val="between"/>
      </c:valAx>
      <c:spPr>
        <a:noFill/>
      </c:spPr>
    </c:plotArea>
    <c:plotVisOnly val="0"/>
    <c:dispBlanksAs val="zero"/>
    <c:showDLblsOverMax val="1"/>
  </c:chart>
  <c:spPr>
    <a:solidFill>
      <a:srgbClr val="EFF7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2.8777905141830953E-2"/>
          <c:y val="0.11576826481595461"/>
          <c:w val="0.95919353204532254"/>
          <c:h val="0.659302021209612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'📊 12-Month Sales Forecast Dash'!$S$2</c:f>
              <c:strCache>
                <c:ptCount val="1"/>
                <c:pt idx="0">
                  <c:v>Acquired Leads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'📊 12-Month Sales Forecast Dash'!$R$3:$R$26</c:f>
              <c:numCache>
                <c:formatCode>mmm\ yyyy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'📊 12-Month Sales Forecast Dash'!$S$3:$S$26</c:f>
              <c:numCache>
                <c:formatCode>#,##0</c:formatCode>
                <c:ptCount val="24"/>
                <c:pt idx="0">
                  <c:v>88.979183232961773</c:v>
                </c:pt>
                <c:pt idx="1">
                  <c:v>89.149742990549314</c:v>
                </c:pt>
                <c:pt idx="2">
                  <c:v>89.417364243566965</c:v>
                </c:pt>
                <c:pt idx="3">
                  <c:v>89.718724354728948</c:v>
                </c:pt>
                <c:pt idx="4">
                  <c:v>90.003562141949459</c:v>
                </c:pt>
                <c:pt idx="5">
                  <c:v>90.266768396925272</c:v>
                </c:pt>
                <c:pt idx="6">
                  <c:v>90.480471852634466</c:v>
                </c:pt>
                <c:pt idx="7">
                  <c:v>90.633557815468109</c:v>
                </c:pt>
                <c:pt idx="8">
                  <c:v>90.72818608944641</c:v>
                </c:pt>
                <c:pt idx="9">
                  <c:v>90.753632074387241</c:v>
                </c:pt>
                <c:pt idx="10">
                  <c:v>90.676972769097404</c:v>
                </c:pt>
                <c:pt idx="11">
                  <c:v>90.561464381664592</c:v>
                </c:pt>
                <c:pt idx="12">
                  <c:v>90.443624055040203</c:v>
                </c:pt>
                <c:pt idx="13">
                  <c:v>90.342502864686708</c:v>
                </c:pt>
                <c:pt idx="14">
                  <c:v>90.266218789920657</c:v>
                </c:pt>
                <c:pt idx="15">
                  <c:v>90.216405228149398</c:v>
                </c:pt>
                <c:pt idx="16">
                  <c:v>90.191199613453676</c:v>
                </c:pt>
                <c:pt idx="17">
                  <c:v>90.186248877758587</c:v>
                </c:pt>
                <c:pt idx="18">
                  <c:v>90.196489061494248</c:v>
                </c:pt>
                <c:pt idx="19">
                  <c:v>90.216995868140955</c:v>
                </c:pt>
                <c:pt idx="20">
                  <c:v>90.242808744335662</c:v>
                </c:pt>
                <c:pt idx="21">
                  <c:v>90.269624743992679</c:v>
                </c:pt>
                <c:pt idx="22">
                  <c:v>90.294207691977618</c:v>
                </c:pt>
                <c:pt idx="23">
                  <c:v>90.314196865601474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A0-47AA-A504-E266656D1E56}"/>
            </c:ext>
          </c:extLst>
        </c:ser>
        <c:ser>
          <c:idx val="1"/>
          <c:order val="1"/>
          <c:tx>
            <c:strRef>
              <c:f>'📊 12-Month Sales Forecast Dash'!$T$2</c:f>
              <c:strCache>
                <c:ptCount val="1"/>
                <c:pt idx="0">
                  <c:v>Meetings Booked</c:v>
                </c:pt>
              </c:strCache>
            </c:strRef>
          </c:tx>
          <c:spPr>
            <a:solidFill>
              <a:srgbClr val="3D85C6"/>
            </a:solidFill>
            <a:ln cmpd="sng">
              <a:noFill/>
            </a:ln>
          </c:spPr>
          <c:invertIfNegative val="1"/>
          <c:cat>
            <c:numRef>
              <c:f>'📊 12-Month Sales Forecast Dash'!$R$3:$R$26</c:f>
              <c:numCache>
                <c:formatCode>mmm\ yyyy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'📊 12-Month Sales Forecast Dash'!$T$3:$T$26</c:f>
              <c:numCache>
                <c:formatCode>#,##0</c:formatCode>
                <c:ptCount val="24"/>
                <c:pt idx="0">
                  <c:v>118.47633493350389</c:v>
                </c:pt>
                <c:pt idx="1">
                  <c:v>118.71601524463073</c:v>
                </c:pt>
                <c:pt idx="2">
                  <c:v>119.05735967288079</c:v>
                </c:pt>
                <c:pt idx="3">
                  <c:v>119.42522768222062</c:v>
                </c:pt>
                <c:pt idx="4">
                  <c:v>119.7833482977186</c:v>
                </c:pt>
                <c:pt idx="5">
                  <c:v>120.09082535832545</c:v>
                </c:pt>
                <c:pt idx="6">
                  <c:v>120.34964024632063</c:v>
                </c:pt>
                <c:pt idx="7">
                  <c:v>120.54904086549702</c:v>
                </c:pt>
                <c:pt idx="8">
                  <c:v>120.65619713572633</c:v>
                </c:pt>
                <c:pt idx="9">
                  <c:v>120.65552447115363</c:v>
                </c:pt>
                <c:pt idx="10">
                  <c:v>120.54505133327373</c:v>
                </c:pt>
                <c:pt idx="11">
                  <c:v>120.39664920543741</c:v>
                </c:pt>
                <c:pt idx="12">
                  <c:v>120.25122412927752</c:v>
                </c:pt>
                <c:pt idx="13">
                  <c:v>120.12944779279528</c:v>
                </c:pt>
                <c:pt idx="14">
                  <c:v>120.03970441863117</c:v>
                </c:pt>
                <c:pt idx="15">
                  <c:v>119.98305793477695</c:v>
                </c:pt>
                <c:pt idx="16">
                  <c:v>119.95644814662322</c:v>
                </c:pt>
                <c:pt idx="17">
                  <c:v>119.9541125981079</c:v>
                </c:pt>
                <c:pt idx="18">
                  <c:v>119.96962977887922</c:v>
                </c:pt>
                <c:pt idx="19">
                  <c:v>119.99679192978155</c:v>
                </c:pt>
                <c:pt idx="20">
                  <c:v>120.02957379470226</c:v>
                </c:pt>
                <c:pt idx="21">
                  <c:v>120.06290924090331</c:v>
                </c:pt>
                <c:pt idx="22">
                  <c:v>120.0928665501369</c:v>
                </c:pt>
                <c:pt idx="23">
                  <c:v>120.11685641154509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A0-47AA-A504-E266656D1E56}"/>
            </c:ext>
          </c:extLst>
        </c:ser>
        <c:ser>
          <c:idx val="2"/>
          <c:order val="2"/>
          <c:tx>
            <c:strRef>
              <c:f>'📊 12-Month Sales Forecast Dash'!$V$2</c:f>
              <c:strCache>
                <c:ptCount val="1"/>
                <c:pt idx="0">
                  <c:v># Projected Closed/Won</c:v>
                </c:pt>
              </c:strCache>
            </c:strRef>
          </c:tx>
          <c:spPr>
            <a:solidFill>
              <a:srgbClr val="0B5394"/>
            </a:solidFill>
            <a:ln cmpd="sng">
              <a:noFill/>
            </a:ln>
          </c:spPr>
          <c:invertIfNegative val="1"/>
          <c:cat>
            <c:numRef>
              <c:f>'📊 12-Month Sales Forecast Dash'!$R$3:$R$26</c:f>
              <c:numCache>
                <c:formatCode>mmm\ yyyy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'📊 12-Month Sales Forecast Dash'!$V$3:$V$26</c:f>
              <c:numCache>
                <c:formatCode>#,##0</c:formatCode>
                <c:ptCount val="24"/>
                <c:pt idx="0">
                  <c:v>61.237095291889197</c:v>
                </c:pt>
                <c:pt idx="1">
                  <c:v>61.192973792111857</c:v>
                </c:pt>
                <c:pt idx="2">
                  <c:v>61.183476283961895</c:v>
                </c:pt>
                <c:pt idx="3">
                  <c:v>61.295683880782647</c:v>
                </c:pt>
                <c:pt idx="4">
                  <c:v>61.400693298013167</c:v>
                </c:pt>
                <c:pt idx="5">
                  <c:v>61.642356047068326</c:v>
                </c:pt>
                <c:pt idx="6">
                  <c:v>61.902066905689722</c:v>
                </c:pt>
                <c:pt idx="7">
                  <c:v>62.049859909124372</c:v>
                </c:pt>
                <c:pt idx="8">
                  <c:v>62.215739722567669</c:v>
                </c:pt>
                <c:pt idx="9">
                  <c:v>62.3392169818231</c:v>
                </c:pt>
                <c:pt idx="10">
                  <c:v>62.336107224307725</c:v>
                </c:pt>
                <c:pt idx="11">
                  <c:v>62.272106492906651</c:v>
                </c:pt>
                <c:pt idx="12">
                  <c:v>62.187433844950462</c:v>
                </c:pt>
                <c:pt idx="13">
                  <c:v>62.104786131346565</c:v>
                </c:pt>
                <c:pt idx="14">
                  <c:v>62.035740233414344</c:v>
                </c:pt>
                <c:pt idx="15">
                  <c:v>61.983894500601835</c:v>
                </c:pt>
                <c:pt idx="16">
                  <c:v>61.94817054501079</c:v>
                </c:pt>
                <c:pt idx="17">
                  <c:v>61.927094095838875</c:v>
                </c:pt>
                <c:pt idx="18">
                  <c:v>61.918350569488979</c:v>
                </c:pt>
                <c:pt idx="19">
                  <c:v>61.919889592848797</c:v>
                </c:pt>
                <c:pt idx="20">
                  <c:v>61.929784497523556</c:v>
                </c:pt>
                <c:pt idx="21">
                  <c:v>61.945160428519145</c:v>
                </c:pt>
                <c:pt idx="22">
                  <c:v>61.963866668968627</c:v>
                </c:pt>
                <c:pt idx="23">
                  <c:v>61.982614139232922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DA0-47AA-A504-E266656D1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5"/>
        <c:axId val="897439945"/>
        <c:axId val="992218062"/>
      </c:barChart>
      <c:dateAx>
        <c:axId val="897439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mmm\ 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2218062"/>
        <c:crosses val="autoZero"/>
        <c:auto val="1"/>
        <c:lblOffset val="100"/>
        <c:baseTimeUnit val="months"/>
      </c:dateAx>
      <c:valAx>
        <c:axId val="992218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7439945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rgbClr val="EFF7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44448</xdr:colOff>
      <xdr:row>25</xdr:row>
      <xdr:rowOff>53975</xdr:rowOff>
    </xdr:from>
    <xdr:ext cx="17735551" cy="3695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44449</xdr:colOff>
      <xdr:row>49</xdr:row>
      <xdr:rowOff>38100</xdr:rowOff>
    </xdr:from>
    <xdr:ext cx="17716748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EE246-9945-2140-BC14-9589485B31D0}" name="lead" displayName="lead" ref="A1:E2099" totalsRowShown="0" headerRowDxfId="26" dataDxfId="24" headerRowBorderDxfId="25">
  <autoFilter ref="A1:E2099" xr:uid="{2CCEE246-9945-2140-BC14-9589485B31D0}"/>
  <tableColumns count="5">
    <tableColumn id="2" xr3:uid="{721BC448-D9DC-B144-99B0-470E6E8CDB93}" name="First Name" dataDxfId="23"/>
    <tableColumn id="3" xr3:uid="{809D0092-925B-6449-8BBC-D2D3BD6DE614}" name="Last Name" dataDxfId="22"/>
    <tableColumn id="4" xr3:uid="{E3900721-2045-D342-9AF2-8E922A7E91BB}" name="Company" dataDxfId="21"/>
    <tableColumn id="5" xr3:uid="{52BD7C9F-2CB6-7F41-B15A-1158B64E28DD}" name="Created Date" dataDxfId="20"/>
    <tableColumn id="6" xr3:uid="{9490E807-1E77-A546-A0EC-27E65E7B1FCC}" name="Status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4D56EE-B9FC-084D-94CF-57A89FF39BC0}" name="event" displayName="event" ref="A1:C2787" totalsRowShown="0" headerRowDxfId="18" dataDxfId="16" headerRowBorderDxfId="17">
  <autoFilter ref="A1:C2787" xr:uid="{344D56EE-B9FC-084D-94CF-57A89FF39BC0}"/>
  <tableColumns count="3">
    <tableColumn id="2" xr3:uid="{5E0A227D-426A-6844-A511-24D6E86A5B15}" name="Activity ID" dataDxfId="15"/>
    <tableColumn id="3" xr3:uid="{34F15B63-3F26-074D-8E41-1E2B0EEA481E}" name="Subject" dataDxfId="14"/>
    <tableColumn id="4" xr3:uid="{D2FC6CAB-3494-4849-A087-ABC2B36258FA}" name="Created Date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318C9D-BBC0-EF40-B911-3F41904FB1C5}" name="opportunity" displayName="opportunity" ref="A1:H2611" totalsRowShown="0" headerRowDxfId="12" dataDxfId="10" headerRowBorderDxfId="11">
  <autoFilter ref="A1:H2611" xr:uid="{F6318C9D-BBC0-EF40-B911-3F41904FB1C5}"/>
  <tableColumns count="8">
    <tableColumn id="2" xr3:uid="{733C91C1-E613-2747-B98A-FAD96C0080C0}" name="Opportunity ID" dataDxfId="9"/>
    <tableColumn id="3" xr3:uid="{EBEFDF06-641D-0646-9301-96F92FF476BD}" name="Name" dataDxfId="8"/>
    <tableColumn id="4" xr3:uid="{05F045C3-164B-A742-B3B6-E6008F8FBF3A}" name="Created Date" dataDxfId="7"/>
    <tableColumn id="5" xr3:uid="{5EFD1E36-284D-7241-BBAB-0A4C3CA4FE90}" name="Close Date" dataDxfId="6"/>
    <tableColumn id="6" xr3:uid="{006B164F-799D-BC4A-8D5C-0F5623891757}" name="Stage" dataDxfId="5"/>
    <tableColumn id="7" xr3:uid="{1B980CD6-2401-F842-A3E2-8904A8C06A47}" name="Closed" dataDxfId="4"/>
    <tableColumn id="8" xr3:uid="{C5D697FA-0844-B34D-B1F0-E7C2FF2E2A45}" name="Won" dataDxfId="3"/>
    <tableColumn id="9" xr3:uid="{C0DC8435-2897-1E43-A7A7-82E9B25C0BFF}" name="Amoun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47E95D0-188C-064B-BFC6-422CFF0BB9E1}">
  <we:reference id="wa200006234" version="1.0.0.106" store="en-US" storeType="OMEX"/>
  <we:alternateReferences>
    <we:reference id="WA200006234" version="1.0.0.10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_xldudf_COEFF_PROD_GET_IMPORT_HEADER_STRING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FDF3B22-268B-4342-9861-4D701E9977C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8B8D-BDEF-D24B-9329-070B992FC3C6}">
  <sheetPr>
    <tabColor rgb="FFCCE9FF"/>
  </sheetPr>
  <dimension ref="A1:E2099"/>
  <sheetViews>
    <sheetView workbookViewId="0">
      <selection activeCell="C15" sqref="C15"/>
    </sheetView>
  </sheetViews>
  <sheetFormatPr defaultColWidth="10.90625" defaultRowHeight="13" x14ac:dyDescent="0.3"/>
  <cols>
    <col min="1" max="1" width="26.36328125" style="2" bestFit="1" customWidth="1"/>
    <col min="2" max="2" width="11.36328125" style="2" bestFit="1" customWidth="1"/>
    <col min="3" max="3" width="33" style="2" bestFit="1" customWidth="1"/>
    <col min="4" max="4" width="16.36328125" style="2" customWidth="1"/>
    <col min="5" max="5" width="22.453125" style="2" customWidth="1"/>
    <col min="6" max="16384" width="10.90625" style="2"/>
  </cols>
  <sheetData>
    <row r="1" spans="1:5" ht="25" customHeight="1" thickBot="1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13.5" thickTop="1" x14ac:dyDescent="0.3">
      <c r="A2" s="3" t="s">
        <v>24</v>
      </c>
      <c r="B2" s="3" t="s">
        <v>25</v>
      </c>
      <c r="C2" s="3" t="s">
        <v>26</v>
      </c>
      <c r="D2" s="4">
        <f t="shared" ref="D2:D61" ca="1" si="0">TODAY()-737</f>
        <v>45300</v>
      </c>
      <c r="E2" s="3" t="s">
        <v>27</v>
      </c>
    </row>
    <row r="3" spans="1:5" x14ac:dyDescent="0.3">
      <c r="A3" s="3" t="s">
        <v>28</v>
      </c>
      <c r="B3" s="3" t="s">
        <v>29</v>
      </c>
      <c r="C3" s="3" t="s">
        <v>30</v>
      </c>
      <c r="D3" s="4">
        <f t="shared" ca="1" si="0"/>
        <v>45300</v>
      </c>
      <c r="E3" s="3" t="s">
        <v>31</v>
      </c>
    </row>
    <row r="4" spans="1:5" x14ac:dyDescent="0.3">
      <c r="A4" s="3" t="s">
        <v>32</v>
      </c>
      <c r="B4" s="3" t="s">
        <v>33</v>
      </c>
      <c r="C4" s="3" t="s">
        <v>34</v>
      </c>
      <c r="D4" s="4">
        <f t="shared" ca="1" si="0"/>
        <v>45300</v>
      </c>
      <c r="E4" s="3" t="s">
        <v>35</v>
      </c>
    </row>
    <row r="5" spans="1:5" x14ac:dyDescent="0.3">
      <c r="A5" s="3" t="s">
        <v>36</v>
      </c>
      <c r="B5" s="3" t="s">
        <v>37</v>
      </c>
      <c r="C5" s="3" t="s">
        <v>38</v>
      </c>
      <c r="D5" s="4">
        <f t="shared" ca="1" si="0"/>
        <v>45300</v>
      </c>
      <c r="E5" s="3" t="s">
        <v>39</v>
      </c>
    </row>
    <row r="6" spans="1:5" x14ac:dyDescent="0.3">
      <c r="A6" s="3" t="s">
        <v>40</v>
      </c>
      <c r="B6" s="3" t="s">
        <v>41</v>
      </c>
      <c r="C6" s="3" t="s">
        <v>42</v>
      </c>
      <c r="D6" s="4">
        <f t="shared" ca="1" si="0"/>
        <v>45300</v>
      </c>
      <c r="E6" s="3" t="s">
        <v>39</v>
      </c>
    </row>
    <row r="7" spans="1:5" x14ac:dyDescent="0.3">
      <c r="A7" s="3" t="s">
        <v>43</v>
      </c>
      <c r="B7" s="3" t="s">
        <v>44</v>
      </c>
      <c r="C7" s="3" t="s">
        <v>45</v>
      </c>
      <c r="D7" s="4">
        <f t="shared" ca="1" si="0"/>
        <v>45300</v>
      </c>
      <c r="E7" s="3" t="s">
        <v>35</v>
      </c>
    </row>
    <row r="8" spans="1:5" x14ac:dyDescent="0.3">
      <c r="A8" s="3" t="s">
        <v>46</v>
      </c>
      <c r="B8" s="3" t="s">
        <v>47</v>
      </c>
      <c r="C8" s="3" t="s">
        <v>48</v>
      </c>
      <c r="D8" s="4">
        <f t="shared" ca="1" si="0"/>
        <v>45300</v>
      </c>
      <c r="E8" s="3" t="s">
        <v>27</v>
      </c>
    </row>
    <row r="9" spans="1:5" x14ac:dyDescent="0.3">
      <c r="A9" s="3" t="s">
        <v>49</v>
      </c>
      <c r="B9" s="3" t="s">
        <v>50</v>
      </c>
      <c r="C9" s="3" t="s">
        <v>51</v>
      </c>
      <c r="D9" s="4">
        <f t="shared" ca="1" si="0"/>
        <v>45300</v>
      </c>
      <c r="E9" s="3" t="s">
        <v>31</v>
      </c>
    </row>
    <row r="10" spans="1:5" x14ac:dyDescent="0.3">
      <c r="A10" s="3" t="s">
        <v>52</v>
      </c>
      <c r="B10" s="3" t="s">
        <v>33</v>
      </c>
      <c r="C10" s="3" t="s">
        <v>53</v>
      </c>
      <c r="D10" s="4">
        <f t="shared" ca="1" si="0"/>
        <v>45300</v>
      </c>
      <c r="E10" s="3" t="s">
        <v>39</v>
      </c>
    </row>
    <row r="11" spans="1:5" x14ac:dyDescent="0.3">
      <c r="A11" s="3" t="s">
        <v>54</v>
      </c>
      <c r="B11" s="3" t="s">
        <v>37</v>
      </c>
      <c r="C11" s="3" t="s">
        <v>55</v>
      </c>
      <c r="D11" s="4">
        <f t="shared" ca="1" si="0"/>
        <v>45300</v>
      </c>
      <c r="E11" s="3" t="s">
        <v>56</v>
      </c>
    </row>
    <row r="12" spans="1:5" x14ac:dyDescent="0.3">
      <c r="A12" s="3" t="s">
        <v>57</v>
      </c>
      <c r="B12" s="3" t="s">
        <v>58</v>
      </c>
      <c r="C12" s="3" t="s">
        <v>59</v>
      </c>
      <c r="D12" s="4">
        <f t="shared" ca="1" si="0"/>
        <v>45300</v>
      </c>
      <c r="E12" s="3" t="s">
        <v>60</v>
      </c>
    </row>
    <row r="13" spans="1:5" x14ac:dyDescent="0.3">
      <c r="A13" s="3" t="s">
        <v>61</v>
      </c>
      <c r="B13" s="3" t="s">
        <v>62</v>
      </c>
      <c r="C13" s="3" t="s">
        <v>63</v>
      </c>
      <c r="D13" s="4">
        <f t="shared" ca="1" si="0"/>
        <v>45300</v>
      </c>
      <c r="E13" s="3" t="s">
        <v>39</v>
      </c>
    </row>
    <row r="14" spans="1:5" x14ac:dyDescent="0.3">
      <c r="A14" s="3" t="s">
        <v>64</v>
      </c>
      <c r="B14" s="3" t="s">
        <v>65</v>
      </c>
      <c r="C14" s="3" t="s">
        <v>66</v>
      </c>
      <c r="D14" s="4">
        <f t="shared" ca="1" si="0"/>
        <v>45300</v>
      </c>
      <c r="E14" s="3" t="s">
        <v>39</v>
      </c>
    </row>
    <row r="15" spans="1:5" x14ac:dyDescent="0.3">
      <c r="A15" s="3" t="s">
        <v>67</v>
      </c>
      <c r="B15" s="3" t="s">
        <v>68</v>
      </c>
      <c r="C15" s="3" t="s">
        <v>69</v>
      </c>
      <c r="D15" s="4">
        <f t="shared" ca="1" si="0"/>
        <v>45300</v>
      </c>
      <c r="E15" s="3" t="s">
        <v>31</v>
      </c>
    </row>
    <row r="16" spans="1:5" x14ac:dyDescent="0.3">
      <c r="A16" s="3" t="s">
        <v>70</v>
      </c>
      <c r="B16" s="3" t="s">
        <v>71</v>
      </c>
      <c r="C16" s="3" t="s">
        <v>72</v>
      </c>
      <c r="D16" s="4">
        <f t="shared" ca="1" si="0"/>
        <v>45300</v>
      </c>
      <c r="E16" s="3" t="s">
        <v>39</v>
      </c>
    </row>
    <row r="17" spans="1:5" x14ac:dyDescent="0.3">
      <c r="A17" s="3" t="s">
        <v>73</v>
      </c>
      <c r="B17" s="3" t="s">
        <v>74</v>
      </c>
      <c r="C17" s="3" t="s">
        <v>75</v>
      </c>
      <c r="D17" s="4">
        <f t="shared" ca="1" si="0"/>
        <v>45300</v>
      </c>
      <c r="E17" s="3" t="s">
        <v>39</v>
      </c>
    </row>
    <row r="18" spans="1:5" x14ac:dyDescent="0.3">
      <c r="A18" s="3" t="s">
        <v>52</v>
      </c>
      <c r="B18" s="3" t="s">
        <v>37</v>
      </c>
      <c r="C18" s="3" t="s">
        <v>76</v>
      </c>
      <c r="D18" s="4">
        <f t="shared" ca="1" si="0"/>
        <v>45300</v>
      </c>
      <c r="E18" s="3" t="s">
        <v>35</v>
      </c>
    </row>
    <row r="19" spans="1:5" x14ac:dyDescent="0.3">
      <c r="A19" s="3" t="s">
        <v>77</v>
      </c>
      <c r="B19" s="3" t="s">
        <v>78</v>
      </c>
      <c r="C19" s="3" t="s">
        <v>79</v>
      </c>
      <c r="D19" s="4">
        <f t="shared" ca="1" si="0"/>
        <v>45300</v>
      </c>
      <c r="E19" s="3" t="s">
        <v>31</v>
      </c>
    </row>
    <row r="20" spans="1:5" x14ac:dyDescent="0.3">
      <c r="A20" s="3" t="s">
        <v>80</v>
      </c>
      <c r="B20" s="3" t="s">
        <v>62</v>
      </c>
      <c r="C20" s="3" t="s">
        <v>81</v>
      </c>
      <c r="D20" s="4">
        <f t="shared" ca="1" si="0"/>
        <v>45300</v>
      </c>
      <c r="E20" s="3" t="s">
        <v>39</v>
      </c>
    </row>
    <row r="21" spans="1:5" x14ac:dyDescent="0.3">
      <c r="A21" s="3" t="s">
        <v>24</v>
      </c>
      <c r="B21" s="3" t="s">
        <v>25</v>
      </c>
      <c r="C21" s="3" t="s">
        <v>82</v>
      </c>
      <c r="D21" s="4">
        <f t="shared" ca="1" si="0"/>
        <v>45300</v>
      </c>
      <c r="E21" s="3" t="s">
        <v>39</v>
      </c>
    </row>
    <row r="22" spans="1:5" x14ac:dyDescent="0.3">
      <c r="A22" s="3" t="s">
        <v>83</v>
      </c>
      <c r="B22" s="3" t="s">
        <v>84</v>
      </c>
      <c r="C22" s="3" t="s">
        <v>85</v>
      </c>
      <c r="D22" s="4">
        <f t="shared" ca="1" si="0"/>
        <v>45300</v>
      </c>
      <c r="E22" s="3" t="s">
        <v>27</v>
      </c>
    </row>
    <row r="23" spans="1:5" x14ac:dyDescent="0.3">
      <c r="A23" s="3" t="s">
        <v>86</v>
      </c>
      <c r="B23" s="3" t="s">
        <v>87</v>
      </c>
      <c r="C23" s="3" t="s">
        <v>88</v>
      </c>
      <c r="D23" s="4">
        <f t="shared" ca="1" si="0"/>
        <v>45300</v>
      </c>
      <c r="E23" s="3" t="s">
        <v>60</v>
      </c>
    </row>
    <row r="24" spans="1:5" x14ac:dyDescent="0.3">
      <c r="A24" s="3" t="s">
        <v>89</v>
      </c>
      <c r="B24" s="3" t="s">
        <v>90</v>
      </c>
      <c r="C24" s="3" t="s">
        <v>91</v>
      </c>
      <c r="D24" s="4">
        <f t="shared" ca="1" si="0"/>
        <v>45300</v>
      </c>
      <c r="E24" s="3" t="s">
        <v>35</v>
      </c>
    </row>
    <row r="25" spans="1:5" x14ac:dyDescent="0.3">
      <c r="A25" s="3" t="s">
        <v>92</v>
      </c>
      <c r="B25" s="3" t="s">
        <v>93</v>
      </c>
      <c r="C25" s="3" t="s">
        <v>94</v>
      </c>
      <c r="D25" s="4">
        <f t="shared" ca="1" si="0"/>
        <v>45300</v>
      </c>
      <c r="E25" s="3" t="s">
        <v>56</v>
      </c>
    </row>
    <row r="26" spans="1:5" x14ac:dyDescent="0.3">
      <c r="A26" s="3" t="s">
        <v>80</v>
      </c>
      <c r="B26" s="3" t="s">
        <v>62</v>
      </c>
      <c r="C26" s="3" t="s">
        <v>81</v>
      </c>
      <c r="D26" s="4">
        <f t="shared" ca="1" si="0"/>
        <v>45300</v>
      </c>
      <c r="E26" s="3" t="s">
        <v>39</v>
      </c>
    </row>
    <row r="27" spans="1:5" x14ac:dyDescent="0.3">
      <c r="A27" s="3" t="s">
        <v>95</v>
      </c>
      <c r="B27" s="3" t="s">
        <v>58</v>
      </c>
      <c r="C27" s="3" t="s">
        <v>96</v>
      </c>
      <c r="D27" s="4">
        <f t="shared" ca="1" si="0"/>
        <v>45300</v>
      </c>
      <c r="E27" s="3" t="s">
        <v>39</v>
      </c>
    </row>
    <row r="28" spans="1:5" x14ac:dyDescent="0.3">
      <c r="A28" s="3" t="s">
        <v>83</v>
      </c>
      <c r="B28" s="3" t="s">
        <v>84</v>
      </c>
      <c r="C28" s="3" t="s">
        <v>85</v>
      </c>
      <c r="D28" s="4">
        <f t="shared" ca="1" si="0"/>
        <v>45300</v>
      </c>
      <c r="E28" s="3" t="s">
        <v>27</v>
      </c>
    </row>
    <row r="29" spans="1:5" x14ac:dyDescent="0.3">
      <c r="A29" s="3" t="s">
        <v>97</v>
      </c>
      <c r="B29" s="3" t="s">
        <v>98</v>
      </c>
      <c r="C29" s="3" t="s">
        <v>99</v>
      </c>
      <c r="D29" s="4">
        <f t="shared" ca="1" si="0"/>
        <v>45300</v>
      </c>
      <c r="E29" s="3" t="s">
        <v>39</v>
      </c>
    </row>
    <row r="30" spans="1:5" x14ac:dyDescent="0.3">
      <c r="A30" s="3" t="s">
        <v>100</v>
      </c>
      <c r="B30" s="3" t="s">
        <v>37</v>
      </c>
      <c r="C30" s="3" t="s">
        <v>101</v>
      </c>
      <c r="D30" s="4">
        <f t="shared" ca="1" si="0"/>
        <v>45300</v>
      </c>
      <c r="E30" s="3" t="s">
        <v>39</v>
      </c>
    </row>
    <row r="31" spans="1:5" x14ac:dyDescent="0.3">
      <c r="A31" s="3" t="s">
        <v>102</v>
      </c>
      <c r="B31" s="3" t="s">
        <v>37</v>
      </c>
      <c r="C31" s="3" t="s">
        <v>103</v>
      </c>
      <c r="D31" s="4">
        <f t="shared" ca="1" si="0"/>
        <v>45300</v>
      </c>
      <c r="E31" s="3" t="s">
        <v>35</v>
      </c>
    </row>
    <row r="32" spans="1:5" x14ac:dyDescent="0.3">
      <c r="A32" s="3" t="s">
        <v>104</v>
      </c>
      <c r="B32" s="3" t="s">
        <v>47</v>
      </c>
      <c r="C32" s="3" t="s">
        <v>105</v>
      </c>
      <c r="D32" s="4">
        <f t="shared" ca="1" si="0"/>
        <v>45300</v>
      </c>
      <c r="E32" s="3" t="s">
        <v>39</v>
      </c>
    </row>
    <row r="33" spans="1:5" x14ac:dyDescent="0.3">
      <c r="A33" s="3" t="s">
        <v>106</v>
      </c>
      <c r="B33" s="3" t="s">
        <v>107</v>
      </c>
      <c r="C33" s="3" t="s">
        <v>108</v>
      </c>
      <c r="D33" s="4">
        <f t="shared" ca="1" si="0"/>
        <v>45300</v>
      </c>
      <c r="E33" s="3" t="s">
        <v>31</v>
      </c>
    </row>
    <row r="34" spans="1:5" x14ac:dyDescent="0.3">
      <c r="A34" s="3" t="s">
        <v>109</v>
      </c>
      <c r="B34" s="3" t="s">
        <v>110</v>
      </c>
      <c r="C34" s="3" t="s">
        <v>111</v>
      </c>
      <c r="D34" s="4">
        <f t="shared" ca="1" si="0"/>
        <v>45300</v>
      </c>
      <c r="E34" s="3" t="s">
        <v>31</v>
      </c>
    </row>
    <row r="35" spans="1:5" x14ac:dyDescent="0.3">
      <c r="A35" s="3" t="s">
        <v>112</v>
      </c>
      <c r="B35" s="3" t="s">
        <v>65</v>
      </c>
      <c r="C35" s="3" t="s">
        <v>113</v>
      </c>
      <c r="D35" s="4">
        <f t="shared" ca="1" si="0"/>
        <v>45300</v>
      </c>
      <c r="E35" s="3" t="s">
        <v>27</v>
      </c>
    </row>
    <row r="36" spans="1:5" x14ac:dyDescent="0.3">
      <c r="A36" s="3" t="s">
        <v>114</v>
      </c>
      <c r="B36" s="3" t="s">
        <v>44</v>
      </c>
      <c r="C36" s="3" t="s">
        <v>115</v>
      </c>
      <c r="D36" s="4">
        <f t="shared" ca="1" si="0"/>
        <v>45300</v>
      </c>
      <c r="E36" s="3" t="s">
        <v>35</v>
      </c>
    </row>
    <row r="37" spans="1:5" x14ac:dyDescent="0.3">
      <c r="A37" s="3" t="s">
        <v>102</v>
      </c>
      <c r="B37" s="3" t="s">
        <v>93</v>
      </c>
      <c r="C37" s="3" t="s">
        <v>116</v>
      </c>
      <c r="D37" s="4">
        <f t="shared" ca="1" si="0"/>
        <v>45300</v>
      </c>
      <c r="E37" s="3" t="s">
        <v>35</v>
      </c>
    </row>
    <row r="38" spans="1:5" x14ac:dyDescent="0.3">
      <c r="A38" s="3" t="s">
        <v>117</v>
      </c>
      <c r="B38" s="3" t="s">
        <v>118</v>
      </c>
      <c r="C38" s="3" t="s">
        <v>119</v>
      </c>
      <c r="D38" s="4">
        <f t="shared" ca="1" si="0"/>
        <v>45300</v>
      </c>
      <c r="E38" s="3" t="s">
        <v>60</v>
      </c>
    </row>
    <row r="39" spans="1:5" x14ac:dyDescent="0.3">
      <c r="A39" s="3" t="s">
        <v>120</v>
      </c>
      <c r="B39" s="3" t="s">
        <v>121</v>
      </c>
      <c r="C39" s="3" t="s">
        <v>122</v>
      </c>
      <c r="D39" s="4">
        <f t="shared" ca="1" si="0"/>
        <v>45300</v>
      </c>
      <c r="E39" s="3" t="s">
        <v>39</v>
      </c>
    </row>
    <row r="40" spans="1:5" x14ac:dyDescent="0.3">
      <c r="A40" s="3" t="s">
        <v>123</v>
      </c>
      <c r="B40" s="3" t="s">
        <v>124</v>
      </c>
      <c r="C40" s="3" t="s">
        <v>125</v>
      </c>
      <c r="D40" s="4">
        <f t="shared" ca="1" si="0"/>
        <v>45300</v>
      </c>
      <c r="E40" s="3" t="s">
        <v>35</v>
      </c>
    </row>
    <row r="41" spans="1:5" x14ac:dyDescent="0.3">
      <c r="A41" s="3" t="s">
        <v>126</v>
      </c>
      <c r="B41" s="3" t="s">
        <v>65</v>
      </c>
      <c r="C41" s="3" t="s">
        <v>127</v>
      </c>
      <c r="D41" s="4">
        <f t="shared" ca="1" si="0"/>
        <v>45300</v>
      </c>
      <c r="E41" s="3" t="s">
        <v>35</v>
      </c>
    </row>
    <row r="42" spans="1:5" x14ac:dyDescent="0.3">
      <c r="A42" s="3" t="s">
        <v>128</v>
      </c>
      <c r="B42" s="3" t="s">
        <v>87</v>
      </c>
      <c r="C42" s="3" t="s">
        <v>129</v>
      </c>
      <c r="D42" s="4">
        <f t="shared" ca="1" si="0"/>
        <v>45300</v>
      </c>
      <c r="E42" s="3" t="s">
        <v>27</v>
      </c>
    </row>
    <row r="43" spans="1:5" x14ac:dyDescent="0.3">
      <c r="A43" s="3" t="s">
        <v>130</v>
      </c>
      <c r="B43" s="3" t="s">
        <v>47</v>
      </c>
      <c r="C43" s="3" t="s">
        <v>131</v>
      </c>
      <c r="D43" s="4">
        <f t="shared" ca="1" si="0"/>
        <v>45300</v>
      </c>
      <c r="E43" s="3" t="s">
        <v>56</v>
      </c>
    </row>
    <row r="44" spans="1:5" x14ac:dyDescent="0.3">
      <c r="A44" s="3" t="s">
        <v>132</v>
      </c>
      <c r="B44" s="3" t="s">
        <v>133</v>
      </c>
      <c r="C44" s="3" t="s">
        <v>134</v>
      </c>
      <c r="D44" s="4">
        <f t="shared" ca="1" si="0"/>
        <v>45300</v>
      </c>
      <c r="E44" s="3" t="s">
        <v>60</v>
      </c>
    </row>
    <row r="45" spans="1:5" x14ac:dyDescent="0.3">
      <c r="A45" s="3" t="s">
        <v>135</v>
      </c>
      <c r="B45" s="3" t="s">
        <v>25</v>
      </c>
      <c r="C45" s="3" t="s">
        <v>136</v>
      </c>
      <c r="D45" s="4">
        <f t="shared" ca="1" si="0"/>
        <v>45300</v>
      </c>
      <c r="E45" s="3" t="s">
        <v>60</v>
      </c>
    </row>
    <row r="46" spans="1:5" x14ac:dyDescent="0.3">
      <c r="A46" s="3" t="s">
        <v>137</v>
      </c>
      <c r="B46" s="3" t="s">
        <v>87</v>
      </c>
      <c r="C46" s="3" t="s">
        <v>138</v>
      </c>
      <c r="D46" s="4">
        <f t="shared" ca="1" si="0"/>
        <v>45300</v>
      </c>
      <c r="E46" s="3" t="s">
        <v>56</v>
      </c>
    </row>
    <row r="47" spans="1:5" x14ac:dyDescent="0.3">
      <c r="A47" s="3" t="s">
        <v>139</v>
      </c>
      <c r="B47" s="3" t="s">
        <v>140</v>
      </c>
      <c r="C47" s="3" t="s">
        <v>141</v>
      </c>
      <c r="D47" s="4">
        <f t="shared" ca="1" si="0"/>
        <v>45300</v>
      </c>
      <c r="E47" s="3" t="s">
        <v>31</v>
      </c>
    </row>
    <row r="48" spans="1:5" x14ac:dyDescent="0.3">
      <c r="A48" s="3" t="s">
        <v>142</v>
      </c>
      <c r="B48" s="3" t="s">
        <v>87</v>
      </c>
      <c r="C48" s="3" t="s">
        <v>143</v>
      </c>
      <c r="D48" s="4">
        <f t="shared" ca="1" si="0"/>
        <v>45300</v>
      </c>
      <c r="E48" s="3" t="s">
        <v>27</v>
      </c>
    </row>
    <row r="49" spans="1:5" x14ac:dyDescent="0.3">
      <c r="A49" s="3" t="s">
        <v>144</v>
      </c>
      <c r="B49" s="3" t="s">
        <v>145</v>
      </c>
      <c r="C49" s="3" t="s">
        <v>146</v>
      </c>
      <c r="D49" s="4">
        <f t="shared" ca="1" si="0"/>
        <v>45300</v>
      </c>
      <c r="E49" s="3" t="s">
        <v>27</v>
      </c>
    </row>
    <row r="50" spans="1:5" x14ac:dyDescent="0.3">
      <c r="A50" s="3" t="s">
        <v>137</v>
      </c>
      <c r="B50" s="3" t="s">
        <v>87</v>
      </c>
      <c r="C50" s="3" t="s">
        <v>138</v>
      </c>
      <c r="D50" s="4">
        <f t="shared" ca="1" si="0"/>
        <v>45300</v>
      </c>
      <c r="E50" s="3" t="s">
        <v>56</v>
      </c>
    </row>
    <row r="51" spans="1:5" x14ac:dyDescent="0.3">
      <c r="A51" s="3" t="s">
        <v>147</v>
      </c>
      <c r="B51" s="3" t="s">
        <v>65</v>
      </c>
      <c r="C51" s="3" t="s">
        <v>148</v>
      </c>
      <c r="D51" s="4">
        <f t="shared" ca="1" si="0"/>
        <v>45300</v>
      </c>
      <c r="E51" s="3" t="s">
        <v>56</v>
      </c>
    </row>
    <row r="52" spans="1:5" x14ac:dyDescent="0.3">
      <c r="A52" s="3" t="s">
        <v>149</v>
      </c>
      <c r="B52" s="3" t="s">
        <v>150</v>
      </c>
      <c r="C52" s="3" t="s">
        <v>151</v>
      </c>
      <c r="D52" s="4">
        <f t="shared" ca="1" si="0"/>
        <v>45300</v>
      </c>
      <c r="E52" s="3" t="s">
        <v>27</v>
      </c>
    </row>
    <row r="53" spans="1:5" x14ac:dyDescent="0.3">
      <c r="A53" s="3" t="s">
        <v>152</v>
      </c>
      <c r="B53" s="3" t="s">
        <v>65</v>
      </c>
      <c r="C53" s="3" t="s">
        <v>153</v>
      </c>
      <c r="D53" s="4">
        <f t="shared" ca="1" si="0"/>
        <v>45300</v>
      </c>
      <c r="E53" s="3" t="s">
        <v>27</v>
      </c>
    </row>
    <row r="54" spans="1:5" x14ac:dyDescent="0.3">
      <c r="A54" s="3" t="s">
        <v>154</v>
      </c>
      <c r="B54" s="3" t="s">
        <v>71</v>
      </c>
      <c r="C54" s="3" t="s">
        <v>155</v>
      </c>
      <c r="D54" s="4">
        <f t="shared" ca="1" si="0"/>
        <v>45300</v>
      </c>
      <c r="E54" s="3" t="s">
        <v>60</v>
      </c>
    </row>
    <row r="55" spans="1:5" x14ac:dyDescent="0.3">
      <c r="A55" s="3" t="s">
        <v>156</v>
      </c>
      <c r="B55" s="3" t="s">
        <v>157</v>
      </c>
      <c r="C55" s="3" t="s">
        <v>158</v>
      </c>
      <c r="D55" s="4">
        <f t="shared" ca="1" si="0"/>
        <v>45300</v>
      </c>
      <c r="E55" s="3" t="s">
        <v>60</v>
      </c>
    </row>
    <row r="56" spans="1:5" x14ac:dyDescent="0.3">
      <c r="A56" s="3" t="s">
        <v>159</v>
      </c>
      <c r="B56" s="3" t="s">
        <v>65</v>
      </c>
      <c r="C56" s="3" t="s">
        <v>160</v>
      </c>
      <c r="D56" s="4">
        <f t="shared" ca="1" si="0"/>
        <v>45300</v>
      </c>
      <c r="E56" s="3" t="s">
        <v>27</v>
      </c>
    </row>
    <row r="57" spans="1:5" x14ac:dyDescent="0.3">
      <c r="A57" s="3" t="s">
        <v>161</v>
      </c>
      <c r="B57" s="3" t="s">
        <v>162</v>
      </c>
      <c r="C57" s="3" t="s">
        <v>163</v>
      </c>
      <c r="D57" s="4">
        <f t="shared" ca="1" si="0"/>
        <v>45300</v>
      </c>
      <c r="E57" s="3" t="s">
        <v>35</v>
      </c>
    </row>
    <row r="58" spans="1:5" x14ac:dyDescent="0.3">
      <c r="A58" s="3" t="s">
        <v>164</v>
      </c>
      <c r="B58" s="3" t="s">
        <v>165</v>
      </c>
      <c r="C58" s="3" t="s">
        <v>166</v>
      </c>
      <c r="D58" s="4">
        <f t="shared" ca="1" si="0"/>
        <v>45300</v>
      </c>
      <c r="E58" s="3" t="s">
        <v>31</v>
      </c>
    </row>
    <row r="59" spans="1:5" x14ac:dyDescent="0.3">
      <c r="A59" s="3" t="s">
        <v>167</v>
      </c>
      <c r="B59" s="3" t="s">
        <v>168</v>
      </c>
      <c r="C59" s="3" t="s">
        <v>169</v>
      </c>
      <c r="D59" s="4">
        <f t="shared" ca="1" si="0"/>
        <v>45300</v>
      </c>
      <c r="E59" s="3" t="s">
        <v>39</v>
      </c>
    </row>
    <row r="60" spans="1:5" x14ac:dyDescent="0.3">
      <c r="A60" s="3" t="s">
        <v>170</v>
      </c>
      <c r="B60" s="3" t="s">
        <v>25</v>
      </c>
      <c r="C60" s="3" t="s">
        <v>171</v>
      </c>
      <c r="D60" s="4">
        <f t="shared" ca="1" si="0"/>
        <v>45300</v>
      </c>
      <c r="E60" s="3" t="s">
        <v>35</v>
      </c>
    </row>
    <row r="61" spans="1:5" x14ac:dyDescent="0.3">
      <c r="A61" s="3" t="s">
        <v>172</v>
      </c>
      <c r="B61" s="3" t="s">
        <v>173</v>
      </c>
      <c r="C61" s="3" t="s">
        <v>174</v>
      </c>
      <c r="D61" s="4">
        <f t="shared" ca="1" si="0"/>
        <v>45300</v>
      </c>
      <c r="E61" s="3" t="s">
        <v>39</v>
      </c>
    </row>
    <row r="62" spans="1:5" x14ac:dyDescent="0.3">
      <c r="A62" s="3" t="s">
        <v>175</v>
      </c>
      <c r="B62" s="3" t="s">
        <v>93</v>
      </c>
      <c r="C62" s="3" t="s">
        <v>176</v>
      </c>
      <c r="D62" s="4">
        <f t="shared" ref="D62:D124" ca="1" si="1">TODAY()-707</f>
        <v>45330</v>
      </c>
      <c r="E62" s="3" t="s">
        <v>60</v>
      </c>
    </row>
    <row r="63" spans="1:5" x14ac:dyDescent="0.3">
      <c r="A63" s="3" t="s">
        <v>177</v>
      </c>
      <c r="B63" s="3" t="s">
        <v>178</v>
      </c>
      <c r="C63" s="3" t="s">
        <v>179</v>
      </c>
      <c r="D63" s="4">
        <f t="shared" ca="1" si="1"/>
        <v>45330</v>
      </c>
      <c r="E63" s="3" t="s">
        <v>39</v>
      </c>
    </row>
    <row r="64" spans="1:5" x14ac:dyDescent="0.3">
      <c r="A64" s="3" t="s">
        <v>180</v>
      </c>
      <c r="B64" s="3" t="s">
        <v>50</v>
      </c>
      <c r="C64" s="3" t="s">
        <v>181</v>
      </c>
      <c r="D64" s="4">
        <f t="shared" ca="1" si="1"/>
        <v>45330</v>
      </c>
      <c r="E64" s="3" t="s">
        <v>39</v>
      </c>
    </row>
    <row r="65" spans="1:5" x14ac:dyDescent="0.3">
      <c r="A65" s="3" t="s">
        <v>182</v>
      </c>
      <c r="B65" s="3" t="s">
        <v>124</v>
      </c>
      <c r="C65" s="3" t="s">
        <v>183</v>
      </c>
      <c r="D65" s="4">
        <f t="shared" ca="1" si="1"/>
        <v>45330</v>
      </c>
      <c r="E65" s="3" t="s">
        <v>56</v>
      </c>
    </row>
    <row r="66" spans="1:5" x14ac:dyDescent="0.3">
      <c r="A66" s="3" t="s">
        <v>184</v>
      </c>
      <c r="B66" s="3" t="s">
        <v>47</v>
      </c>
      <c r="C66" s="3" t="s">
        <v>185</v>
      </c>
      <c r="D66" s="4">
        <f t="shared" ca="1" si="1"/>
        <v>45330</v>
      </c>
      <c r="E66" s="3" t="s">
        <v>35</v>
      </c>
    </row>
    <row r="67" spans="1:5" x14ac:dyDescent="0.3">
      <c r="A67" s="3" t="s">
        <v>186</v>
      </c>
      <c r="B67" s="3" t="s">
        <v>71</v>
      </c>
      <c r="C67" s="3" t="s">
        <v>187</v>
      </c>
      <c r="D67" s="4">
        <f t="shared" ca="1" si="1"/>
        <v>45330</v>
      </c>
      <c r="E67" s="3" t="s">
        <v>39</v>
      </c>
    </row>
    <row r="68" spans="1:5" x14ac:dyDescent="0.3">
      <c r="A68" s="3" t="s">
        <v>112</v>
      </c>
      <c r="B68" s="3" t="s">
        <v>44</v>
      </c>
      <c r="C68" s="3" t="s">
        <v>188</v>
      </c>
      <c r="D68" s="4">
        <f t="shared" ca="1" si="1"/>
        <v>45330</v>
      </c>
      <c r="E68" s="3" t="s">
        <v>27</v>
      </c>
    </row>
    <row r="69" spans="1:5" x14ac:dyDescent="0.3">
      <c r="A69" s="3" t="s">
        <v>189</v>
      </c>
      <c r="B69" s="3" t="s">
        <v>190</v>
      </c>
      <c r="C69" s="3" t="s">
        <v>191</v>
      </c>
      <c r="D69" s="4">
        <f t="shared" ca="1" si="1"/>
        <v>45330</v>
      </c>
      <c r="E69" s="3" t="s">
        <v>56</v>
      </c>
    </row>
    <row r="70" spans="1:5" x14ac:dyDescent="0.3">
      <c r="A70" s="3" t="s">
        <v>192</v>
      </c>
      <c r="B70" s="3" t="s">
        <v>193</v>
      </c>
      <c r="C70" s="3" t="s">
        <v>194</v>
      </c>
      <c r="D70" s="4">
        <f t="shared" ca="1" si="1"/>
        <v>45330</v>
      </c>
      <c r="E70" s="3" t="s">
        <v>27</v>
      </c>
    </row>
    <row r="71" spans="1:5" x14ac:dyDescent="0.3">
      <c r="A71" s="3" t="s">
        <v>195</v>
      </c>
      <c r="B71" s="3" t="s">
        <v>157</v>
      </c>
      <c r="C71" s="3" t="s">
        <v>196</v>
      </c>
      <c r="D71" s="4">
        <f t="shared" ca="1" si="1"/>
        <v>45330</v>
      </c>
      <c r="E71" s="3" t="s">
        <v>56</v>
      </c>
    </row>
    <row r="72" spans="1:5" x14ac:dyDescent="0.3">
      <c r="A72" s="3" t="s">
        <v>197</v>
      </c>
      <c r="B72" s="3" t="s">
        <v>37</v>
      </c>
      <c r="C72" s="3" t="s">
        <v>198</v>
      </c>
      <c r="D72" s="4">
        <f t="shared" ca="1" si="1"/>
        <v>45330</v>
      </c>
      <c r="E72" s="3" t="s">
        <v>60</v>
      </c>
    </row>
    <row r="73" spans="1:5" x14ac:dyDescent="0.3">
      <c r="A73" s="3" t="s">
        <v>170</v>
      </c>
      <c r="B73" s="3" t="s">
        <v>25</v>
      </c>
      <c r="C73" s="3" t="s">
        <v>171</v>
      </c>
      <c r="D73" s="4">
        <f t="shared" ca="1" si="1"/>
        <v>45330</v>
      </c>
      <c r="E73" s="3" t="s">
        <v>35</v>
      </c>
    </row>
    <row r="74" spans="1:5" x14ac:dyDescent="0.3">
      <c r="A74" s="3" t="s">
        <v>199</v>
      </c>
      <c r="B74" s="3" t="s">
        <v>157</v>
      </c>
      <c r="C74" s="3" t="s">
        <v>200</v>
      </c>
      <c r="D74" s="4">
        <f t="shared" ca="1" si="1"/>
        <v>45330</v>
      </c>
      <c r="E74" s="3" t="s">
        <v>60</v>
      </c>
    </row>
    <row r="75" spans="1:5" x14ac:dyDescent="0.3">
      <c r="A75" s="3" t="s">
        <v>201</v>
      </c>
      <c r="B75" s="3" t="s">
        <v>37</v>
      </c>
      <c r="C75" s="3" t="s">
        <v>202</v>
      </c>
      <c r="D75" s="4">
        <f t="shared" ca="1" si="1"/>
        <v>45330</v>
      </c>
      <c r="E75" s="3" t="s">
        <v>35</v>
      </c>
    </row>
    <row r="76" spans="1:5" x14ac:dyDescent="0.3">
      <c r="A76" s="3" t="s">
        <v>203</v>
      </c>
      <c r="B76" s="3" t="s">
        <v>150</v>
      </c>
      <c r="C76" s="3" t="s">
        <v>166</v>
      </c>
      <c r="D76" s="4">
        <f t="shared" ca="1" si="1"/>
        <v>45330</v>
      </c>
      <c r="E76" s="3" t="s">
        <v>39</v>
      </c>
    </row>
    <row r="77" spans="1:5" x14ac:dyDescent="0.3">
      <c r="A77" s="3" t="s">
        <v>120</v>
      </c>
      <c r="B77" s="3" t="s">
        <v>121</v>
      </c>
      <c r="C77" s="3" t="s">
        <v>122</v>
      </c>
      <c r="D77" s="4">
        <f t="shared" ca="1" si="1"/>
        <v>45330</v>
      </c>
      <c r="E77" s="3" t="s">
        <v>39</v>
      </c>
    </row>
    <row r="78" spans="1:5" x14ac:dyDescent="0.3">
      <c r="A78" s="3" t="s">
        <v>204</v>
      </c>
      <c r="B78" s="3" t="s">
        <v>124</v>
      </c>
      <c r="C78" s="3" t="s">
        <v>134</v>
      </c>
      <c r="D78" s="4">
        <f t="shared" ca="1" si="1"/>
        <v>45330</v>
      </c>
      <c r="E78" s="3" t="s">
        <v>60</v>
      </c>
    </row>
    <row r="79" spans="1:5" x14ac:dyDescent="0.3">
      <c r="A79" s="3" t="s">
        <v>205</v>
      </c>
      <c r="B79" s="3" t="s">
        <v>65</v>
      </c>
      <c r="C79" s="3" t="s">
        <v>206</v>
      </c>
      <c r="D79" s="4">
        <f t="shared" ca="1" si="1"/>
        <v>45330</v>
      </c>
      <c r="E79" s="3" t="s">
        <v>39</v>
      </c>
    </row>
    <row r="80" spans="1:5" x14ac:dyDescent="0.3">
      <c r="A80" s="3" t="s">
        <v>207</v>
      </c>
      <c r="B80" s="3" t="s">
        <v>44</v>
      </c>
      <c r="C80" s="3" t="s">
        <v>208</v>
      </c>
      <c r="D80" s="4">
        <f t="shared" ca="1" si="1"/>
        <v>45330</v>
      </c>
      <c r="E80" s="3" t="s">
        <v>60</v>
      </c>
    </row>
    <row r="81" spans="1:5" x14ac:dyDescent="0.3">
      <c r="A81" s="3" t="s">
        <v>209</v>
      </c>
      <c r="B81" s="3" t="s">
        <v>193</v>
      </c>
      <c r="C81" s="3" t="s">
        <v>210</v>
      </c>
      <c r="D81" s="4">
        <f t="shared" ca="1" si="1"/>
        <v>45330</v>
      </c>
      <c r="E81" s="3" t="s">
        <v>60</v>
      </c>
    </row>
    <row r="82" spans="1:5" x14ac:dyDescent="0.3">
      <c r="A82" s="3" t="s">
        <v>211</v>
      </c>
      <c r="B82" s="3" t="s">
        <v>212</v>
      </c>
      <c r="C82" s="3" t="s">
        <v>169</v>
      </c>
      <c r="D82" s="4">
        <f t="shared" ca="1" si="1"/>
        <v>45330</v>
      </c>
      <c r="E82" s="3" t="s">
        <v>56</v>
      </c>
    </row>
    <row r="83" spans="1:5" x14ac:dyDescent="0.3">
      <c r="A83" s="3" t="s">
        <v>209</v>
      </c>
      <c r="B83" s="3" t="s">
        <v>193</v>
      </c>
      <c r="C83" s="3" t="s">
        <v>210</v>
      </c>
      <c r="D83" s="4">
        <f t="shared" ca="1" si="1"/>
        <v>45330</v>
      </c>
      <c r="E83" s="3" t="s">
        <v>60</v>
      </c>
    </row>
    <row r="84" spans="1:5" x14ac:dyDescent="0.3">
      <c r="A84" s="3" t="s">
        <v>213</v>
      </c>
      <c r="B84" s="3" t="s">
        <v>87</v>
      </c>
      <c r="C84" s="3" t="s">
        <v>214</v>
      </c>
      <c r="D84" s="4">
        <f t="shared" ca="1" si="1"/>
        <v>45330</v>
      </c>
      <c r="E84" s="3" t="s">
        <v>27</v>
      </c>
    </row>
    <row r="85" spans="1:5" x14ac:dyDescent="0.3">
      <c r="A85" s="3" t="s">
        <v>215</v>
      </c>
      <c r="B85" s="3" t="s">
        <v>25</v>
      </c>
      <c r="C85" s="3" t="s">
        <v>216</v>
      </c>
      <c r="D85" s="4">
        <f t="shared" ca="1" si="1"/>
        <v>45330</v>
      </c>
      <c r="E85" s="3" t="s">
        <v>56</v>
      </c>
    </row>
    <row r="86" spans="1:5" x14ac:dyDescent="0.3">
      <c r="A86" s="3" t="s">
        <v>159</v>
      </c>
      <c r="B86" s="3" t="s">
        <v>65</v>
      </c>
      <c r="C86" s="3" t="s">
        <v>160</v>
      </c>
      <c r="D86" s="4">
        <f t="shared" ca="1" si="1"/>
        <v>45330</v>
      </c>
      <c r="E86" s="3" t="s">
        <v>27</v>
      </c>
    </row>
    <row r="87" spans="1:5" x14ac:dyDescent="0.3">
      <c r="A87" s="3" t="s">
        <v>217</v>
      </c>
      <c r="B87" s="3" t="s">
        <v>87</v>
      </c>
      <c r="C87" s="3" t="s">
        <v>218</v>
      </c>
      <c r="D87" s="4">
        <f t="shared" ca="1" si="1"/>
        <v>45330</v>
      </c>
      <c r="E87" s="3" t="s">
        <v>31</v>
      </c>
    </row>
    <row r="88" spans="1:5" x14ac:dyDescent="0.3">
      <c r="A88" s="3" t="s">
        <v>219</v>
      </c>
      <c r="B88" s="3" t="s">
        <v>157</v>
      </c>
      <c r="C88" s="3" t="s">
        <v>220</v>
      </c>
      <c r="D88" s="4">
        <f t="shared" ca="1" si="1"/>
        <v>45330</v>
      </c>
      <c r="E88" s="3" t="s">
        <v>31</v>
      </c>
    </row>
    <row r="89" spans="1:5" x14ac:dyDescent="0.3">
      <c r="A89" s="3" t="s">
        <v>221</v>
      </c>
      <c r="B89" s="3" t="s">
        <v>65</v>
      </c>
      <c r="C89" s="3" t="s">
        <v>222</v>
      </c>
      <c r="D89" s="4">
        <f t="shared" ca="1" si="1"/>
        <v>45330</v>
      </c>
      <c r="E89" s="3" t="s">
        <v>35</v>
      </c>
    </row>
    <row r="90" spans="1:5" x14ac:dyDescent="0.3">
      <c r="A90" s="3" t="s">
        <v>223</v>
      </c>
      <c r="B90" s="3" t="s">
        <v>58</v>
      </c>
      <c r="C90" s="3" t="s">
        <v>153</v>
      </c>
      <c r="D90" s="4">
        <f t="shared" ca="1" si="1"/>
        <v>45330</v>
      </c>
      <c r="E90" s="3" t="s">
        <v>35</v>
      </c>
    </row>
    <row r="91" spans="1:5" x14ac:dyDescent="0.3">
      <c r="A91" s="3" t="s">
        <v>224</v>
      </c>
      <c r="B91" s="3" t="s">
        <v>193</v>
      </c>
      <c r="C91" s="3" t="s">
        <v>225</v>
      </c>
      <c r="D91" s="4">
        <f t="shared" ca="1" si="1"/>
        <v>45330</v>
      </c>
      <c r="E91" s="3" t="s">
        <v>56</v>
      </c>
    </row>
    <row r="92" spans="1:5" x14ac:dyDescent="0.3">
      <c r="A92" s="3" t="s">
        <v>226</v>
      </c>
      <c r="B92" s="3" t="s">
        <v>124</v>
      </c>
      <c r="C92" s="3" t="s">
        <v>227</v>
      </c>
      <c r="D92" s="4">
        <f t="shared" ca="1" si="1"/>
        <v>45330</v>
      </c>
      <c r="E92" s="3" t="s">
        <v>39</v>
      </c>
    </row>
    <row r="93" spans="1:5" x14ac:dyDescent="0.3">
      <c r="A93" s="3" t="s">
        <v>228</v>
      </c>
      <c r="B93" s="3" t="s">
        <v>118</v>
      </c>
      <c r="C93" s="3" t="s">
        <v>229</v>
      </c>
      <c r="D93" s="4">
        <f t="shared" ca="1" si="1"/>
        <v>45330</v>
      </c>
      <c r="E93" s="3" t="s">
        <v>31</v>
      </c>
    </row>
    <row r="94" spans="1:5" x14ac:dyDescent="0.3">
      <c r="A94" s="3" t="s">
        <v>130</v>
      </c>
      <c r="B94" s="3" t="s">
        <v>47</v>
      </c>
      <c r="C94" s="3" t="s">
        <v>131</v>
      </c>
      <c r="D94" s="4">
        <f t="shared" ca="1" si="1"/>
        <v>45330</v>
      </c>
      <c r="E94" s="3" t="s">
        <v>56</v>
      </c>
    </row>
    <row r="95" spans="1:5" x14ac:dyDescent="0.3">
      <c r="A95" s="3" t="s">
        <v>230</v>
      </c>
      <c r="B95" s="3" t="s">
        <v>118</v>
      </c>
      <c r="C95" s="3" t="s">
        <v>119</v>
      </c>
      <c r="D95" s="4">
        <f t="shared" ca="1" si="1"/>
        <v>45330</v>
      </c>
      <c r="E95" s="3" t="s">
        <v>56</v>
      </c>
    </row>
    <row r="96" spans="1:5" x14ac:dyDescent="0.3">
      <c r="A96" s="3" t="s">
        <v>128</v>
      </c>
      <c r="B96" s="3" t="s">
        <v>87</v>
      </c>
      <c r="C96" s="3" t="s">
        <v>129</v>
      </c>
      <c r="D96" s="4">
        <f t="shared" ca="1" si="1"/>
        <v>45330</v>
      </c>
      <c r="E96" s="3" t="s">
        <v>27</v>
      </c>
    </row>
    <row r="97" spans="1:5" x14ac:dyDescent="0.3">
      <c r="A97" s="3" t="s">
        <v>124</v>
      </c>
      <c r="B97" s="3" t="s">
        <v>50</v>
      </c>
      <c r="C97" s="3" t="s">
        <v>231</v>
      </c>
      <c r="D97" s="4">
        <f t="shared" ca="1" si="1"/>
        <v>45330</v>
      </c>
      <c r="E97" s="3" t="s">
        <v>39</v>
      </c>
    </row>
    <row r="98" spans="1:5" x14ac:dyDescent="0.3">
      <c r="A98" s="3" t="s">
        <v>232</v>
      </c>
      <c r="B98" s="3" t="s">
        <v>41</v>
      </c>
      <c r="C98" s="3" t="s">
        <v>233</v>
      </c>
      <c r="D98" s="4">
        <f t="shared" ca="1" si="1"/>
        <v>45330</v>
      </c>
      <c r="E98" s="3" t="s">
        <v>27</v>
      </c>
    </row>
    <row r="99" spans="1:5" x14ac:dyDescent="0.3">
      <c r="A99" s="3" t="s">
        <v>234</v>
      </c>
      <c r="B99" s="3" t="s">
        <v>87</v>
      </c>
      <c r="C99" s="3" t="s">
        <v>235</v>
      </c>
      <c r="D99" s="4">
        <f t="shared" ca="1" si="1"/>
        <v>45330</v>
      </c>
      <c r="E99" s="3" t="s">
        <v>35</v>
      </c>
    </row>
    <row r="100" spans="1:5" x14ac:dyDescent="0.3">
      <c r="A100" s="3" t="s">
        <v>236</v>
      </c>
      <c r="B100" s="3" t="s">
        <v>65</v>
      </c>
      <c r="C100" s="3" t="s">
        <v>237</v>
      </c>
      <c r="D100" s="4">
        <f t="shared" ca="1" si="1"/>
        <v>45330</v>
      </c>
      <c r="E100" s="3" t="s">
        <v>56</v>
      </c>
    </row>
    <row r="101" spans="1:5" x14ac:dyDescent="0.3">
      <c r="A101" s="3" t="s">
        <v>238</v>
      </c>
      <c r="B101" s="3" t="s">
        <v>157</v>
      </c>
      <c r="C101" s="3" t="s">
        <v>239</v>
      </c>
      <c r="D101" s="4">
        <f t="shared" ca="1" si="1"/>
        <v>45330</v>
      </c>
      <c r="E101" s="3" t="s">
        <v>39</v>
      </c>
    </row>
    <row r="102" spans="1:5" x14ac:dyDescent="0.3">
      <c r="A102" s="3" t="s">
        <v>240</v>
      </c>
      <c r="B102" s="3" t="s">
        <v>124</v>
      </c>
      <c r="C102" s="3" t="s">
        <v>241</v>
      </c>
      <c r="D102" s="4">
        <f t="shared" ca="1" si="1"/>
        <v>45330</v>
      </c>
      <c r="E102" s="3" t="s">
        <v>35</v>
      </c>
    </row>
    <row r="103" spans="1:5" x14ac:dyDescent="0.3">
      <c r="A103" s="3" t="s">
        <v>242</v>
      </c>
      <c r="B103" s="3" t="s">
        <v>93</v>
      </c>
      <c r="C103" s="3" t="s">
        <v>243</v>
      </c>
      <c r="D103" s="4">
        <f t="shared" ca="1" si="1"/>
        <v>45330</v>
      </c>
      <c r="E103" s="3" t="s">
        <v>31</v>
      </c>
    </row>
    <row r="104" spans="1:5" x14ac:dyDescent="0.3">
      <c r="A104" s="3" t="s">
        <v>244</v>
      </c>
      <c r="B104" s="3" t="s">
        <v>245</v>
      </c>
      <c r="C104" s="3" t="s">
        <v>246</v>
      </c>
      <c r="D104" s="4">
        <f t="shared" ca="1" si="1"/>
        <v>45330</v>
      </c>
      <c r="E104" s="3" t="s">
        <v>35</v>
      </c>
    </row>
    <row r="105" spans="1:5" x14ac:dyDescent="0.3">
      <c r="A105" s="3" t="s">
        <v>247</v>
      </c>
      <c r="B105" s="3" t="s">
        <v>118</v>
      </c>
      <c r="C105" s="3" t="s">
        <v>248</v>
      </c>
      <c r="D105" s="4">
        <f t="shared" ca="1" si="1"/>
        <v>45330</v>
      </c>
      <c r="E105" s="3" t="s">
        <v>35</v>
      </c>
    </row>
    <row r="106" spans="1:5" x14ac:dyDescent="0.3">
      <c r="A106" s="3" t="s">
        <v>249</v>
      </c>
      <c r="B106" s="3" t="s">
        <v>193</v>
      </c>
      <c r="C106" s="3" t="s">
        <v>250</v>
      </c>
      <c r="D106" s="4">
        <f t="shared" ca="1" si="1"/>
        <v>45330</v>
      </c>
      <c r="E106" s="3" t="s">
        <v>39</v>
      </c>
    </row>
    <row r="107" spans="1:5" x14ac:dyDescent="0.3">
      <c r="A107" s="3" t="s">
        <v>251</v>
      </c>
      <c r="B107" s="3" t="s">
        <v>93</v>
      </c>
      <c r="C107" s="3" t="s">
        <v>96</v>
      </c>
      <c r="D107" s="4">
        <f t="shared" ca="1" si="1"/>
        <v>45330</v>
      </c>
      <c r="E107" s="3" t="s">
        <v>56</v>
      </c>
    </row>
    <row r="108" spans="1:5" x14ac:dyDescent="0.3">
      <c r="A108" s="3" t="s">
        <v>252</v>
      </c>
      <c r="B108" s="3" t="s">
        <v>50</v>
      </c>
      <c r="C108" s="3" t="s">
        <v>253</v>
      </c>
      <c r="D108" s="4">
        <f t="shared" ca="1" si="1"/>
        <v>45330</v>
      </c>
      <c r="E108" s="3" t="s">
        <v>39</v>
      </c>
    </row>
    <row r="109" spans="1:5" x14ac:dyDescent="0.3">
      <c r="A109" s="3" t="s">
        <v>144</v>
      </c>
      <c r="B109" s="3" t="s">
        <v>145</v>
      </c>
      <c r="C109" s="3" t="s">
        <v>146</v>
      </c>
      <c r="D109" s="4">
        <f t="shared" ca="1" si="1"/>
        <v>45330</v>
      </c>
      <c r="E109" s="3" t="s">
        <v>27</v>
      </c>
    </row>
    <row r="110" spans="1:5" x14ac:dyDescent="0.3">
      <c r="A110" s="3" t="s">
        <v>254</v>
      </c>
      <c r="B110" s="3" t="s">
        <v>25</v>
      </c>
      <c r="C110" s="3" t="s">
        <v>255</v>
      </c>
      <c r="D110" s="4">
        <f t="shared" ca="1" si="1"/>
        <v>45330</v>
      </c>
      <c r="E110" s="3" t="s">
        <v>35</v>
      </c>
    </row>
    <row r="111" spans="1:5" x14ac:dyDescent="0.3">
      <c r="A111" s="3" t="s">
        <v>256</v>
      </c>
      <c r="B111" s="3" t="s">
        <v>257</v>
      </c>
      <c r="C111" s="3" t="s">
        <v>258</v>
      </c>
      <c r="D111" s="4">
        <f t="shared" ca="1" si="1"/>
        <v>45330</v>
      </c>
      <c r="E111" s="3" t="s">
        <v>60</v>
      </c>
    </row>
    <row r="112" spans="1:5" x14ac:dyDescent="0.3">
      <c r="A112" s="3" t="s">
        <v>205</v>
      </c>
      <c r="B112" s="3" t="s">
        <v>65</v>
      </c>
      <c r="C112" s="3" t="s">
        <v>206</v>
      </c>
      <c r="D112" s="4">
        <f t="shared" ca="1" si="1"/>
        <v>45330</v>
      </c>
      <c r="E112" s="3" t="s">
        <v>39</v>
      </c>
    </row>
    <row r="113" spans="1:5" x14ac:dyDescent="0.3">
      <c r="A113" s="3" t="s">
        <v>259</v>
      </c>
      <c r="B113" s="3" t="s">
        <v>47</v>
      </c>
      <c r="C113" s="3" t="s">
        <v>260</v>
      </c>
      <c r="D113" s="4">
        <f t="shared" ca="1" si="1"/>
        <v>45330</v>
      </c>
      <c r="E113" s="3" t="s">
        <v>39</v>
      </c>
    </row>
    <row r="114" spans="1:5" x14ac:dyDescent="0.3">
      <c r="A114" s="3" t="s">
        <v>89</v>
      </c>
      <c r="B114" s="3" t="s">
        <v>261</v>
      </c>
      <c r="C114" s="3" t="s">
        <v>262</v>
      </c>
      <c r="D114" s="4">
        <f t="shared" ca="1" si="1"/>
        <v>45330</v>
      </c>
      <c r="E114" s="3" t="s">
        <v>39</v>
      </c>
    </row>
    <row r="115" spans="1:5" x14ac:dyDescent="0.3">
      <c r="A115" s="3" t="s">
        <v>170</v>
      </c>
      <c r="B115" s="3" t="s">
        <v>25</v>
      </c>
      <c r="C115" s="3" t="s">
        <v>171</v>
      </c>
      <c r="D115" s="4">
        <f t="shared" ca="1" si="1"/>
        <v>45330</v>
      </c>
      <c r="E115" s="3" t="s">
        <v>35</v>
      </c>
    </row>
    <row r="116" spans="1:5" x14ac:dyDescent="0.3">
      <c r="A116" s="3" t="s">
        <v>263</v>
      </c>
      <c r="B116" s="3" t="s">
        <v>178</v>
      </c>
      <c r="C116" s="3" t="s">
        <v>264</v>
      </c>
      <c r="D116" s="4">
        <f t="shared" ca="1" si="1"/>
        <v>45330</v>
      </c>
      <c r="E116" s="3" t="s">
        <v>60</v>
      </c>
    </row>
    <row r="117" spans="1:5" x14ac:dyDescent="0.3">
      <c r="A117" s="3" t="s">
        <v>265</v>
      </c>
      <c r="B117" s="3" t="s">
        <v>33</v>
      </c>
      <c r="C117" s="3" t="s">
        <v>266</v>
      </c>
      <c r="D117" s="4">
        <f t="shared" ca="1" si="1"/>
        <v>45330</v>
      </c>
      <c r="E117" s="3" t="s">
        <v>56</v>
      </c>
    </row>
    <row r="118" spans="1:5" x14ac:dyDescent="0.3">
      <c r="A118" s="3" t="s">
        <v>267</v>
      </c>
      <c r="B118" s="3" t="s">
        <v>65</v>
      </c>
      <c r="C118" s="3" t="s">
        <v>268</v>
      </c>
      <c r="D118" s="4">
        <f t="shared" ca="1" si="1"/>
        <v>45330</v>
      </c>
      <c r="E118" s="3" t="s">
        <v>60</v>
      </c>
    </row>
    <row r="119" spans="1:5" x14ac:dyDescent="0.3">
      <c r="A119" s="3" t="s">
        <v>269</v>
      </c>
      <c r="B119" s="3" t="s">
        <v>270</v>
      </c>
      <c r="C119" s="3" t="s">
        <v>241</v>
      </c>
      <c r="D119" s="4">
        <f t="shared" ca="1" si="1"/>
        <v>45330</v>
      </c>
      <c r="E119" s="3" t="s">
        <v>60</v>
      </c>
    </row>
    <row r="120" spans="1:5" x14ac:dyDescent="0.3">
      <c r="A120" s="3" t="s">
        <v>271</v>
      </c>
      <c r="B120" s="3" t="s">
        <v>272</v>
      </c>
      <c r="C120" s="3" t="s">
        <v>273</v>
      </c>
      <c r="D120" s="4">
        <f t="shared" ca="1" si="1"/>
        <v>45330</v>
      </c>
      <c r="E120" s="3" t="s">
        <v>39</v>
      </c>
    </row>
    <row r="121" spans="1:5" x14ac:dyDescent="0.3">
      <c r="A121" s="3" t="s">
        <v>274</v>
      </c>
      <c r="B121" s="3" t="s">
        <v>275</v>
      </c>
      <c r="C121" s="3" t="s">
        <v>91</v>
      </c>
      <c r="D121" s="4">
        <f t="shared" ca="1" si="1"/>
        <v>45330</v>
      </c>
      <c r="E121" s="3" t="s">
        <v>39</v>
      </c>
    </row>
    <row r="122" spans="1:5" x14ac:dyDescent="0.3">
      <c r="A122" s="3" t="s">
        <v>114</v>
      </c>
      <c r="B122" s="3" t="s">
        <v>44</v>
      </c>
      <c r="C122" s="3" t="s">
        <v>115</v>
      </c>
      <c r="D122" s="4">
        <f t="shared" ca="1" si="1"/>
        <v>45330</v>
      </c>
      <c r="E122" s="3" t="s">
        <v>35</v>
      </c>
    </row>
    <row r="123" spans="1:5" x14ac:dyDescent="0.3">
      <c r="A123" s="3" t="s">
        <v>276</v>
      </c>
      <c r="B123" s="3" t="s">
        <v>50</v>
      </c>
      <c r="C123" s="3" t="s">
        <v>277</v>
      </c>
      <c r="D123" s="4">
        <f t="shared" ca="1" si="1"/>
        <v>45330</v>
      </c>
      <c r="E123" s="3" t="s">
        <v>60</v>
      </c>
    </row>
    <row r="124" spans="1:5" x14ac:dyDescent="0.3">
      <c r="A124" s="3" t="s">
        <v>149</v>
      </c>
      <c r="B124" s="3" t="s">
        <v>150</v>
      </c>
      <c r="C124" s="3" t="s">
        <v>151</v>
      </c>
      <c r="D124" s="4">
        <f t="shared" ca="1" si="1"/>
        <v>45330</v>
      </c>
      <c r="E124" s="3" t="s">
        <v>27</v>
      </c>
    </row>
    <row r="125" spans="1:5" x14ac:dyDescent="0.3">
      <c r="A125" s="3" t="s">
        <v>177</v>
      </c>
      <c r="B125" s="3" t="s">
        <v>178</v>
      </c>
      <c r="C125" s="3" t="s">
        <v>179</v>
      </c>
      <c r="D125" s="4">
        <f t="shared" ref="D125:D191" ca="1" si="2">TODAY()-676</f>
        <v>45361</v>
      </c>
      <c r="E125" s="3" t="s">
        <v>39</v>
      </c>
    </row>
    <row r="126" spans="1:5" x14ac:dyDescent="0.3">
      <c r="A126" s="3" t="s">
        <v>73</v>
      </c>
      <c r="B126" s="3" t="s">
        <v>87</v>
      </c>
      <c r="C126" s="3" t="s">
        <v>278</v>
      </c>
      <c r="D126" s="4">
        <f t="shared" ca="1" si="2"/>
        <v>45361</v>
      </c>
      <c r="E126" s="3" t="s">
        <v>39</v>
      </c>
    </row>
    <row r="127" spans="1:5" x14ac:dyDescent="0.3">
      <c r="A127" s="3" t="s">
        <v>279</v>
      </c>
      <c r="B127" s="3" t="s">
        <v>275</v>
      </c>
      <c r="C127" s="3" t="s">
        <v>280</v>
      </c>
      <c r="D127" s="4">
        <f t="shared" ca="1" si="2"/>
        <v>45361</v>
      </c>
      <c r="E127" s="3" t="s">
        <v>39</v>
      </c>
    </row>
    <row r="128" spans="1:5" x14ac:dyDescent="0.3">
      <c r="A128" s="3" t="s">
        <v>281</v>
      </c>
      <c r="B128" s="3" t="s">
        <v>74</v>
      </c>
      <c r="C128" s="3" t="s">
        <v>282</v>
      </c>
      <c r="D128" s="4">
        <f t="shared" ca="1" si="2"/>
        <v>45361</v>
      </c>
      <c r="E128" s="3" t="s">
        <v>39</v>
      </c>
    </row>
    <row r="129" spans="1:5" x14ac:dyDescent="0.3">
      <c r="A129" s="3" t="s">
        <v>283</v>
      </c>
      <c r="B129" s="3" t="s">
        <v>284</v>
      </c>
      <c r="C129" s="3" t="s">
        <v>285</v>
      </c>
      <c r="D129" s="4">
        <f t="shared" ca="1" si="2"/>
        <v>45361</v>
      </c>
      <c r="E129" s="3" t="s">
        <v>60</v>
      </c>
    </row>
    <row r="130" spans="1:5" x14ac:dyDescent="0.3">
      <c r="A130" s="3" t="s">
        <v>286</v>
      </c>
      <c r="B130" s="3" t="s">
        <v>178</v>
      </c>
      <c r="C130" s="3" t="s">
        <v>287</v>
      </c>
      <c r="D130" s="4">
        <f t="shared" ca="1" si="2"/>
        <v>45361</v>
      </c>
      <c r="E130" s="3" t="s">
        <v>60</v>
      </c>
    </row>
    <row r="131" spans="1:5" x14ac:dyDescent="0.3">
      <c r="A131" s="3" t="s">
        <v>154</v>
      </c>
      <c r="B131" s="3" t="s">
        <v>71</v>
      </c>
      <c r="C131" s="3" t="s">
        <v>155</v>
      </c>
      <c r="D131" s="4">
        <f t="shared" ca="1" si="2"/>
        <v>45361</v>
      </c>
      <c r="E131" s="3" t="s">
        <v>60</v>
      </c>
    </row>
    <row r="132" spans="1:5" x14ac:dyDescent="0.3">
      <c r="A132" s="3" t="s">
        <v>288</v>
      </c>
      <c r="B132" s="3" t="s">
        <v>50</v>
      </c>
      <c r="C132" s="3" t="s">
        <v>289</v>
      </c>
      <c r="D132" s="4">
        <f t="shared" ca="1" si="2"/>
        <v>45361</v>
      </c>
      <c r="E132" s="3" t="s">
        <v>35</v>
      </c>
    </row>
    <row r="133" spans="1:5" x14ac:dyDescent="0.3">
      <c r="A133" s="3" t="s">
        <v>290</v>
      </c>
      <c r="B133" s="3" t="s">
        <v>58</v>
      </c>
      <c r="C133" s="3" t="s">
        <v>291</v>
      </c>
      <c r="D133" s="4">
        <f t="shared" ca="1" si="2"/>
        <v>45361</v>
      </c>
      <c r="E133" s="3" t="s">
        <v>39</v>
      </c>
    </row>
    <row r="134" spans="1:5" x14ac:dyDescent="0.3">
      <c r="A134" s="3" t="s">
        <v>292</v>
      </c>
      <c r="B134" s="3" t="s">
        <v>118</v>
      </c>
      <c r="C134" s="3" t="s">
        <v>293</v>
      </c>
      <c r="D134" s="4">
        <f t="shared" ca="1" si="2"/>
        <v>45361</v>
      </c>
      <c r="E134" s="3" t="s">
        <v>60</v>
      </c>
    </row>
    <row r="135" spans="1:5" x14ac:dyDescent="0.3">
      <c r="A135" s="3" t="s">
        <v>294</v>
      </c>
      <c r="B135" s="3" t="s">
        <v>295</v>
      </c>
      <c r="C135" s="3" t="s">
        <v>179</v>
      </c>
      <c r="D135" s="4">
        <f t="shared" ca="1" si="2"/>
        <v>45361</v>
      </c>
      <c r="E135" s="3" t="s">
        <v>27</v>
      </c>
    </row>
    <row r="136" spans="1:5" x14ac:dyDescent="0.3">
      <c r="A136" s="3" t="s">
        <v>288</v>
      </c>
      <c r="B136" s="3" t="s">
        <v>50</v>
      </c>
      <c r="C136" s="3" t="s">
        <v>289</v>
      </c>
      <c r="D136" s="4">
        <f t="shared" ca="1" si="2"/>
        <v>45361</v>
      </c>
      <c r="E136" s="3" t="s">
        <v>35</v>
      </c>
    </row>
    <row r="137" spans="1:5" x14ac:dyDescent="0.3">
      <c r="A137" s="3" t="s">
        <v>296</v>
      </c>
      <c r="B137" s="3" t="s">
        <v>71</v>
      </c>
      <c r="C137" s="3" t="s">
        <v>42</v>
      </c>
      <c r="D137" s="4">
        <f t="shared" ca="1" si="2"/>
        <v>45361</v>
      </c>
      <c r="E137" s="3" t="s">
        <v>56</v>
      </c>
    </row>
    <row r="138" spans="1:5" x14ac:dyDescent="0.3">
      <c r="A138" s="3" t="s">
        <v>297</v>
      </c>
      <c r="B138" s="3" t="s">
        <v>298</v>
      </c>
      <c r="C138" s="3" t="s">
        <v>285</v>
      </c>
      <c r="D138" s="4">
        <f t="shared" ca="1" si="2"/>
        <v>45361</v>
      </c>
      <c r="E138" s="3" t="s">
        <v>56</v>
      </c>
    </row>
    <row r="139" spans="1:5" x14ac:dyDescent="0.3">
      <c r="A139" s="3" t="s">
        <v>161</v>
      </c>
      <c r="B139" s="3" t="s">
        <v>162</v>
      </c>
      <c r="C139" s="3" t="s">
        <v>163</v>
      </c>
      <c r="D139" s="4">
        <f t="shared" ca="1" si="2"/>
        <v>45361</v>
      </c>
      <c r="E139" s="3" t="s">
        <v>35</v>
      </c>
    </row>
    <row r="140" spans="1:5" x14ac:dyDescent="0.3">
      <c r="A140" s="3" t="s">
        <v>299</v>
      </c>
      <c r="B140" s="3" t="s">
        <v>33</v>
      </c>
      <c r="C140" s="3" t="s">
        <v>300</v>
      </c>
      <c r="D140" s="4">
        <f t="shared" ca="1" si="2"/>
        <v>45361</v>
      </c>
      <c r="E140" s="3" t="s">
        <v>60</v>
      </c>
    </row>
    <row r="141" spans="1:5" x14ac:dyDescent="0.3">
      <c r="A141" s="3" t="s">
        <v>301</v>
      </c>
      <c r="B141" s="3" t="s">
        <v>165</v>
      </c>
      <c r="C141" s="3" t="s">
        <v>302</v>
      </c>
      <c r="D141" s="4">
        <f t="shared" ca="1" si="2"/>
        <v>45361</v>
      </c>
      <c r="E141" s="3" t="s">
        <v>60</v>
      </c>
    </row>
    <row r="142" spans="1:5" x14ac:dyDescent="0.3">
      <c r="A142" s="3" t="s">
        <v>97</v>
      </c>
      <c r="B142" s="3" t="s">
        <v>193</v>
      </c>
      <c r="C142" s="3" t="s">
        <v>303</v>
      </c>
      <c r="D142" s="4">
        <f t="shared" ca="1" si="2"/>
        <v>45361</v>
      </c>
      <c r="E142" s="3" t="s">
        <v>35</v>
      </c>
    </row>
    <row r="143" spans="1:5" x14ac:dyDescent="0.3">
      <c r="A143" s="3" t="s">
        <v>304</v>
      </c>
      <c r="B143" s="3" t="s">
        <v>65</v>
      </c>
      <c r="C143" s="3" t="s">
        <v>305</v>
      </c>
      <c r="D143" s="4">
        <f t="shared" ca="1" si="2"/>
        <v>45361</v>
      </c>
      <c r="E143" s="3" t="s">
        <v>27</v>
      </c>
    </row>
    <row r="144" spans="1:5" x14ac:dyDescent="0.3">
      <c r="A144" s="3" t="s">
        <v>306</v>
      </c>
      <c r="B144" s="3" t="s">
        <v>307</v>
      </c>
      <c r="C144" s="3" t="s">
        <v>308</v>
      </c>
      <c r="D144" s="4">
        <f t="shared" ca="1" si="2"/>
        <v>45361</v>
      </c>
      <c r="E144" s="3" t="s">
        <v>31</v>
      </c>
    </row>
    <row r="145" spans="1:5" x14ac:dyDescent="0.3">
      <c r="A145" s="3" t="s">
        <v>309</v>
      </c>
      <c r="B145" s="3" t="s">
        <v>150</v>
      </c>
      <c r="C145" s="3" t="s">
        <v>310</v>
      </c>
      <c r="D145" s="4">
        <f t="shared" ca="1" si="2"/>
        <v>45361</v>
      </c>
      <c r="E145" s="3" t="s">
        <v>56</v>
      </c>
    </row>
    <row r="146" spans="1:5" x14ac:dyDescent="0.3">
      <c r="A146" s="3" t="s">
        <v>311</v>
      </c>
      <c r="B146" s="3" t="s">
        <v>312</v>
      </c>
      <c r="C146" s="3" t="s">
        <v>313</v>
      </c>
      <c r="D146" s="4">
        <f t="shared" ca="1" si="2"/>
        <v>45361</v>
      </c>
      <c r="E146" s="3" t="s">
        <v>60</v>
      </c>
    </row>
    <row r="147" spans="1:5" x14ac:dyDescent="0.3">
      <c r="A147" s="3" t="s">
        <v>24</v>
      </c>
      <c r="B147" s="3" t="s">
        <v>25</v>
      </c>
      <c r="C147" s="3" t="s">
        <v>82</v>
      </c>
      <c r="D147" s="4">
        <f t="shared" ca="1" si="2"/>
        <v>45361</v>
      </c>
      <c r="E147" s="3" t="s">
        <v>39</v>
      </c>
    </row>
    <row r="148" spans="1:5" x14ac:dyDescent="0.3">
      <c r="A148" s="3" t="s">
        <v>314</v>
      </c>
      <c r="B148" s="3" t="s">
        <v>62</v>
      </c>
      <c r="C148" s="3" t="s">
        <v>315</v>
      </c>
      <c r="D148" s="4">
        <f t="shared" ca="1" si="2"/>
        <v>45361</v>
      </c>
      <c r="E148" s="3" t="s">
        <v>31</v>
      </c>
    </row>
    <row r="149" spans="1:5" x14ac:dyDescent="0.3">
      <c r="A149" s="3" t="s">
        <v>184</v>
      </c>
      <c r="B149" s="3" t="s">
        <v>87</v>
      </c>
      <c r="C149" s="3" t="s">
        <v>316</v>
      </c>
      <c r="D149" s="4">
        <f t="shared" ca="1" si="2"/>
        <v>45361</v>
      </c>
      <c r="E149" s="3" t="s">
        <v>60</v>
      </c>
    </row>
    <row r="150" spans="1:5" x14ac:dyDescent="0.3">
      <c r="A150" s="3" t="s">
        <v>317</v>
      </c>
      <c r="B150" s="3" t="s">
        <v>157</v>
      </c>
      <c r="C150" s="3" t="s">
        <v>318</v>
      </c>
      <c r="D150" s="4">
        <f t="shared" ca="1" si="2"/>
        <v>45361</v>
      </c>
      <c r="E150" s="3" t="s">
        <v>39</v>
      </c>
    </row>
    <row r="151" spans="1:5" x14ac:dyDescent="0.3">
      <c r="A151" s="3" t="s">
        <v>319</v>
      </c>
      <c r="B151" s="3" t="s">
        <v>98</v>
      </c>
      <c r="C151" s="3" t="s">
        <v>320</v>
      </c>
      <c r="D151" s="4">
        <f t="shared" ca="1" si="2"/>
        <v>45361</v>
      </c>
      <c r="E151" s="3" t="s">
        <v>56</v>
      </c>
    </row>
    <row r="152" spans="1:5" x14ac:dyDescent="0.3">
      <c r="A152" s="3" t="s">
        <v>267</v>
      </c>
      <c r="B152" s="3" t="s">
        <v>65</v>
      </c>
      <c r="C152" s="3" t="s">
        <v>268</v>
      </c>
      <c r="D152" s="4">
        <f t="shared" ca="1" si="2"/>
        <v>45361</v>
      </c>
      <c r="E152" s="3" t="s">
        <v>60</v>
      </c>
    </row>
    <row r="153" spans="1:5" x14ac:dyDescent="0.3">
      <c r="A153" s="3" t="s">
        <v>321</v>
      </c>
      <c r="B153" s="3" t="s">
        <v>71</v>
      </c>
      <c r="C153" s="3" t="s">
        <v>322</v>
      </c>
      <c r="D153" s="4">
        <f t="shared" ca="1" si="2"/>
        <v>45361</v>
      </c>
      <c r="E153" s="3" t="s">
        <v>39</v>
      </c>
    </row>
    <row r="154" spans="1:5" x14ac:dyDescent="0.3">
      <c r="A154" s="3" t="s">
        <v>323</v>
      </c>
      <c r="B154" s="3" t="s">
        <v>50</v>
      </c>
      <c r="C154" s="3" t="s">
        <v>324</v>
      </c>
      <c r="D154" s="4">
        <f t="shared" ca="1" si="2"/>
        <v>45361</v>
      </c>
      <c r="E154" s="3" t="s">
        <v>39</v>
      </c>
    </row>
    <row r="155" spans="1:5" x14ac:dyDescent="0.3">
      <c r="A155" s="3" t="s">
        <v>325</v>
      </c>
      <c r="B155" s="3" t="s">
        <v>326</v>
      </c>
      <c r="C155" s="3" t="s">
        <v>327</v>
      </c>
      <c r="D155" s="4">
        <f t="shared" ca="1" si="2"/>
        <v>45361</v>
      </c>
      <c r="E155" s="3" t="s">
        <v>39</v>
      </c>
    </row>
    <row r="156" spans="1:5" x14ac:dyDescent="0.3">
      <c r="A156" s="3" t="s">
        <v>328</v>
      </c>
      <c r="B156" s="3" t="s">
        <v>193</v>
      </c>
      <c r="C156" s="3" t="s">
        <v>329</v>
      </c>
      <c r="D156" s="4">
        <f t="shared" ca="1" si="2"/>
        <v>45361</v>
      </c>
      <c r="E156" s="3" t="s">
        <v>60</v>
      </c>
    </row>
    <row r="157" spans="1:5" x14ac:dyDescent="0.3">
      <c r="A157" s="3" t="s">
        <v>330</v>
      </c>
      <c r="B157" s="3" t="s">
        <v>331</v>
      </c>
      <c r="C157" s="3" t="s">
        <v>233</v>
      </c>
      <c r="D157" s="4">
        <f t="shared" ca="1" si="2"/>
        <v>45361</v>
      </c>
      <c r="E157" s="3" t="s">
        <v>56</v>
      </c>
    </row>
    <row r="158" spans="1:5" x14ac:dyDescent="0.3">
      <c r="A158" s="3" t="s">
        <v>332</v>
      </c>
      <c r="B158" s="3" t="s">
        <v>333</v>
      </c>
      <c r="C158" s="3" t="s">
        <v>334</v>
      </c>
      <c r="D158" s="4">
        <f t="shared" ca="1" si="2"/>
        <v>45361</v>
      </c>
      <c r="E158" s="3" t="s">
        <v>60</v>
      </c>
    </row>
    <row r="159" spans="1:5" x14ac:dyDescent="0.3">
      <c r="A159" s="3" t="s">
        <v>335</v>
      </c>
      <c r="B159" s="3" t="s">
        <v>58</v>
      </c>
      <c r="C159" s="3" t="s">
        <v>336</v>
      </c>
      <c r="D159" s="4">
        <f t="shared" ca="1" si="2"/>
        <v>45361</v>
      </c>
      <c r="E159" s="3" t="s">
        <v>60</v>
      </c>
    </row>
    <row r="160" spans="1:5" x14ac:dyDescent="0.3">
      <c r="A160" s="3" t="s">
        <v>337</v>
      </c>
      <c r="B160" s="3" t="s">
        <v>65</v>
      </c>
      <c r="C160" s="3" t="s">
        <v>338</v>
      </c>
      <c r="D160" s="4">
        <f t="shared" ca="1" si="2"/>
        <v>45361</v>
      </c>
      <c r="E160" s="3" t="s">
        <v>56</v>
      </c>
    </row>
    <row r="161" spans="1:5" x14ac:dyDescent="0.3">
      <c r="A161" s="3" t="s">
        <v>339</v>
      </c>
      <c r="B161" s="3" t="s">
        <v>87</v>
      </c>
      <c r="C161" s="3" t="s">
        <v>340</v>
      </c>
      <c r="D161" s="4">
        <f t="shared" ca="1" si="2"/>
        <v>45361</v>
      </c>
      <c r="E161" s="3" t="s">
        <v>35</v>
      </c>
    </row>
    <row r="162" spans="1:5" x14ac:dyDescent="0.3">
      <c r="A162" s="3" t="s">
        <v>281</v>
      </c>
      <c r="B162" s="3" t="s">
        <v>65</v>
      </c>
      <c r="C162" s="3" t="s">
        <v>48</v>
      </c>
      <c r="D162" s="4">
        <f t="shared" ca="1" si="2"/>
        <v>45361</v>
      </c>
      <c r="E162" s="3" t="s">
        <v>27</v>
      </c>
    </row>
    <row r="163" spans="1:5" x14ac:dyDescent="0.3">
      <c r="A163" s="3" t="s">
        <v>341</v>
      </c>
      <c r="B163" s="3" t="s">
        <v>37</v>
      </c>
      <c r="C163" s="3" t="s">
        <v>342</v>
      </c>
      <c r="D163" s="4">
        <f t="shared" ca="1" si="2"/>
        <v>45361</v>
      </c>
      <c r="E163" s="3" t="s">
        <v>27</v>
      </c>
    </row>
    <row r="164" spans="1:5" x14ac:dyDescent="0.3">
      <c r="A164" s="3" t="s">
        <v>343</v>
      </c>
      <c r="B164" s="3" t="s">
        <v>157</v>
      </c>
      <c r="C164" s="3" t="s">
        <v>344</v>
      </c>
      <c r="D164" s="4">
        <f t="shared" ca="1" si="2"/>
        <v>45361</v>
      </c>
      <c r="E164" s="3" t="s">
        <v>27</v>
      </c>
    </row>
    <row r="165" spans="1:5" x14ac:dyDescent="0.3">
      <c r="A165" s="3" t="s">
        <v>345</v>
      </c>
      <c r="B165" s="3" t="s">
        <v>307</v>
      </c>
      <c r="C165" s="3" t="s">
        <v>66</v>
      </c>
      <c r="D165" s="4">
        <f t="shared" ca="1" si="2"/>
        <v>45361</v>
      </c>
      <c r="E165" s="3" t="s">
        <v>31</v>
      </c>
    </row>
    <row r="166" spans="1:5" x14ac:dyDescent="0.3">
      <c r="A166" s="3" t="s">
        <v>346</v>
      </c>
      <c r="B166" s="3" t="s">
        <v>193</v>
      </c>
      <c r="C166" s="3" t="s">
        <v>347</v>
      </c>
      <c r="D166" s="4">
        <f t="shared" ca="1" si="2"/>
        <v>45361</v>
      </c>
      <c r="E166" s="3" t="s">
        <v>39</v>
      </c>
    </row>
    <row r="167" spans="1:5" x14ac:dyDescent="0.3">
      <c r="A167" s="3" t="s">
        <v>348</v>
      </c>
      <c r="B167" s="3" t="s">
        <v>245</v>
      </c>
      <c r="C167" s="3" t="s">
        <v>151</v>
      </c>
      <c r="D167" s="4">
        <f t="shared" ca="1" si="2"/>
        <v>45361</v>
      </c>
      <c r="E167" s="3" t="s">
        <v>60</v>
      </c>
    </row>
    <row r="168" spans="1:5" x14ac:dyDescent="0.3">
      <c r="A168" s="3" t="s">
        <v>349</v>
      </c>
      <c r="B168" s="3" t="s">
        <v>326</v>
      </c>
      <c r="C168" s="3" t="s">
        <v>350</v>
      </c>
      <c r="D168" s="4">
        <f t="shared" ca="1" si="2"/>
        <v>45361</v>
      </c>
      <c r="E168" s="3" t="s">
        <v>60</v>
      </c>
    </row>
    <row r="169" spans="1:5" x14ac:dyDescent="0.3">
      <c r="A169" s="3" t="s">
        <v>314</v>
      </c>
      <c r="B169" s="3" t="s">
        <v>351</v>
      </c>
      <c r="C169" s="3" t="s">
        <v>352</v>
      </c>
      <c r="D169" s="4">
        <f t="shared" ca="1" si="2"/>
        <v>45361</v>
      </c>
      <c r="E169" s="3" t="s">
        <v>56</v>
      </c>
    </row>
    <row r="170" spans="1:5" x14ac:dyDescent="0.3">
      <c r="A170" s="3" t="s">
        <v>353</v>
      </c>
      <c r="B170" s="3" t="s">
        <v>50</v>
      </c>
      <c r="C170" s="3" t="s">
        <v>354</v>
      </c>
      <c r="D170" s="4">
        <f t="shared" ca="1" si="2"/>
        <v>45361</v>
      </c>
      <c r="E170" s="3" t="s">
        <v>60</v>
      </c>
    </row>
    <row r="171" spans="1:5" x14ac:dyDescent="0.3">
      <c r="A171" s="3" t="s">
        <v>355</v>
      </c>
      <c r="B171" s="3" t="s">
        <v>356</v>
      </c>
      <c r="C171" s="3" t="s">
        <v>357</v>
      </c>
      <c r="D171" s="4">
        <f t="shared" ca="1" si="2"/>
        <v>45361</v>
      </c>
      <c r="E171" s="3" t="s">
        <v>56</v>
      </c>
    </row>
    <row r="172" spans="1:5" x14ac:dyDescent="0.3">
      <c r="A172" s="3" t="s">
        <v>358</v>
      </c>
      <c r="B172" s="3" t="s">
        <v>359</v>
      </c>
      <c r="C172" s="3" t="s">
        <v>360</v>
      </c>
      <c r="D172" s="4">
        <f t="shared" ca="1" si="2"/>
        <v>45361</v>
      </c>
      <c r="E172" s="3" t="s">
        <v>56</v>
      </c>
    </row>
    <row r="173" spans="1:5" x14ac:dyDescent="0.3">
      <c r="A173" s="3" t="s">
        <v>172</v>
      </c>
      <c r="B173" s="3" t="s">
        <v>173</v>
      </c>
      <c r="C173" s="3" t="s">
        <v>174</v>
      </c>
      <c r="D173" s="4">
        <f t="shared" ca="1" si="2"/>
        <v>45361</v>
      </c>
      <c r="E173" s="3" t="s">
        <v>39</v>
      </c>
    </row>
    <row r="174" spans="1:5" x14ac:dyDescent="0.3">
      <c r="A174" s="3" t="s">
        <v>213</v>
      </c>
      <c r="B174" s="3" t="s">
        <v>87</v>
      </c>
      <c r="C174" s="3" t="s">
        <v>214</v>
      </c>
      <c r="D174" s="4">
        <f t="shared" ca="1" si="2"/>
        <v>45361</v>
      </c>
      <c r="E174" s="3" t="s">
        <v>27</v>
      </c>
    </row>
    <row r="175" spans="1:5" x14ac:dyDescent="0.3">
      <c r="A175" s="3" t="s">
        <v>112</v>
      </c>
      <c r="B175" s="3" t="s">
        <v>44</v>
      </c>
      <c r="C175" s="3" t="s">
        <v>188</v>
      </c>
      <c r="D175" s="4">
        <f t="shared" ca="1" si="2"/>
        <v>45361</v>
      </c>
      <c r="E175" s="3" t="s">
        <v>27</v>
      </c>
    </row>
    <row r="176" spans="1:5" x14ac:dyDescent="0.3">
      <c r="A176" s="3" t="s">
        <v>361</v>
      </c>
      <c r="B176" s="3" t="s">
        <v>50</v>
      </c>
      <c r="C176" s="3" t="s">
        <v>362</v>
      </c>
      <c r="D176" s="4">
        <f t="shared" ca="1" si="2"/>
        <v>45361</v>
      </c>
      <c r="E176" s="3" t="s">
        <v>39</v>
      </c>
    </row>
    <row r="177" spans="1:5" x14ac:dyDescent="0.3">
      <c r="A177" s="3" t="s">
        <v>363</v>
      </c>
      <c r="B177" s="3" t="s">
        <v>71</v>
      </c>
      <c r="C177" s="3" t="s">
        <v>26</v>
      </c>
      <c r="D177" s="4">
        <f t="shared" ca="1" si="2"/>
        <v>45361</v>
      </c>
      <c r="E177" s="3" t="s">
        <v>56</v>
      </c>
    </row>
    <row r="178" spans="1:5" x14ac:dyDescent="0.3">
      <c r="A178" s="3" t="s">
        <v>364</v>
      </c>
      <c r="B178" s="3" t="s">
        <v>47</v>
      </c>
      <c r="C178" s="3" t="s">
        <v>138</v>
      </c>
      <c r="D178" s="4">
        <f t="shared" ca="1" si="2"/>
        <v>45361</v>
      </c>
      <c r="E178" s="3" t="s">
        <v>35</v>
      </c>
    </row>
    <row r="179" spans="1:5" x14ac:dyDescent="0.3">
      <c r="A179" s="3" t="s">
        <v>61</v>
      </c>
      <c r="B179" s="3" t="s">
        <v>62</v>
      </c>
      <c r="C179" s="3" t="s">
        <v>63</v>
      </c>
      <c r="D179" s="4">
        <f t="shared" ca="1" si="2"/>
        <v>45361</v>
      </c>
      <c r="E179" s="3" t="s">
        <v>39</v>
      </c>
    </row>
    <row r="180" spans="1:5" x14ac:dyDescent="0.3">
      <c r="A180" s="3" t="s">
        <v>247</v>
      </c>
      <c r="B180" s="3" t="s">
        <v>118</v>
      </c>
      <c r="C180" s="3" t="s">
        <v>248</v>
      </c>
      <c r="D180" s="4">
        <f t="shared" ca="1" si="2"/>
        <v>45361</v>
      </c>
      <c r="E180" s="3" t="s">
        <v>35</v>
      </c>
    </row>
    <row r="181" spans="1:5" x14ac:dyDescent="0.3">
      <c r="A181" s="3" t="s">
        <v>365</v>
      </c>
      <c r="B181" s="3" t="s">
        <v>58</v>
      </c>
      <c r="C181" s="3" t="s">
        <v>366</v>
      </c>
      <c r="D181" s="4">
        <f t="shared" ca="1" si="2"/>
        <v>45361</v>
      </c>
      <c r="E181" s="3" t="s">
        <v>39</v>
      </c>
    </row>
    <row r="182" spans="1:5" x14ac:dyDescent="0.3">
      <c r="A182" s="3" t="s">
        <v>367</v>
      </c>
      <c r="B182" s="3" t="s">
        <v>368</v>
      </c>
      <c r="C182" s="3" t="s">
        <v>369</v>
      </c>
      <c r="D182" s="4">
        <f t="shared" ca="1" si="2"/>
        <v>45361</v>
      </c>
      <c r="E182" s="3" t="s">
        <v>39</v>
      </c>
    </row>
    <row r="183" spans="1:5" x14ac:dyDescent="0.3">
      <c r="A183" s="3" t="s">
        <v>279</v>
      </c>
      <c r="B183" s="3" t="s">
        <v>275</v>
      </c>
      <c r="C183" s="3" t="s">
        <v>280</v>
      </c>
      <c r="D183" s="4">
        <f t="shared" ca="1" si="2"/>
        <v>45361</v>
      </c>
      <c r="E183" s="3" t="s">
        <v>39</v>
      </c>
    </row>
    <row r="184" spans="1:5" x14ac:dyDescent="0.3">
      <c r="A184" s="3" t="s">
        <v>370</v>
      </c>
      <c r="B184" s="3" t="s">
        <v>71</v>
      </c>
      <c r="C184" s="3" t="s">
        <v>371</v>
      </c>
      <c r="D184" s="4">
        <f t="shared" ca="1" si="2"/>
        <v>45361</v>
      </c>
      <c r="E184" s="3" t="s">
        <v>60</v>
      </c>
    </row>
    <row r="185" spans="1:5" x14ac:dyDescent="0.3">
      <c r="A185" s="3" t="s">
        <v>311</v>
      </c>
      <c r="B185" s="3" t="s">
        <v>41</v>
      </c>
      <c r="C185" s="3" t="s">
        <v>63</v>
      </c>
      <c r="D185" s="4">
        <f t="shared" ca="1" si="2"/>
        <v>45361</v>
      </c>
      <c r="E185" s="3" t="s">
        <v>35</v>
      </c>
    </row>
    <row r="186" spans="1:5" x14ac:dyDescent="0.3">
      <c r="A186" s="3" t="s">
        <v>372</v>
      </c>
      <c r="B186" s="3" t="s">
        <v>145</v>
      </c>
      <c r="C186" s="3" t="s">
        <v>373</v>
      </c>
      <c r="D186" s="4">
        <f t="shared" ca="1" si="2"/>
        <v>45361</v>
      </c>
      <c r="E186" s="3" t="s">
        <v>39</v>
      </c>
    </row>
    <row r="187" spans="1:5" x14ac:dyDescent="0.3">
      <c r="A187" s="3" t="s">
        <v>374</v>
      </c>
      <c r="B187" s="3" t="s">
        <v>33</v>
      </c>
      <c r="C187" s="3" t="s">
        <v>185</v>
      </c>
      <c r="D187" s="4">
        <f t="shared" ca="1" si="2"/>
        <v>45361</v>
      </c>
      <c r="E187" s="3" t="s">
        <v>35</v>
      </c>
    </row>
    <row r="188" spans="1:5" x14ac:dyDescent="0.3">
      <c r="A188" s="3" t="s">
        <v>89</v>
      </c>
      <c r="B188" s="3" t="s">
        <v>261</v>
      </c>
      <c r="C188" s="3" t="s">
        <v>262</v>
      </c>
      <c r="D188" s="4">
        <f t="shared" ca="1" si="2"/>
        <v>45361</v>
      </c>
      <c r="E188" s="3" t="s">
        <v>39</v>
      </c>
    </row>
    <row r="189" spans="1:5" x14ac:dyDescent="0.3">
      <c r="A189" s="3" t="s">
        <v>375</v>
      </c>
      <c r="B189" s="3" t="s">
        <v>25</v>
      </c>
      <c r="C189" s="3" t="s">
        <v>158</v>
      </c>
      <c r="D189" s="4">
        <f t="shared" ca="1" si="2"/>
        <v>45361</v>
      </c>
      <c r="E189" s="3" t="s">
        <v>39</v>
      </c>
    </row>
    <row r="190" spans="1:5" x14ac:dyDescent="0.3">
      <c r="A190" s="3" t="s">
        <v>175</v>
      </c>
      <c r="B190" s="3" t="s">
        <v>47</v>
      </c>
      <c r="C190" s="3" t="s">
        <v>376</v>
      </c>
      <c r="D190" s="4">
        <f t="shared" ca="1" si="2"/>
        <v>45361</v>
      </c>
      <c r="E190" s="3" t="s">
        <v>31</v>
      </c>
    </row>
    <row r="191" spans="1:5" x14ac:dyDescent="0.3">
      <c r="A191" s="3" t="s">
        <v>374</v>
      </c>
      <c r="B191" s="3" t="s">
        <v>33</v>
      </c>
      <c r="C191" s="3" t="s">
        <v>185</v>
      </c>
      <c r="D191" s="4">
        <f t="shared" ca="1" si="2"/>
        <v>45361</v>
      </c>
      <c r="E191" s="3" t="s">
        <v>35</v>
      </c>
    </row>
    <row r="192" spans="1:5" x14ac:dyDescent="0.3">
      <c r="A192" s="3" t="s">
        <v>377</v>
      </c>
      <c r="B192" s="3" t="s">
        <v>50</v>
      </c>
      <c r="C192" s="3" t="s">
        <v>378</v>
      </c>
      <c r="D192" s="4">
        <f t="shared" ref="D192:D262" ca="1" si="3">TODAY()-646</f>
        <v>45391</v>
      </c>
      <c r="E192" s="3" t="s">
        <v>60</v>
      </c>
    </row>
    <row r="193" spans="1:5" x14ac:dyDescent="0.3">
      <c r="A193" s="3" t="s">
        <v>379</v>
      </c>
      <c r="B193" s="3" t="s">
        <v>65</v>
      </c>
      <c r="C193" s="3" t="s">
        <v>380</v>
      </c>
      <c r="D193" s="4">
        <f t="shared" ca="1" si="3"/>
        <v>45391</v>
      </c>
      <c r="E193" s="3" t="s">
        <v>39</v>
      </c>
    </row>
    <row r="194" spans="1:5" x14ac:dyDescent="0.3">
      <c r="A194" s="3" t="s">
        <v>381</v>
      </c>
      <c r="B194" s="3" t="s">
        <v>25</v>
      </c>
      <c r="C194" s="3" t="s">
        <v>382</v>
      </c>
      <c r="D194" s="4">
        <f t="shared" ca="1" si="3"/>
        <v>45391</v>
      </c>
      <c r="E194" s="3" t="s">
        <v>35</v>
      </c>
    </row>
    <row r="195" spans="1:5" x14ac:dyDescent="0.3">
      <c r="A195" s="3" t="s">
        <v>170</v>
      </c>
      <c r="B195" s="3" t="s">
        <v>25</v>
      </c>
      <c r="C195" s="3" t="s">
        <v>171</v>
      </c>
      <c r="D195" s="4">
        <f t="shared" ca="1" si="3"/>
        <v>45391</v>
      </c>
      <c r="E195" s="3" t="s">
        <v>35</v>
      </c>
    </row>
    <row r="196" spans="1:5" x14ac:dyDescent="0.3">
      <c r="A196" s="3" t="s">
        <v>383</v>
      </c>
      <c r="B196" s="3" t="s">
        <v>33</v>
      </c>
      <c r="C196" s="3" t="s">
        <v>384</v>
      </c>
      <c r="D196" s="4">
        <f t="shared" ca="1" si="3"/>
        <v>45391</v>
      </c>
      <c r="E196" s="3" t="s">
        <v>60</v>
      </c>
    </row>
    <row r="197" spans="1:5" x14ac:dyDescent="0.3">
      <c r="A197" s="3" t="s">
        <v>355</v>
      </c>
      <c r="B197" s="3" t="s">
        <v>356</v>
      </c>
      <c r="C197" s="3" t="s">
        <v>357</v>
      </c>
      <c r="D197" s="4">
        <f t="shared" ca="1" si="3"/>
        <v>45391</v>
      </c>
      <c r="E197" s="3" t="s">
        <v>56</v>
      </c>
    </row>
    <row r="198" spans="1:5" x14ac:dyDescent="0.3">
      <c r="A198" s="3" t="s">
        <v>385</v>
      </c>
      <c r="B198" s="3" t="s">
        <v>87</v>
      </c>
      <c r="C198" s="3" t="s">
        <v>386</v>
      </c>
      <c r="D198" s="4">
        <f t="shared" ca="1" si="3"/>
        <v>45391</v>
      </c>
      <c r="E198" s="3" t="s">
        <v>60</v>
      </c>
    </row>
    <row r="199" spans="1:5" x14ac:dyDescent="0.3">
      <c r="A199" s="3" t="s">
        <v>387</v>
      </c>
      <c r="B199" s="3" t="s">
        <v>25</v>
      </c>
      <c r="C199" s="3" t="s">
        <v>108</v>
      </c>
      <c r="D199" s="4">
        <f t="shared" ca="1" si="3"/>
        <v>45391</v>
      </c>
      <c r="E199" s="3" t="s">
        <v>60</v>
      </c>
    </row>
    <row r="200" spans="1:5" x14ac:dyDescent="0.3">
      <c r="A200" s="3" t="s">
        <v>388</v>
      </c>
      <c r="B200" s="3" t="s">
        <v>157</v>
      </c>
      <c r="C200" s="3" t="s">
        <v>389</v>
      </c>
      <c r="D200" s="4">
        <f t="shared" ca="1" si="3"/>
        <v>45391</v>
      </c>
      <c r="E200" s="3" t="s">
        <v>56</v>
      </c>
    </row>
    <row r="201" spans="1:5" x14ac:dyDescent="0.3">
      <c r="A201" s="3" t="s">
        <v>288</v>
      </c>
      <c r="B201" s="3" t="s">
        <v>211</v>
      </c>
      <c r="C201" s="3" t="s">
        <v>390</v>
      </c>
      <c r="D201" s="4">
        <f t="shared" ca="1" si="3"/>
        <v>45391</v>
      </c>
      <c r="E201" s="3" t="s">
        <v>35</v>
      </c>
    </row>
    <row r="202" spans="1:5" x14ac:dyDescent="0.3">
      <c r="A202" s="3" t="s">
        <v>391</v>
      </c>
      <c r="B202" s="3" t="s">
        <v>392</v>
      </c>
      <c r="C202" s="3" t="s">
        <v>241</v>
      </c>
      <c r="D202" s="4">
        <f t="shared" ca="1" si="3"/>
        <v>45391</v>
      </c>
      <c r="E202" s="3" t="s">
        <v>39</v>
      </c>
    </row>
    <row r="203" spans="1:5" x14ac:dyDescent="0.3">
      <c r="A203" s="3" t="s">
        <v>393</v>
      </c>
      <c r="B203" s="3" t="s">
        <v>74</v>
      </c>
      <c r="C203" s="3" t="s">
        <v>394</v>
      </c>
      <c r="D203" s="4">
        <f t="shared" ca="1" si="3"/>
        <v>45391</v>
      </c>
      <c r="E203" s="3" t="s">
        <v>56</v>
      </c>
    </row>
    <row r="204" spans="1:5" x14ac:dyDescent="0.3">
      <c r="A204" s="3" t="s">
        <v>395</v>
      </c>
      <c r="B204" s="3" t="s">
        <v>37</v>
      </c>
      <c r="C204" s="3" t="s">
        <v>396</v>
      </c>
      <c r="D204" s="4">
        <f t="shared" ca="1" si="3"/>
        <v>45391</v>
      </c>
      <c r="E204" s="3" t="s">
        <v>39</v>
      </c>
    </row>
    <row r="205" spans="1:5" x14ac:dyDescent="0.3">
      <c r="A205" s="3" t="s">
        <v>43</v>
      </c>
      <c r="B205" s="3" t="s">
        <v>44</v>
      </c>
      <c r="C205" s="3" t="s">
        <v>45</v>
      </c>
      <c r="D205" s="4">
        <f t="shared" ca="1" si="3"/>
        <v>45391</v>
      </c>
      <c r="E205" s="3" t="s">
        <v>35</v>
      </c>
    </row>
    <row r="206" spans="1:5" x14ac:dyDescent="0.3">
      <c r="A206" s="3" t="s">
        <v>339</v>
      </c>
      <c r="B206" s="3" t="s">
        <v>397</v>
      </c>
      <c r="C206" s="3" t="s">
        <v>386</v>
      </c>
      <c r="D206" s="4">
        <f t="shared" ca="1" si="3"/>
        <v>45391</v>
      </c>
      <c r="E206" s="3" t="s">
        <v>60</v>
      </c>
    </row>
    <row r="207" spans="1:5" x14ac:dyDescent="0.3">
      <c r="A207" s="3" t="s">
        <v>398</v>
      </c>
      <c r="B207" s="3" t="s">
        <v>93</v>
      </c>
      <c r="C207" s="3" t="s">
        <v>399</v>
      </c>
      <c r="D207" s="4">
        <f t="shared" ca="1" si="3"/>
        <v>45391</v>
      </c>
      <c r="E207" s="3" t="s">
        <v>39</v>
      </c>
    </row>
    <row r="208" spans="1:5" x14ac:dyDescent="0.3">
      <c r="A208" s="3" t="s">
        <v>400</v>
      </c>
      <c r="B208" s="3" t="s">
        <v>37</v>
      </c>
      <c r="C208" s="3" t="s">
        <v>401</v>
      </c>
      <c r="D208" s="4">
        <f t="shared" ca="1" si="3"/>
        <v>45391</v>
      </c>
      <c r="E208" s="3" t="s">
        <v>35</v>
      </c>
    </row>
    <row r="209" spans="1:5" x14ac:dyDescent="0.3">
      <c r="A209" s="3" t="s">
        <v>402</v>
      </c>
      <c r="B209" s="3" t="s">
        <v>62</v>
      </c>
      <c r="C209" s="3" t="s">
        <v>403</v>
      </c>
      <c r="D209" s="4">
        <f t="shared" ca="1" si="3"/>
        <v>45391</v>
      </c>
      <c r="E209" s="3" t="s">
        <v>39</v>
      </c>
    </row>
    <row r="210" spans="1:5" x14ac:dyDescent="0.3">
      <c r="A210" s="3" t="s">
        <v>404</v>
      </c>
      <c r="B210" s="3" t="s">
        <v>118</v>
      </c>
      <c r="C210" s="3" t="s">
        <v>405</v>
      </c>
      <c r="D210" s="4">
        <f t="shared" ca="1" si="3"/>
        <v>45391</v>
      </c>
      <c r="E210" s="3" t="s">
        <v>56</v>
      </c>
    </row>
    <row r="211" spans="1:5" x14ac:dyDescent="0.3">
      <c r="A211" s="3" t="s">
        <v>406</v>
      </c>
      <c r="B211" s="3" t="s">
        <v>44</v>
      </c>
      <c r="C211" s="3" t="s">
        <v>340</v>
      </c>
      <c r="D211" s="4">
        <f t="shared" ca="1" si="3"/>
        <v>45391</v>
      </c>
      <c r="E211" s="3" t="s">
        <v>60</v>
      </c>
    </row>
    <row r="212" spans="1:5" x14ac:dyDescent="0.3">
      <c r="A212" s="3" t="s">
        <v>407</v>
      </c>
      <c r="B212" s="3" t="s">
        <v>87</v>
      </c>
      <c r="C212" s="3" t="s">
        <v>408</v>
      </c>
      <c r="D212" s="4">
        <f t="shared" ca="1" si="3"/>
        <v>45391</v>
      </c>
      <c r="E212" s="3" t="s">
        <v>39</v>
      </c>
    </row>
    <row r="213" spans="1:5" x14ac:dyDescent="0.3">
      <c r="A213" s="3" t="s">
        <v>186</v>
      </c>
      <c r="B213" s="3" t="s">
        <v>71</v>
      </c>
      <c r="C213" s="3" t="s">
        <v>187</v>
      </c>
      <c r="D213" s="4">
        <f t="shared" ca="1" si="3"/>
        <v>45391</v>
      </c>
      <c r="E213" s="3" t="s">
        <v>39</v>
      </c>
    </row>
    <row r="214" spans="1:5" x14ac:dyDescent="0.3">
      <c r="A214" s="3" t="s">
        <v>409</v>
      </c>
      <c r="B214" s="3" t="s">
        <v>392</v>
      </c>
      <c r="C214" s="3" t="s">
        <v>410</v>
      </c>
      <c r="D214" s="4">
        <f t="shared" ca="1" si="3"/>
        <v>45391</v>
      </c>
      <c r="E214" s="3" t="s">
        <v>35</v>
      </c>
    </row>
    <row r="215" spans="1:5" x14ac:dyDescent="0.3">
      <c r="A215" s="3" t="s">
        <v>199</v>
      </c>
      <c r="B215" s="3" t="s">
        <v>157</v>
      </c>
      <c r="C215" s="3" t="s">
        <v>200</v>
      </c>
      <c r="D215" s="4">
        <f t="shared" ca="1" si="3"/>
        <v>45391</v>
      </c>
      <c r="E215" s="3" t="s">
        <v>60</v>
      </c>
    </row>
    <row r="216" spans="1:5" x14ac:dyDescent="0.3">
      <c r="A216" s="3" t="s">
        <v>375</v>
      </c>
      <c r="B216" s="3" t="s">
        <v>50</v>
      </c>
      <c r="C216" s="3" t="s">
        <v>411</v>
      </c>
      <c r="D216" s="4">
        <f t="shared" ca="1" si="3"/>
        <v>45391</v>
      </c>
      <c r="E216" s="3" t="s">
        <v>31</v>
      </c>
    </row>
    <row r="217" spans="1:5" x14ac:dyDescent="0.3">
      <c r="A217" s="3" t="s">
        <v>412</v>
      </c>
      <c r="B217" s="3" t="s">
        <v>65</v>
      </c>
      <c r="C217" s="3" t="s">
        <v>413</v>
      </c>
      <c r="D217" s="4">
        <f t="shared" ca="1" si="3"/>
        <v>45391</v>
      </c>
      <c r="E217" s="3" t="s">
        <v>39</v>
      </c>
    </row>
    <row r="218" spans="1:5" x14ac:dyDescent="0.3">
      <c r="A218" s="3" t="s">
        <v>414</v>
      </c>
      <c r="B218" s="3" t="s">
        <v>65</v>
      </c>
      <c r="C218" s="3" t="s">
        <v>415</v>
      </c>
      <c r="D218" s="4">
        <f t="shared" ca="1" si="3"/>
        <v>45391</v>
      </c>
      <c r="E218" s="3" t="s">
        <v>35</v>
      </c>
    </row>
    <row r="219" spans="1:5" x14ac:dyDescent="0.3">
      <c r="A219" s="3" t="s">
        <v>416</v>
      </c>
      <c r="B219" s="3" t="s">
        <v>93</v>
      </c>
      <c r="C219" s="3" t="s">
        <v>417</v>
      </c>
      <c r="D219" s="4">
        <f t="shared" ca="1" si="3"/>
        <v>45391</v>
      </c>
      <c r="E219" s="3" t="s">
        <v>60</v>
      </c>
    </row>
    <row r="220" spans="1:5" x14ac:dyDescent="0.3">
      <c r="A220" s="3" t="s">
        <v>164</v>
      </c>
      <c r="B220" s="3" t="s">
        <v>165</v>
      </c>
      <c r="C220" s="3" t="s">
        <v>166</v>
      </c>
      <c r="D220" s="4">
        <f t="shared" ca="1" si="3"/>
        <v>45391</v>
      </c>
      <c r="E220" s="3" t="s">
        <v>31</v>
      </c>
    </row>
    <row r="221" spans="1:5" x14ac:dyDescent="0.3">
      <c r="A221" s="3" t="s">
        <v>97</v>
      </c>
      <c r="B221" s="3" t="s">
        <v>193</v>
      </c>
      <c r="C221" s="3" t="s">
        <v>303</v>
      </c>
      <c r="D221" s="4">
        <f t="shared" ca="1" si="3"/>
        <v>45391</v>
      </c>
      <c r="E221" s="3" t="s">
        <v>35</v>
      </c>
    </row>
    <row r="222" spans="1:5" x14ac:dyDescent="0.3">
      <c r="A222" s="3" t="s">
        <v>418</v>
      </c>
      <c r="B222" s="3" t="s">
        <v>47</v>
      </c>
      <c r="C222" s="3" t="s">
        <v>419</v>
      </c>
      <c r="D222" s="4">
        <f t="shared" ca="1" si="3"/>
        <v>45391</v>
      </c>
      <c r="E222" s="3" t="s">
        <v>60</v>
      </c>
    </row>
    <row r="223" spans="1:5" x14ac:dyDescent="0.3">
      <c r="A223" s="3" t="s">
        <v>420</v>
      </c>
      <c r="B223" s="3" t="s">
        <v>193</v>
      </c>
      <c r="C223" s="3" t="s">
        <v>421</v>
      </c>
      <c r="D223" s="4">
        <f t="shared" ca="1" si="3"/>
        <v>45391</v>
      </c>
      <c r="E223" s="3" t="s">
        <v>60</v>
      </c>
    </row>
    <row r="224" spans="1:5" x14ac:dyDescent="0.3">
      <c r="A224" s="3" t="s">
        <v>128</v>
      </c>
      <c r="B224" s="3" t="s">
        <v>87</v>
      </c>
      <c r="C224" s="3" t="s">
        <v>129</v>
      </c>
      <c r="D224" s="4">
        <f t="shared" ca="1" si="3"/>
        <v>45391</v>
      </c>
      <c r="E224" s="3" t="s">
        <v>27</v>
      </c>
    </row>
    <row r="225" spans="1:5" x14ac:dyDescent="0.3">
      <c r="A225" s="3" t="s">
        <v>422</v>
      </c>
      <c r="B225" s="3" t="s">
        <v>423</v>
      </c>
      <c r="C225" s="3" t="s">
        <v>424</v>
      </c>
      <c r="D225" s="4">
        <f t="shared" ca="1" si="3"/>
        <v>45391</v>
      </c>
      <c r="E225" s="3" t="s">
        <v>60</v>
      </c>
    </row>
    <row r="226" spans="1:5" x14ac:dyDescent="0.3">
      <c r="A226" s="3" t="s">
        <v>83</v>
      </c>
      <c r="B226" s="3" t="s">
        <v>84</v>
      </c>
      <c r="C226" s="3" t="s">
        <v>85</v>
      </c>
      <c r="D226" s="4">
        <f t="shared" ca="1" si="3"/>
        <v>45391</v>
      </c>
      <c r="E226" s="3" t="s">
        <v>27</v>
      </c>
    </row>
    <row r="227" spans="1:5" x14ac:dyDescent="0.3">
      <c r="A227" s="3" t="s">
        <v>249</v>
      </c>
      <c r="B227" s="3" t="s">
        <v>193</v>
      </c>
      <c r="C227" s="3" t="s">
        <v>250</v>
      </c>
      <c r="D227" s="4">
        <f t="shared" ca="1" si="3"/>
        <v>45391</v>
      </c>
      <c r="E227" s="3" t="s">
        <v>39</v>
      </c>
    </row>
    <row r="228" spans="1:5" x14ac:dyDescent="0.3">
      <c r="A228" s="3" t="s">
        <v>425</v>
      </c>
      <c r="B228" s="3" t="s">
        <v>165</v>
      </c>
      <c r="C228" s="3" t="s">
        <v>426</v>
      </c>
      <c r="D228" s="4">
        <f t="shared" ca="1" si="3"/>
        <v>45391</v>
      </c>
      <c r="E228" s="3" t="s">
        <v>39</v>
      </c>
    </row>
    <row r="229" spans="1:5" x14ac:dyDescent="0.3">
      <c r="A229" s="3" t="s">
        <v>132</v>
      </c>
      <c r="B229" s="3" t="s">
        <v>133</v>
      </c>
      <c r="C229" s="3" t="s">
        <v>134</v>
      </c>
      <c r="D229" s="4">
        <f t="shared" ca="1" si="3"/>
        <v>45391</v>
      </c>
      <c r="E229" s="3" t="s">
        <v>60</v>
      </c>
    </row>
    <row r="230" spans="1:5" x14ac:dyDescent="0.3">
      <c r="A230" s="3" t="s">
        <v>418</v>
      </c>
      <c r="B230" s="3" t="s">
        <v>47</v>
      </c>
      <c r="C230" s="3" t="s">
        <v>419</v>
      </c>
      <c r="D230" s="4">
        <f t="shared" ca="1" si="3"/>
        <v>45391</v>
      </c>
      <c r="E230" s="3" t="s">
        <v>60</v>
      </c>
    </row>
    <row r="231" spans="1:5" x14ac:dyDescent="0.3">
      <c r="A231" s="3" t="s">
        <v>367</v>
      </c>
      <c r="B231" s="3" t="s">
        <v>368</v>
      </c>
      <c r="C231" s="3" t="s">
        <v>369</v>
      </c>
      <c r="D231" s="4">
        <f t="shared" ca="1" si="3"/>
        <v>45391</v>
      </c>
      <c r="E231" s="3" t="s">
        <v>39</v>
      </c>
    </row>
    <row r="232" spans="1:5" x14ac:dyDescent="0.3">
      <c r="A232" s="3" t="s">
        <v>40</v>
      </c>
      <c r="B232" s="3" t="s">
        <v>162</v>
      </c>
      <c r="C232" s="3" t="s">
        <v>427</v>
      </c>
      <c r="D232" s="4">
        <f t="shared" ca="1" si="3"/>
        <v>45391</v>
      </c>
      <c r="E232" s="3" t="s">
        <v>56</v>
      </c>
    </row>
    <row r="233" spans="1:5" x14ac:dyDescent="0.3">
      <c r="A233" s="3" t="s">
        <v>425</v>
      </c>
      <c r="B233" s="3" t="s">
        <v>165</v>
      </c>
      <c r="C233" s="3" t="s">
        <v>426</v>
      </c>
      <c r="D233" s="4">
        <f t="shared" ca="1" si="3"/>
        <v>45391</v>
      </c>
      <c r="E233" s="3" t="s">
        <v>39</v>
      </c>
    </row>
    <row r="234" spans="1:5" x14ac:dyDescent="0.3">
      <c r="A234" s="3" t="s">
        <v>428</v>
      </c>
      <c r="B234" s="3" t="s">
        <v>87</v>
      </c>
      <c r="C234" s="3" t="s">
        <v>429</v>
      </c>
      <c r="D234" s="4">
        <f t="shared" ca="1" si="3"/>
        <v>45391</v>
      </c>
      <c r="E234" s="3" t="s">
        <v>27</v>
      </c>
    </row>
    <row r="235" spans="1:5" x14ac:dyDescent="0.3">
      <c r="A235" s="3" t="s">
        <v>428</v>
      </c>
      <c r="B235" s="3" t="s">
        <v>87</v>
      </c>
      <c r="C235" s="3" t="s">
        <v>429</v>
      </c>
      <c r="D235" s="4">
        <f t="shared" ca="1" si="3"/>
        <v>45391</v>
      </c>
      <c r="E235" s="3" t="s">
        <v>27</v>
      </c>
    </row>
    <row r="236" spans="1:5" x14ac:dyDescent="0.3">
      <c r="A236" s="3" t="s">
        <v>32</v>
      </c>
      <c r="B236" s="3" t="s">
        <v>33</v>
      </c>
      <c r="C236" s="3" t="s">
        <v>34</v>
      </c>
      <c r="D236" s="4">
        <f t="shared" ca="1" si="3"/>
        <v>45391</v>
      </c>
      <c r="E236" s="3" t="s">
        <v>35</v>
      </c>
    </row>
    <row r="237" spans="1:5" x14ac:dyDescent="0.3">
      <c r="A237" s="3" t="s">
        <v>430</v>
      </c>
      <c r="B237" s="3" t="s">
        <v>212</v>
      </c>
      <c r="C237" s="3" t="s">
        <v>431</v>
      </c>
      <c r="D237" s="4">
        <f t="shared" ca="1" si="3"/>
        <v>45391</v>
      </c>
      <c r="E237" s="3" t="s">
        <v>27</v>
      </c>
    </row>
    <row r="238" spans="1:5" x14ac:dyDescent="0.3">
      <c r="A238" s="3" t="s">
        <v>335</v>
      </c>
      <c r="B238" s="3" t="s">
        <v>118</v>
      </c>
      <c r="C238" s="3" t="s">
        <v>432</v>
      </c>
      <c r="D238" s="4">
        <f t="shared" ca="1" si="3"/>
        <v>45391</v>
      </c>
      <c r="E238" s="3" t="s">
        <v>60</v>
      </c>
    </row>
    <row r="239" spans="1:5" x14ac:dyDescent="0.3">
      <c r="A239" s="3" t="s">
        <v>433</v>
      </c>
      <c r="B239" s="3" t="s">
        <v>65</v>
      </c>
      <c r="C239" s="3" t="s">
        <v>434</v>
      </c>
      <c r="D239" s="4">
        <f t="shared" ca="1" si="3"/>
        <v>45391</v>
      </c>
      <c r="E239" s="3" t="s">
        <v>39</v>
      </c>
    </row>
    <row r="240" spans="1:5" x14ac:dyDescent="0.3">
      <c r="A240" s="3" t="s">
        <v>435</v>
      </c>
      <c r="B240" s="3" t="s">
        <v>65</v>
      </c>
      <c r="C240" s="3" t="s">
        <v>436</v>
      </c>
      <c r="D240" s="4">
        <f t="shared" ca="1" si="3"/>
        <v>45391</v>
      </c>
      <c r="E240" s="3" t="s">
        <v>31</v>
      </c>
    </row>
    <row r="241" spans="1:5" x14ac:dyDescent="0.3">
      <c r="A241" s="3" t="s">
        <v>437</v>
      </c>
      <c r="B241" s="3" t="s">
        <v>62</v>
      </c>
      <c r="C241" s="3" t="s">
        <v>438</v>
      </c>
      <c r="D241" s="4">
        <f t="shared" ca="1" si="3"/>
        <v>45391</v>
      </c>
      <c r="E241" s="3" t="s">
        <v>60</v>
      </c>
    </row>
    <row r="242" spans="1:5" x14ac:dyDescent="0.3">
      <c r="A242" s="3" t="s">
        <v>439</v>
      </c>
      <c r="B242" s="3" t="s">
        <v>65</v>
      </c>
      <c r="C242" s="3" t="s">
        <v>440</v>
      </c>
      <c r="D242" s="4">
        <f t="shared" ca="1" si="3"/>
        <v>45391</v>
      </c>
      <c r="E242" s="3" t="s">
        <v>27</v>
      </c>
    </row>
    <row r="243" spans="1:5" x14ac:dyDescent="0.3">
      <c r="A243" s="3" t="s">
        <v>395</v>
      </c>
      <c r="B243" s="3" t="s">
        <v>37</v>
      </c>
      <c r="C243" s="3" t="s">
        <v>396</v>
      </c>
      <c r="D243" s="4">
        <f t="shared" ca="1" si="3"/>
        <v>45391</v>
      </c>
      <c r="E243" s="3" t="s">
        <v>39</v>
      </c>
    </row>
    <row r="244" spans="1:5" x14ac:dyDescent="0.3">
      <c r="A244" s="3" t="s">
        <v>441</v>
      </c>
      <c r="B244" s="3" t="s">
        <v>442</v>
      </c>
      <c r="C244" s="3" t="s">
        <v>350</v>
      </c>
      <c r="D244" s="4">
        <f t="shared" ca="1" si="3"/>
        <v>45391</v>
      </c>
      <c r="E244" s="3" t="s">
        <v>39</v>
      </c>
    </row>
    <row r="245" spans="1:5" x14ac:dyDescent="0.3">
      <c r="A245" s="3" t="s">
        <v>288</v>
      </c>
      <c r="B245" s="3" t="s">
        <v>211</v>
      </c>
      <c r="C245" s="3" t="s">
        <v>390</v>
      </c>
      <c r="D245" s="4">
        <f t="shared" ca="1" si="3"/>
        <v>45391</v>
      </c>
      <c r="E245" s="3" t="s">
        <v>35</v>
      </c>
    </row>
    <row r="246" spans="1:5" x14ac:dyDescent="0.3">
      <c r="A246" s="3" t="s">
        <v>301</v>
      </c>
      <c r="B246" s="3" t="s">
        <v>165</v>
      </c>
      <c r="C246" s="3" t="s">
        <v>302</v>
      </c>
      <c r="D246" s="4">
        <f t="shared" ca="1" si="3"/>
        <v>45391</v>
      </c>
      <c r="E246" s="3" t="s">
        <v>60</v>
      </c>
    </row>
    <row r="247" spans="1:5" x14ac:dyDescent="0.3">
      <c r="A247" s="3" t="s">
        <v>443</v>
      </c>
      <c r="B247" s="3" t="s">
        <v>368</v>
      </c>
      <c r="C247" s="3" t="s">
        <v>444</v>
      </c>
      <c r="D247" s="4">
        <f t="shared" ca="1" si="3"/>
        <v>45391</v>
      </c>
      <c r="E247" s="3" t="s">
        <v>35</v>
      </c>
    </row>
    <row r="248" spans="1:5" x14ac:dyDescent="0.3">
      <c r="A248" s="3" t="s">
        <v>445</v>
      </c>
      <c r="B248" s="3" t="s">
        <v>446</v>
      </c>
      <c r="C248" s="3" t="s">
        <v>447</v>
      </c>
      <c r="D248" s="4">
        <f t="shared" ca="1" si="3"/>
        <v>45391</v>
      </c>
      <c r="E248" s="3" t="s">
        <v>60</v>
      </c>
    </row>
    <row r="249" spans="1:5" x14ac:dyDescent="0.3">
      <c r="A249" s="3" t="s">
        <v>448</v>
      </c>
      <c r="B249" s="3" t="s">
        <v>74</v>
      </c>
      <c r="C249" s="3" t="s">
        <v>449</v>
      </c>
      <c r="D249" s="4">
        <f t="shared" ca="1" si="3"/>
        <v>45391</v>
      </c>
      <c r="E249" s="3" t="s">
        <v>35</v>
      </c>
    </row>
    <row r="250" spans="1:5" x14ac:dyDescent="0.3">
      <c r="A250" s="3" t="s">
        <v>450</v>
      </c>
      <c r="B250" s="3" t="s">
        <v>326</v>
      </c>
      <c r="C250" s="3" t="s">
        <v>451</v>
      </c>
      <c r="D250" s="4">
        <f t="shared" ca="1" si="3"/>
        <v>45391</v>
      </c>
      <c r="E250" s="3" t="s">
        <v>35</v>
      </c>
    </row>
    <row r="251" spans="1:5" x14ac:dyDescent="0.3">
      <c r="A251" s="3" t="s">
        <v>106</v>
      </c>
      <c r="B251" s="3" t="s">
        <v>65</v>
      </c>
      <c r="C251" s="3" t="s">
        <v>262</v>
      </c>
      <c r="D251" s="4">
        <f t="shared" ca="1" si="3"/>
        <v>45391</v>
      </c>
      <c r="E251" s="3" t="s">
        <v>60</v>
      </c>
    </row>
    <row r="252" spans="1:5" x14ac:dyDescent="0.3">
      <c r="A252" s="3" t="s">
        <v>452</v>
      </c>
      <c r="B252" s="3" t="s">
        <v>453</v>
      </c>
      <c r="C252" s="3" t="s">
        <v>454</v>
      </c>
      <c r="D252" s="4">
        <f t="shared" ca="1" si="3"/>
        <v>45391</v>
      </c>
      <c r="E252" s="3" t="s">
        <v>35</v>
      </c>
    </row>
    <row r="253" spans="1:5" x14ac:dyDescent="0.3">
      <c r="A253" s="3" t="s">
        <v>197</v>
      </c>
      <c r="B253" s="3" t="s">
        <v>37</v>
      </c>
      <c r="C253" s="3" t="s">
        <v>198</v>
      </c>
      <c r="D253" s="4">
        <f t="shared" ca="1" si="3"/>
        <v>45391</v>
      </c>
      <c r="E253" s="3" t="s">
        <v>60</v>
      </c>
    </row>
    <row r="254" spans="1:5" x14ac:dyDescent="0.3">
      <c r="A254" s="3" t="s">
        <v>256</v>
      </c>
      <c r="B254" s="3" t="s">
        <v>257</v>
      </c>
      <c r="C254" s="3" t="s">
        <v>258</v>
      </c>
      <c r="D254" s="4">
        <f t="shared" ca="1" si="3"/>
        <v>45391</v>
      </c>
      <c r="E254" s="3" t="s">
        <v>60</v>
      </c>
    </row>
    <row r="255" spans="1:5" x14ac:dyDescent="0.3">
      <c r="A255" s="3" t="s">
        <v>455</v>
      </c>
      <c r="B255" s="3" t="s">
        <v>50</v>
      </c>
      <c r="C255" s="3" t="s">
        <v>456</v>
      </c>
      <c r="D255" s="4">
        <f t="shared" ca="1" si="3"/>
        <v>45391</v>
      </c>
      <c r="E255" s="3" t="s">
        <v>39</v>
      </c>
    </row>
    <row r="256" spans="1:5" x14ac:dyDescent="0.3">
      <c r="A256" s="3" t="s">
        <v>457</v>
      </c>
      <c r="B256" s="3" t="s">
        <v>298</v>
      </c>
      <c r="C256" s="3" t="s">
        <v>458</v>
      </c>
      <c r="D256" s="4">
        <f t="shared" ca="1" si="3"/>
        <v>45391</v>
      </c>
      <c r="E256" s="3" t="s">
        <v>35</v>
      </c>
    </row>
    <row r="257" spans="1:5" x14ac:dyDescent="0.3">
      <c r="A257" s="3" t="s">
        <v>459</v>
      </c>
      <c r="B257" s="3" t="s">
        <v>25</v>
      </c>
      <c r="C257" s="3" t="s">
        <v>460</v>
      </c>
      <c r="D257" s="4">
        <f t="shared" ca="1" si="3"/>
        <v>45391</v>
      </c>
      <c r="E257" s="3" t="s">
        <v>39</v>
      </c>
    </row>
    <row r="258" spans="1:5" x14ac:dyDescent="0.3">
      <c r="A258" s="3" t="s">
        <v>274</v>
      </c>
      <c r="B258" s="3" t="s">
        <v>275</v>
      </c>
      <c r="C258" s="3" t="s">
        <v>91</v>
      </c>
      <c r="D258" s="4">
        <f t="shared" ca="1" si="3"/>
        <v>45391</v>
      </c>
      <c r="E258" s="3" t="s">
        <v>39</v>
      </c>
    </row>
    <row r="259" spans="1:5" x14ac:dyDescent="0.3">
      <c r="A259" s="3" t="s">
        <v>461</v>
      </c>
      <c r="B259" s="3" t="s">
        <v>140</v>
      </c>
      <c r="C259" s="3" t="s">
        <v>431</v>
      </c>
      <c r="D259" s="4">
        <f t="shared" ca="1" si="3"/>
        <v>45391</v>
      </c>
      <c r="E259" s="3" t="s">
        <v>39</v>
      </c>
    </row>
    <row r="260" spans="1:5" x14ac:dyDescent="0.3">
      <c r="A260" s="3" t="s">
        <v>234</v>
      </c>
      <c r="B260" s="3" t="s">
        <v>87</v>
      </c>
      <c r="C260" s="3" t="s">
        <v>235</v>
      </c>
      <c r="D260" s="4">
        <f t="shared" ca="1" si="3"/>
        <v>45391</v>
      </c>
      <c r="E260" s="3" t="s">
        <v>35</v>
      </c>
    </row>
    <row r="261" spans="1:5" x14ac:dyDescent="0.3">
      <c r="A261" s="3" t="s">
        <v>462</v>
      </c>
      <c r="B261" s="3" t="s">
        <v>359</v>
      </c>
      <c r="C261" s="3" t="s">
        <v>463</v>
      </c>
      <c r="D261" s="4">
        <f t="shared" ca="1" si="3"/>
        <v>45391</v>
      </c>
      <c r="E261" s="3" t="s">
        <v>39</v>
      </c>
    </row>
    <row r="262" spans="1:5" x14ac:dyDescent="0.3">
      <c r="A262" s="3" t="s">
        <v>464</v>
      </c>
      <c r="B262" s="3" t="s">
        <v>93</v>
      </c>
      <c r="C262" s="3" t="s">
        <v>465</v>
      </c>
      <c r="D262" s="4">
        <f t="shared" ca="1" si="3"/>
        <v>45391</v>
      </c>
      <c r="E262" s="3" t="s">
        <v>39</v>
      </c>
    </row>
    <row r="263" spans="1:5" x14ac:dyDescent="0.3">
      <c r="A263" s="3" t="s">
        <v>466</v>
      </c>
      <c r="B263" s="3" t="s">
        <v>65</v>
      </c>
      <c r="C263" s="3" t="s">
        <v>467</v>
      </c>
      <c r="D263" s="4">
        <f t="shared" ref="D263:D337" ca="1" si="4">TODAY()-615</f>
        <v>45422</v>
      </c>
      <c r="E263" s="3" t="s">
        <v>56</v>
      </c>
    </row>
    <row r="264" spans="1:5" x14ac:dyDescent="0.3">
      <c r="A264" s="3" t="s">
        <v>325</v>
      </c>
      <c r="B264" s="3" t="s">
        <v>37</v>
      </c>
      <c r="C264" s="3" t="s">
        <v>468</v>
      </c>
      <c r="D264" s="4">
        <f t="shared" ca="1" si="4"/>
        <v>45422</v>
      </c>
      <c r="E264" s="3" t="s">
        <v>35</v>
      </c>
    </row>
    <row r="265" spans="1:5" x14ac:dyDescent="0.3">
      <c r="A265" s="3" t="s">
        <v>256</v>
      </c>
      <c r="B265" s="3" t="s">
        <v>312</v>
      </c>
      <c r="C265" s="3" t="s">
        <v>469</v>
      </c>
      <c r="D265" s="4">
        <f t="shared" ca="1" si="4"/>
        <v>45422</v>
      </c>
      <c r="E265" s="3" t="s">
        <v>60</v>
      </c>
    </row>
    <row r="266" spans="1:5" x14ac:dyDescent="0.3">
      <c r="A266" s="3" t="s">
        <v>364</v>
      </c>
      <c r="B266" s="3" t="s">
        <v>47</v>
      </c>
      <c r="C266" s="3" t="s">
        <v>138</v>
      </c>
      <c r="D266" s="4">
        <f t="shared" ca="1" si="4"/>
        <v>45422</v>
      </c>
      <c r="E266" s="3" t="s">
        <v>35</v>
      </c>
    </row>
    <row r="267" spans="1:5" x14ac:dyDescent="0.3">
      <c r="A267" s="3" t="s">
        <v>470</v>
      </c>
      <c r="B267" s="3" t="s">
        <v>173</v>
      </c>
      <c r="C267" s="3" t="s">
        <v>471</v>
      </c>
      <c r="D267" s="4">
        <f t="shared" ca="1" si="4"/>
        <v>45422</v>
      </c>
      <c r="E267" s="3" t="s">
        <v>56</v>
      </c>
    </row>
    <row r="268" spans="1:5" x14ac:dyDescent="0.3">
      <c r="A268" s="3" t="s">
        <v>400</v>
      </c>
      <c r="B268" s="3" t="s">
        <v>58</v>
      </c>
      <c r="C268" s="3" t="s">
        <v>472</v>
      </c>
      <c r="D268" s="4">
        <f t="shared" ca="1" si="4"/>
        <v>45422</v>
      </c>
      <c r="E268" s="3" t="s">
        <v>27</v>
      </c>
    </row>
    <row r="269" spans="1:5" x14ac:dyDescent="0.3">
      <c r="A269" s="3" t="s">
        <v>473</v>
      </c>
      <c r="B269" s="3" t="s">
        <v>65</v>
      </c>
      <c r="C269" s="3" t="s">
        <v>474</v>
      </c>
      <c r="D269" s="4">
        <f t="shared" ca="1" si="4"/>
        <v>45422</v>
      </c>
      <c r="E269" s="3" t="s">
        <v>60</v>
      </c>
    </row>
    <row r="270" spans="1:5" x14ac:dyDescent="0.3">
      <c r="A270" s="3" t="s">
        <v>475</v>
      </c>
      <c r="B270" s="3" t="s">
        <v>33</v>
      </c>
      <c r="C270" s="3" t="s">
        <v>476</v>
      </c>
      <c r="D270" s="4">
        <f t="shared" ca="1" si="4"/>
        <v>45422</v>
      </c>
      <c r="E270" s="3" t="s">
        <v>60</v>
      </c>
    </row>
    <row r="271" spans="1:5" x14ac:dyDescent="0.3">
      <c r="A271" s="3" t="s">
        <v>395</v>
      </c>
      <c r="B271" s="3" t="s">
        <v>477</v>
      </c>
      <c r="C271" s="3" t="s">
        <v>478</v>
      </c>
      <c r="D271" s="4">
        <f t="shared" ca="1" si="4"/>
        <v>45422</v>
      </c>
      <c r="E271" s="3" t="s">
        <v>39</v>
      </c>
    </row>
    <row r="272" spans="1:5" x14ac:dyDescent="0.3">
      <c r="A272" s="3" t="s">
        <v>479</v>
      </c>
      <c r="B272" s="3" t="s">
        <v>140</v>
      </c>
      <c r="C272" s="3" t="s">
        <v>480</v>
      </c>
      <c r="D272" s="4">
        <f t="shared" ca="1" si="4"/>
        <v>45422</v>
      </c>
      <c r="E272" s="3" t="s">
        <v>60</v>
      </c>
    </row>
    <row r="273" spans="1:5" x14ac:dyDescent="0.3">
      <c r="A273" s="3" t="s">
        <v>309</v>
      </c>
      <c r="B273" s="3" t="s">
        <v>168</v>
      </c>
      <c r="C273" s="3" t="s">
        <v>481</v>
      </c>
      <c r="D273" s="4">
        <f t="shared" ca="1" si="4"/>
        <v>45422</v>
      </c>
      <c r="E273" s="3" t="s">
        <v>31</v>
      </c>
    </row>
    <row r="274" spans="1:5" x14ac:dyDescent="0.3">
      <c r="A274" s="3" t="s">
        <v>364</v>
      </c>
      <c r="B274" s="3" t="s">
        <v>47</v>
      </c>
      <c r="C274" s="3" t="s">
        <v>138</v>
      </c>
      <c r="D274" s="4">
        <f t="shared" ca="1" si="4"/>
        <v>45422</v>
      </c>
      <c r="E274" s="3" t="s">
        <v>35</v>
      </c>
    </row>
    <row r="275" spans="1:5" x14ac:dyDescent="0.3">
      <c r="A275" s="3" t="s">
        <v>482</v>
      </c>
      <c r="B275" s="3" t="s">
        <v>157</v>
      </c>
      <c r="C275" s="3" t="s">
        <v>483</v>
      </c>
      <c r="D275" s="4">
        <f t="shared" ca="1" si="4"/>
        <v>45422</v>
      </c>
      <c r="E275" s="3" t="s">
        <v>35</v>
      </c>
    </row>
    <row r="276" spans="1:5" x14ac:dyDescent="0.3">
      <c r="A276" s="3" t="s">
        <v>152</v>
      </c>
      <c r="B276" s="3" t="s">
        <v>93</v>
      </c>
      <c r="C276" s="3" t="s">
        <v>484</v>
      </c>
      <c r="D276" s="4">
        <f t="shared" ca="1" si="4"/>
        <v>45422</v>
      </c>
      <c r="E276" s="3" t="s">
        <v>27</v>
      </c>
    </row>
    <row r="277" spans="1:5" x14ac:dyDescent="0.3">
      <c r="A277" s="3" t="s">
        <v>482</v>
      </c>
      <c r="B277" s="3" t="s">
        <v>58</v>
      </c>
      <c r="C277" s="3" t="s">
        <v>485</v>
      </c>
      <c r="D277" s="4">
        <f t="shared" ca="1" si="4"/>
        <v>45422</v>
      </c>
      <c r="E277" s="3" t="s">
        <v>27</v>
      </c>
    </row>
    <row r="278" spans="1:5" x14ac:dyDescent="0.3">
      <c r="A278" s="3" t="s">
        <v>97</v>
      </c>
      <c r="B278" s="3" t="s">
        <v>98</v>
      </c>
      <c r="C278" s="3" t="s">
        <v>99</v>
      </c>
      <c r="D278" s="4">
        <f t="shared" ca="1" si="4"/>
        <v>45422</v>
      </c>
      <c r="E278" s="3" t="s">
        <v>39</v>
      </c>
    </row>
    <row r="279" spans="1:5" x14ac:dyDescent="0.3">
      <c r="A279" s="3" t="s">
        <v>343</v>
      </c>
      <c r="B279" s="3" t="s">
        <v>157</v>
      </c>
      <c r="C279" s="3" t="s">
        <v>486</v>
      </c>
      <c r="D279" s="4">
        <f t="shared" ca="1" si="4"/>
        <v>45422</v>
      </c>
      <c r="E279" s="3" t="s">
        <v>60</v>
      </c>
    </row>
    <row r="280" spans="1:5" x14ac:dyDescent="0.3">
      <c r="A280" s="3" t="s">
        <v>479</v>
      </c>
      <c r="B280" s="3" t="s">
        <v>140</v>
      </c>
      <c r="C280" s="3" t="s">
        <v>480</v>
      </c>
      <c r="D280" s="4">
        <f t="shared" ca="1" si="4"/>
        <v>45422</v>
      </c>
      <c r="E280" s="3" t="s">
        <v>60</v>
      </c>
    </row>
    <row r="281" spans="1:5" x14ac:dyDescent="0.3">
      <c r="A281" s="3" t="s">
        <v>309</v>
      </c>
      <c r="B281" s="3" t="s">
        <v>168</v>
      </c>
      <c r="C281" s="3" t="s">
        <v>481</v>
      </c>
      <c r="D281" s="4">
        <f t="shared" ca="1" si="4"/>
        <v>45422</v>
      </c>
      <c r="E281" s="3" t="s">
        <v>31</v>
      </c>
    </row>
    <row r="282" spans="1:5" x14ac:dyDescent="0.3">
      <c r="A282" s="3" t="s">
        <v>487</v>
      </c>
      <c r="B282" s="3" t="s">
        <v>140</v>
      </c>
      <c r="C282" s="3" t="s">
        <v>488</v>
      </c>
      <c r="D282" s="4">
        <f t="shared" ca="1" si="4"/>
        <v>45422</v>
      </c>
      <c r="E282" s="3" t="s">
        <v>60</v>
      </c>
    </row>
    <row r="283" spans="1:5" x14ac:dyDescent="0.3">
      <c r="A283" s="3" t="s">
        <v>406</v>
      </c>
      <c r="B283" s="3" t="s">
        <v>44</v>
      </c>
      <c r="C283" s="3" t="s">
        <v>340</v>
      </c>
      <c r="D283" s="4">
        <f t="shared" ca="1" si="4"/>
        <v>45422</v>
      </c>
      <c r="E283" s="3" t="s">
        <v>60</v>
      </c>
    </row>
    <row r="284" spans="1:5" x14ac:dyDescent="0.3">
      <c r="A284" s="3" t="s">
        <v>489</v>
      </c>
      <c r="B284" s="3" t="s">
        <v>74</v>
      </c>
      <c r="C284" s="3" t="s">
        <v>490</v>
      </c>
      <c r="D284" s="4">
        <f t="shared" ca="1" si="4"/>
        <v>45422</v>
      </c>
      <c r="E284" s="3" t="s">
        <v>35</v>
      </c>
    </row>
    <row r="285" spans="1:5" x14ac:dyDescent="0.3">
      <c r="A285" s="3" t="s">
        <v>109</v>
      </c>
      <c r="B285" s="3" t="s">
        <v>110</v>
      </c>
      <c r="C285" s="3" t="s">
        <v>111</v>
      </c>
      <c r="D285" s="4">
        <f t="shared" ca="1" si="4"/>
        <v>45422</v>
      </c>
      <c r="E285" s="3" t="s">
        <v>31</v>
      </c>
    </row>
    <row r="286" spans="1:5" x14ac:dyDescent="0.3">
      <c r="A286" s="3" t="s">
        <v>491</v>
      </c>
      <c r="B286" s="3" t="s">
        <v>62</v>
      </c>
      <c r="C286" s="3" t="s">
        <v>492</v>
      </c>
      <c r="D286" s="4">
        <f t="shared" ca="1" si="4"/>
        <v>45422</v>
      </c>
      <c r="E286" s="3" t="s">
        <v>35</v>
      </c>
    </row>
    <row r="287" spans="1:5" x14ac:dyDescent="0.3">
      <c r="A287" s="3" t="s">
        <v>493</v>
      </c>
      <c r="B287" s="3" t="s">
        <v>118</v>
      </c>
      <c r="C287" s="3" t="s">
        <v>494</v>
      </c>
      <c r="D287" s="4">
        <f t="shared" ca="1" si="4"/>
        <v>45422</v>
      </c>
      <c r="E287" s="3" t="s">
        <v>56</v>
      </c>
    </row>
    <row r="288" spans="1:5" x14ac:dyDescent="0.3">
      <c r="A288" s="3" t="s">
        <v>495</v>
      </c>
      <c r="B288" s="3" t="s">
        <v>37</v>
      </c>
      <c r="C288" s="3" t="s">
        <v>496</v>
      </c>
      <c r="D288" s="4">
        <f t="shared" ca="1" si="4"/>
        <v>45422</v>
      </c>
      <c r="E288" s="3" t="s">
        <v>39</v>
      </c>
    </row>
    <row r="289" spans="1:5" x14ac:dyDescent="0.3">
      <c r="A289" s="3" t="s">
        <v>175</v>
      </c>
      <c r="B289" s="3" t="s">
        <v>47</v>
      </c>
      <c r="C289" s="3" t="s">
        <v>376</v>
      </c>
      <c r="D289" s="4">
        <f t="shared" ca="1" si="4"/>
        <v>45422</v>
      </c>
      <c r="E289" s="3" t="s">
        <v>31</v>
      </c>
    </row>
    <row r="290" spans="1:5" x14ac:dyDescent="0.3">
      <c r="A290" s="3" t="s">
        <v>497</v>
      </c>
      <c r="B290" s="3" t="s">
        <v>442</v>
      </c>
      <c r="C290" s="3" t="s">
        <v>498</v>
      </c>
      <c r="D290" s="4">
        <f t="shared" ca="1" si="4"/>
        <v>45422</v>
      </c>
      <c r="E290" s="3" t="s">
        <v>35</v>
      </c>
    </row>
    <row r="291" spans="1:5" x14ac:dyDescent="0.3">
      <c r="A291" s="3" t="s">
        <v>317</v>
      </c>
      <c r="B291" s="3" t="s">
        <v>157</v>
      </c>
      <c r="C291" s="3" t="s">
        <v>318</v>
      </c>
      <c r="D291" s="4">
        <f t="shared" ca="1" si="4"/>
        <v>45422</v>
      </c>
      <c r="E291" s="3" t="s">
        <v>39</v>
      </c>
    </row>
    <row r="292" spans="1:5" x14ac:dyDescent="0.3">
      <c r="A292" s="3" t="s">
        <v>102</v>
      </c>
      <c r="B292" s="3" t="s">
        <v>93</v>
      </c>
      <c r="C292" s="3" t="s">
        <v>116</v>
      </c>
      <c r="D292" s="4">
        <f t="shared" ca="1" si="4"/>
        <v>45422</v>
      </c>
      <c r="E292" s="3" t="s">
        <v>35</v>
      </c>
    </row>
    <row r="293" spans="1:5" x14ac:dyDescent="0.3">
      <c r="A293" s="3" t="s">
        <v>70</v>
      </c>
      <c r="B293" s="3" t="s">
        <v>71</v>
      </c>
      <c r="C293" s="3" t="s">
        <v>72</v>
      </c>
      <c r="D293" s="4">
        <f t="shared" ca="1" si="4"/>
        <v>45422</v>
      </c>
      <c r="E293" s="3" t="s">
        <v>39</v>
      </c>
    </row>
    <row r="294" spans="1:5" x14ac:dyDescent="0.3">
      <c r="A294" s="3" t="s">
        <v>142</v>
      </c>
      <c r="B294" s="3" t="s">
        <v>87</v>
      </c>
      <c r="C294" s="3" t="s">
        <v>143</v>
      </c>
      <c r="D294" s="4">
        <f t="shared" ca="1" si="4"/>
        <v>45422</v>
      </c>
      <c r="E294" s="3" t="s">
        <v>27</v>
      </c>
    </row>
    <row r="295" spans="1:5" x14ac:dyDescent="0.3">
      <c r="A295" s="3" t="s">
        <v>499</v>
      </c>
      <c r="B295" s="3" t="s">
        <v>165</v>
      </c>
      <c r="C295" s="3" t="s">
        <v>500</v>
      </c>
      <c r="D295" s="4">
        <f t="shared" ca="1" si="4"/>
        <v>45422</v>
      </c>
      <c r="E295" s="3" t="s">
        <v>27</v>
      </c>
    </row>
    <row r="296" spans="1:5" x14ac:dyDescent="0.3">
      <c r="A296" s="3" t="s">
        <v>330</v>
      </c>
      <c r="B296" s="3" t="s">
        <v>331</v>
      </c>
      <c r="C296" s="3" t="s">
        <v>233</v>
      </c>
      <c r="D296" s="4">
        <f t="shared" ca="1" si="4"/>
        <v>45422</v>
      </c>
      <c r="E296" s="3" t="s">
        <v>56</v>
      </c>
    </row>
    <row r="297" spans="1:5" x14ac:dyDescent="0.3">
      <c r="A297" s="3" t="s">
        <v>152</v>
      </c>
      <c r="B297" s="3" t="s">
        <v>65</v>
      </c>
      <c r="C297" s="3" t="s">
        <v>153</v>
      </c>
      <c r="D297" s="4">
        <f t="shared" ca="1" si="4"/>
        <v>45422</v>
      </c>
      <c r="E297" s="3" t="s">
        <v>27</v>
      </c>
    </row>
    <row r="298" spans="1:5" x14ac:dyDescent="0.3">
      <c r="A298" s="3" t="s">
        <v>348</v>
      </c>
      <c r="B298" s="3" t="s">
        <v>245</v>
      </c>
      <c r="C298" s="3" t="s">
        <v>151</v>
      </c>
      <c r="D298" s="4">
        <f t="shared" ca="1" si="4"/>
        <v>45422</v>
      </c>
      <c r="E298" s="3" t="s">
        <v>60</v>
      </c>
    </row>
    <row r="299" spans="1:5" x14ac:dyDescent="0.3">
      <c r="A299" s="3" t="s">
        <v>501</v>
      </c>
      <c r="B299" s="3" t="s">
        <v>157</v>
      </c>
      <c r="C299" s="3" t="s">
        <v>502</v>
      </c>
      <c r="D299" s="4">
        <f t="shared" ca="1" si="4"/>
        <v>45422</v>
      </c>
      <c r="E299" s="3" t="s">
        <v>56</v>
      </c>
    </row>
    <row r="300" spans="1:5" x14ac:dyDescent="0.3">
      <c r="A300" s="3" t="s">
        <v>89</v>
      </c>
      <c r="B300" s="3" t="s">
        <v>261</v>
      </c>
      <c r="C300" s="3" t="s">
        <v>262</v>
      </c>
      <c r="D300" s="4">
        <f t="shared" ca="1" si="4"/>
        <v>45422</v>
      </c>
      <c r="E300" s="3" t="s">
        <v>39</v>
      </c>
    </row>
    <row r="301" spans="1:5" x14ac:dyDescent="0.3">
      <c r="A301" s="3" t="s">
        <v>503</v>
      </c>
      <c r="B301" s="3" t="s">
        <v>504</v>
      </c>
      <c r="C301" s="3" t="s">
        <v>289</v>
      </c>
      <c r="D301" s="4">
        <f t="shared" ca="1" si="4"/>
        <v>45422</v>
      </c>
      <c r="E301" s="3" t="s">
        <v>39</v>
      </c>
    </row>
    <row r="302" spans="1:5" x14ac:dyDescent="0.3">
      <c r="A302" s="3" t="s">
        <v>281</v>
      </c>
      <c r="B302" s="3" t="s">
        <v>37</v>
      </c>
      <c r="C302" s="3" t="s">
        <v>505</v>
      </c>
      <c r="D302" s="4">
        <f t="shared" ca="1" si="4"/>
        <v>45422</v>
      </c>
      <c r="E302" s="3" t="s">
        <v>27</v>
      </c>
    </row>
    <row r="303" spans="1:5" x14ac:dyDescent="0.3">
      <c r="A303" s="3" t="s">
        <v>506</v>
      </c>
      <c r="B303" s="3" t="s">
        <v>157</v>
      </c>
      <c r="C303" s="3" t="s">
        <v>507</v>
      </c>
      <c r="D303" s="4">
        <f t="shared" ca="1" si="4"/>
        <v>45422</v>
      </c>
      <c r="E303" s="3" t="s">
        <v>56</v>
      </c>
    </row>
    <row r="304" spans="1:5" x14ac:dyDescent="0.3">
      <c r="A304" s="3" t="s">
        <v>508</v>
      </c>
      <c r="B304" s="3" t="s">
        <v>98</v>
      </c>
      <c r="C304" s="3" t="s">
        <v>509</v>
      </c>
      <c r="D304" s="4">
        <f t="shared" ca="1" si="4"/>
        <v>45422</v>
      </c>
      <c r="E304" s="3" t="s">
        <v>39</v>
      </c>
    </row>
    <row r="305" spans="1:5" x14ac:dyDescent="0.3">
      <c r="A305" s="3" t="s">
        <v>510</v>
      </c>
      <c r="B305" s="3" t="s">
        <v>87</v>
      </c>
      <c r="C305" s="3" t="s">
        <v>511</v>
      </c>
      <c r="D305" s="4">
        <f t="shared" ca="1" si="4"/>
        <v>45422</v>
      </c>
      <c r="E305" s="3" t="s">
        <v>35</v>
      </c>
    </row>
    <row r="306" spans="1:5" x14ac:dyDescent="0.3">
      <c r="A306" s="3" t="s">
        <v>95</v>
      </c>
      <c r="B306" s="3" t="s">
        <v>58</v>
      </c>
      <c r="C306" s="3" t="s">
        <v>96</v>
      </c>
      <c r="D306" s="4">
        <f t="shared" ca="1" si="4"/>
        <v>45422</v>
      </c>
      <c r="E306" s="3" t="s">
        <v>39</v>
      </c>
    </row>
    <row r="307" spans="1:5" x14ac:dyDescent="0.3">
      <c r="A307" s="3" t="s">
        <v>393</v>
      </c>
      <c r="B307" s="3" t="s">
        <v>74</v>
      </c>
      <c r="C307" s="3" t="s">
        <v>394</v>
      </c>
      <c r="D307" s="4">
        <f t="shared" ca="1" si="4"/>
        <v>45422</v>
      </c>
      <c r="E307" s="3" t="s">
        <v>56</v>
      </c>
    </row>
    <row r="308" spans="1:5" x14ac:dyDescent="0.3">
      <c r="A308" s="3" t="s">
        <v>70</v>
      </c>
      <c r="B308" s="3" t="s">
        <v>71</v>
      </c>
      <c r="C308" s="3" t="s">
        <v>72</v>
      </c>
      <c r="D308" s="4">
        <f t="shared" ca="1" si="4"/>
        <v>45422</v>
      </c>
      <c r="E308" s="3" t="s">
        <v>39</v>
      </c>
    </row>
    <row r="309" spans="1:5" x14ac:dyDescent="0.3">
      <c r="A309" s="3" t="s">
        <v>512</v>
      </c>
      <c r="B309" s="3" t="s">
        <v>47</v>
      </c>
      <c r="C309" s="3" t="s">
        <v>513</v>
      </c>
      <c r="D309" s="4">
        <f t="shared" ca="1" si="4"/>
        <v>45422</v>
      </c>
      <c r="E309" s="3" t="s">
        <v>60</v>
      </c>
    </row>
    <row r="310" spans="1:5" x14ac:dyDescent="0.3">
      <c r="A310" s="3" t="s">
        <v>398</v>
      </c>
      <c r="B310" s="3" t="s">
        <v>93</v>
      </c>
      <c r="C310" s="3" t="s">
        <v>399</v>
      </c>
      <c r="D310" s="4">
        <f t="shared" ca="1" si="4"/>
        <v>45422</v>
      </c>
      <c r="E310" s="3" t="s">
        <v>39</v>
      </c>
    </row>
    <row r="311" spans="1:5" x14ac:dyDescent="0.3">
      <c r="A311" s="3" t="s">
        <v>388</v>
      </c>
      <c r="B311" s="3" t="s">
        <v>33</v>
      </c>
      <c r="C311" s="3" t="s">
        <v>514</v>
      </c>
      <c r="D311" s="4">
        <f t="shared" ca="1" si="4"/>
        <v>45422</v>
      </c>
      <c r="E311" s="3" t="s">
        <v>60</v>
      </c>
    </row>
    <row r="312" spans="1:5" x14ac:dyDescent="0.3">
      <c r="A312" s="3" t="s">
        <v>482</v>
      </c>
      <c r="B312" s="3" t="s">
        <v>58</v>
      </c>
      <c r="C312" s="3" t="s">
        <v>485</v>
      </c>
      <c r="D312" s="4">
        <f t="shared" ca="1" si="4"/>
        <v>45422</v>
      </c>
      <c r="E312" s="3" t="s">
        <v>27</v>
      </c>
    </row>
    <row r="313" spans="1:5" x14ac:dyDescent="0.3">
      <c r="A313" s="3" t="s">
        <v>104</v>
      </c>
      <c r="B313" s="3" t="s">
        <v>58</v>
      </c>
      <c r="C313" s="3" t="s">
        <v>515</v>
      </c>
      <c r="D313" s="4">
        <f t="shared" ca="1" si="4"/>
        <v>45422</v>
      </c>
      <c r="E313" s="3" t="s">
        <v>35</v>
      </c>
    </row>
    <row r="314" spans="1:5" x14ac:dyDescent="0.3">
      <c r="A314" s="3" t="s">
        <v>296</v>
      </c>
      <c r="B314" s="3" t="s">
        <v>193</v>
      </c>
      <c r="C314" s="3" t="s">
        <v>516</v>
      </c>
      <c r="D314" s="4">
        <f t="shared" ca="1" si="4"/>
        <v>45422</v>
      </c>
      <c r="E314" s="3" t="s">
        <v>60</v>
      </c>
    </row>
    <row r="315" spans="1:5" x14ac:dyDescent="0.3">
      <c r="A315" s="3" t="s">
        <v>186</v>
      </c>
      <c r="B315" s="3" t="s">
        <v>71</v>
      </c>
      <c r="C315" s="3" t="s">
        <v>187</v>
      </c>
      <c r="D315" s="4">
        <f t="shared" ca="1" si="4"/>
        <v>45422</v>
      </c>
      <c r="E315" s="3" t="s">
        <v>39</v>
      </c>
    </row>
    <row r="316" spans="1:5" x14ac:dyDescent="0.3">
      <c r="A316" s="3" t="s">
        <v>517</v>
      </c>
      <c r="B316" s="3" t="s">
        <v>518</v>
      </c>
      <c r="C316" s="3" t="s">
        <v>519</v>
      </c>
      <c r="D316" s="4">
        <f t="shared" ca="1" si="4"/>
        <v>45422</v>
      </c>
      <c r="E316" s="3" t="s">
        <v>31</v>
      </c>
    </row>
    <row r="317" spans="1:5" x14ac:dyDescent="0.3">
      <c r="A317" s="3" t="s">
        <v>520</v>
      </c>
      <c r="B317" s="3" t="s">
        <v>65</v>
      </c>
      <c r="C317" s="3" t="s">
        <v>521</v>
      </c>
      <c r="D317" s="4">
        <f t="shared" ca="1" si="4"/>
        <v>45422</v>
      </c>
      <c r="E317" s="3" t="s">
        <v>27</v>
      </c>
    </row>
    <row r="318" spans="1:5" x14ac:dyDescent="0.3">
      <c r="A318" s="3" t="s">
        <v>522</v>
      </c>
      <c r="B318" s="3" t="s">
        <v>523</v>
      </c>
      <c r="C318" s="3" t="s">
        <v>524</v>
      </c>
      <c r="D318" s="4">
        <f t="shared" ca="1" si="4"/>
        <v>45422</v>
      </c>
      <c r="E318" s="3" t="s">
        <v>35</v>
      </c>
    </row>
    <row r="319" spans="1:5" x14ac:dyDescent="0.3">
      <c r="A319" s="3" t="s">
        <v>321</v>
      </c>
      <c r="B319" s="3" t="s">
        <v>71</v>
      </c>
      <c r="C319" s="3" t="s">
        <v>322</v>
      </c>
      <c r="D319" s="4">
        <f t="shared" ca="1" si="4"/>
        <v>45422</v>
      </c>
      <c r="E319" s="3" t="s">
        <v>39</v>
      </c>
    </row>
    <row r="320" spans="1:5" x14ac:dyDescent="0.3">
      <c r="A320" s="3" t="s">
        <v>525</v>
      </c>
      <c r="B320" s="3" t="s">
        <v>326</v>
      </c>
      <c r="C320" s="3" t="s">
        <v>526</v>
      </c>
      <c r="D320" s="4">
        <f t="shared" ca="1" si="4"/>
        <v>45422</v>
      </c>
      <c r="E320" s="3" t="s">
        <v>39</v>
      </c>
    </row>
    <row r="321" spans="1:5" x14ac:dyDescent="0.3">
      <c r="A321" s="3" t="s">
        <v>527</v>
      </c>
      <c r="B321" s="3" t="s">
        <v>118</v>
      </c>
      <c r="C321" s="3" t="s">
        <v>528</v>
      </c>
      <c r="D321" s="4">
        <f t="shared" ca="1" si="4"/>
        <v>45422</v>
      </c>
      <c r="E321" s="3" t="s">
        <v>31</v>
      </c>
    </row>
    <row r="322" spans="1:5" x14ac:dyDescent="0.3">
      <c r="A322" s="3" t="s">
        <v>92</v>
      </c>
      <c r="B322" s="3" t="s">
        <v>93</v>
      </c>
      <c r="C322" s="3" t="s">
        <v>94</v>
      </c>
      <c r="D322" s="4">
        <f t="shared" ca="1" si="4"/>
        <v>45422</v>
      </c>
      <c r="E322" s="3" t="s">
        <v>56</v>
      </c>
    </row>
    <row r="323" spans="1:5" x14ac:dyDescent="0.3">
      <c r="A323" s="3" t="s">
        <v>529</v>
      </c>
      <c r="B323" s="3" t="s">
        <v>58</v>
      </c>
      <c r="C323" s="3" t="s">
        <v>530</v>
      </c>
      <c r="D323" s="4">
        <f t="shared" ca="1" si="4"/>
        <v>45422</v>
      </c>
      <c r="E323" s="3" t="s">
        <v>27</v>
      </c>
    </row>
    <row r="324" spans="1:5" x14ac:dyDescent="0.3">
      <c r="A324" s="3" t="s">
        <v>254</v>
      </c>
      <c r="B324" s="3" t="s">
        <v>25</v>
      </c>
      <c r="C324" s="3" t="s">
        <v>255</v>
      </c>
      <c r="D324" s="4">
        <f t="shared" ca="1" si="4"/>
        <v>45422</v>
      </c>
      <c r="E324" s="3" t="s">
        <v>35</v>
      </c>
    </row>
    <row r="325" spans="1:5" x14ac:dyDescent="0.3">
      <c r="A325" s="3" t="s">
        <v>531</v>
      </c>
      <c r="B325" s="3" t="s">
        <v>193</v>
      </c>
      <c r="C325" s="3" t="s">
        <v>532</v>
      </c>
      <c r="D325" s="4">
        <f t="shared" ca="1" si="4"/>
        <v>45422</v>
      </c>
      <c r="E325" s="3" t="s">
        <v>39</v>
      </c>
    </row>
    <row r="326" spans="1:5" x14ac:dyDescent="0.3">
      <c r="A326" s="3" t="s">
        <v>533</v>
      </c>
      <c r="B326" s="3" t="s">
        <v>50</v>
      </c>
      <c r="C326" s="3" t="s">
        <v>534</v>
      </c>
      <c r="D326" s="4">
        <f t="shared" ca="1" si="4"/>
        <v>45422</v>
      </c>
      <c r="E326" s="3" t="s">
        <v>60</v>
      </c>
    </row>
    <row r="327" spans="1:5" x14ac:dyDescent="0.3">
      <c r="A327" s="3" t="s">
        <v>535</v>
      </c>
      <c r="B327" s="3" t="s">
        <v>58</v>
      </c>
      <c r="C327" s="3" t="s">
        <v>536</v>
      </c>
      <c r="D327" s="4">
        <f t="shared" ca="1" si="4"/>
        <v>45422</v>
      </c>
      <c r="E327" s="3" t="s">
        <v>27</v>
      </c>
    </row>
    <row r="328" spans="1:5" x14ac:dyDescent="0.3">
      <c r="A328" s="3" t="s">
        <v>537</v>
      </c>
      <c r="B328" s="3" t="s">
        <v>157</v>
      </c>
      <c r="C328" s="3" t="s">
        <v>538</v>
      </c>
      <c r="D328" s="4">
        <f t="shared" ca="1" si="4"/>
        <v>45422</v>
      </c>
      <c r="E328" s="3" t="s">
        <v>31</v>
      </c>
    </row>
    <row r="329" spans="1:5" x14ac:dyDescent="0.3">
      <c r="A329" s="3" t="s">
        <v>539</v>
      </c>
      <c r="B329" s="3" t="s">
        <v>25</v>
      </c>
      <c r="C329" s="3" t="s">
        <v>540</v>
      </c>
      <c r="D329" s="4">
        <f t="shared" ca="1" si="4"/>
        <v>45422</v>
      </c>
      <c r="E329" s="3" t="s">
        <v>39</v>
      </c>
    </row>
    <row r="330" spans="1:5" x14ac:dyDescent="0.3">
      <c r="A330" s="3" t="s">
        <v>541</v>
      </c>
      <c r="B330" s="3" t="s">
        <v>65</v>
      </c>
      <c r="C330" s="3" t="s">
        <v>352</v>
      </c>
      <c r="D330" s="4">
        <f t="shared" ca="1" si="4"/>
        <v>45422</v>
      </c>
      <c r="E330" s="3" t="s">
        <v>60</v>
      </c>
    </row>
    <row r="331" spans="1:5" x14ac:dyDescent="0.3">
      <c r="A331" s="3" t="s">
        <v>374</v>
      </c>
      <c r="B331" s="3" t="s">
        <v>33</v>
      </c>
      <c r="C331" s="3" t="s">
        <v>185</v>
      </c>
      <c r="D331" s="4">
        <f t="shared" ca="1" si="4"/>
        <v>45422</v>
      </c>
      <c r="E331" s="3" t="s">
        <v>35</v>
      </c>
    </row>
    <row r="332" spans="1:5" x14ac:dyDescent="0.3">
      <c r="A332" s="3" t="s">
        <v>470</v>
      </c>
      <c r="B332" s="3" t="s">
        <v>47</v>
      </c>
      <c r="C332" s="3" t="s">
        <v>542</v>
      </c>
      <c r="D332" s="4">
        <f t="shared" ca="1" si="4"/>
        <v>45422</v>
      </c>
      <c r="E332" s="3" t="s">
        <v>39</v>
      </c>
    </row>
    <row r="333" spans="1:5" x14ac:dyDescent="0.3">
      <c r="A333" s="3" t="s">
        <v>543</v>
      </c>
      <c r="B333" s="3" t="s">
        <v>326</v>
      </c>
      <c r="C333" s="3" t="s">
        <v>544</v>
      </c>
      <c r="D333" s="4">
        <f t="shared" ca="1" si="4"/>
        <v>45422</v>
      </c>
      <c r="E333" s="3" t="s">
        <v>31</v>
      </c>
    </row>
    <row r="334" spans="1:5" x14ac:dyDescent="0.3">
      <c r="A334" s="3" t="s">
        <v>126</v>
      </c>
      <c r="B334" s="3" t="s">
        <v>65</v>
      </c>
      <c r="C334" s="3" t="s">
        <v>127</v>
      </c>
      <c r="D334" s="4">
        <f t="shared" ca="1" si="4"/>
        <v>45422</v>
      </c>
      <c r="E334" s="3" t="s">
        <v>35</v>
      </c>
    </row>
    <row r="335" spans="1:5" x14ac:dyDescent="0.3">
      <c r="A335" s="3" t="s">
        <v>501</v>
      </c>
      <c r="B335" s="3" t="s">
        <v>157</v>
      </c>
      <c r="C335" s="3" t="s">
        <v>502</v>
      </c>
      <c r="D335" s="4">
        <f t="shared" ca="1" si="4"/>
        <v>45422</v>
      </c>
      <c r="E335" s="3" t="s">
        <v>56</v>
      </c>
    </row>
    <row r="336" spans="1:5" x14ac:dyDescent="0.3">
      <c r="A336" s="3" t="s">
        <v>545</v>
      </c>
      <c r="B336" s="3" t="s">
        <v>331</v>
      </c>
      <c r="C336" s="3" t="s">
        <v>546</v>
      </c>
      <c r="D336" s="4">
        <f t="shared" ca="1" si="4"/>
        <v>45422</v>
      </c>
      <c r="E336" s="3" t="s">
        <v>56</v>
      </c>
    </row>
    <row r="337" spans="1:5" x14ac:dyDescent="0.3">
      <c r="A337" s="3" t="s">
        <v>319</v>
      </c>
      <c r="B337" s="3" t="s">
        <v>98</v>
      </c>
      <c r="C337" s="3" t="s">
        <v>320</v>
      </c>
      <c r="D337" s="4">
        <f t="shared" ca="1" si="4"/>
        <v>45422</v>
      </c>
      <c r="E337" s="3" t="s">
        <v>56</v>
      </c>
    </row>
    <row r="338" spans="1:5" x14ac:dyDescent="0.3">
      <c r="A338" s="3" t="s">
        <v>547</v>
      </c>
      <c r="B338" s="3" t="s">
        <v>47</v>
      </c>
      <c r="C338" s="3" t="s">
        <v>548</v>
      </c>
      <c r="D338" s="4">
        <f t="shared" ref="D338:D409" ca="1" si="5">TODAY()-584</f>
        <v>45453</v>
      </c>
      <c r="E338" s="3" t="s">
        <v>56</v>
      </c>
    </row>
    <row r="339" spans="1:5" x14ac:dyDescent="0.3">
      <c r="A339" s="3" t="s">
        <v>549</v>
      </c>
      <c r="B339" s="3" t="s">
        <v>550</v>
      </c>
      <c r="C339" s="3" t="s">
        <v>551</v>
      </c>
      <c r="D339" s="4">
        <f t="shared" ca="1" si="5"/>
        <v>45453</v>
      </c>
      <c r="E339" s="3" t="s">
        <v>60</v>
      </c>
    </row>
    <row r="340" spans="1:5" x14ac:dyDescent="0.3">
      <c r="A340" s="3" t="s">
        <v>89</v>
      </c>
      <c r="B340" s="3" t="s">
        <v>90</v>
      </c>
      <c r="C340" s="3" t="s">
        <v>91</v>
      </c>
      <c r="D340" s="4">
        <f t="shared" ca="1" si="5"/>
        <v>45453</v>
      </c>
      <c r="E340" s="3" t="s">
        <v>35</v>
      </c>
    </row>
    <row r="341" spans="1:5" x14ac:dyDescent="0.3">
      <c r="A341" s="3" t="s">
        <v>144</v>
      </c>
      <c r="B341" s="3" t="s">
        <v>552</v>
      </c>
      <c r="C341" s="3" t="s">
        <v>262</v>
      </c>
      <c r="D341" s="4">
        <f t="shared" ca="1" si="5"/>
        <v>45453</v>
      </c>
      <c r="E341" s="3" t="s">
        <v>39</v>
      </c>
    </row>
    <row r="342" spans="1:5" x14ac:dyDescent="0.3">
      <c r="A342" s="3" t="s">
        <v>553</v>
      </c>
      <c r="B342" s="3" t="s">
        <v>50</v>
      </c>
      <c r="C342" s="3" t="s">
        <v>554</v>
      </c>
      <c r="D342" s="4">
        <f t="shared" ca="1" si="5"/>
        <v>45453</v>
      </c>
      <c r="E342" s="3" t="s">
        <v>56</v>
      </c>
    </row>
    <row r="343" spans="1:5" x14ac:dyDescent="0.3">
      <c r="A343" s="3" t="s">
        <v>555</v>
      </c>
      <c r="B343" s="3" t="s">
        <v>37</v>
      </c>
      <c r="C343" s="3" t="s">
        <v>556</v>
      </c>
      <c r="D343" s="4">
        <f t="shared" ca="1" si="5"/>
        <v>45453</v>
      </c>
      <c r="E343" s="3" t="s">
        <v>60</v>
      </c>
    </row>
    <row r="344" spans="1:5" x14ac:dyDescent="0.3">
      <c r="A344" s="3" t="s">
        <v>309</v>
      </c>
      <c r="B344" s="3" t="s">
        <v>150</v>
      </c>
      <c r="C344" s="3" t="s">
        <v>310</v>
      </c>
      <c r="D344" s="4">
        <f t="shared" ca="1" si="5"/>
        <v>45453</v>
      </c>
      <c r="E344" s="3" t="s">
        <v>56</v>
      </c>
    </row>
    <row r="345" spans="1:5" x14ac:dyDescent="0.3">
      <c r="A345" s="3" t="s">
        <v>418</v>
      </c>
      <c r="B345" s="3" t="s">
        <v>47</v>
      </c>
      <c r="C345" s="3" t="s">
        <v>419</v>
      </c>
      <c r="D345" s="4">
        <f t="shared" ca="1" si="5"/>
        <v>45453</v>
      </c>
      <c r="E345" s="3" t="s">
        <v>60</v>
      </c>
    </row>
    <row r="346" spans="1:5" x14ac:dyDescent="0.3">
      <c r="A346" s="3" t="s">
        <v>557</v>
      </c>
      <c r="B346" s="3" t="s">
        <v>87</v>
      </c>
      <c r="C346" s="3" t="s">
        <v>558</v>
      </c>
      <c r="D346" s="4">
        <f t="shared" ca="1" si="5"/>
        <v>45453</v>
      </c>
      <c r="E346" s="3" t="s">
        <v>39</v>
      </c>
    </row>
    <row r="347" spans="1:5" x14ac:dyDescent="0.3">
      <c r="A347" s="3" t="s">
        <v>439</v>
      </c>
      <c r="B347" s="3" t="s">
        <v>65</v>
      </c>
      <c r="C347" s="3" t="s">
        <v>440</v>
      </c>
      <c r="D347" s="4">
        <f t="shared" ca="1" si="5"/>
        <v>45453</v>
      </c>
      <c r="E347" s="3" t="s">
        <v>27</v>
      </c>
    </row>
    <row r="348" spans="1:5" x14ac:dyDescent="0.3">
      <c r="A348" s="3" t="s">
        <v>547</v>
      </c>
      <c r="B348" s="3" t="s">
        <v>47</v>
      </c>
      <c r="C348" s="3" t="s">
        <v>548</v>
      </c>
      <c r="D348" s="4">
        <f t="shared" ca="1" si="5"/>
        <v>45453</v>
      </c>
      <c r="E348" s="3" t="s">
        <v>56</v>
      </c>
    </row>
    <row r="349" spans="1:5" x14ac:dyDescent="0.3">
      <c r="A349" s="3" t="s">
        <v>475</v>
      </c>
      <c r="B349" s="3" t="s">
        <v>33</v>
      </c>
      <c r="C349" s="3" t="s">
        <v>476</v>
      </c>
      <c r="D349" s="4">
        <f t="shared" ca="1" si="5"/>
        <v>45453</v>
      </c>
      <c r="E349" s="3" t="s">
        <v>60</v>
      </c>
    </row>
    <row r="350" spans="1:5" x14ac:dyDescent="0.3">
      <c r="A350" s="3" t="s">
        <v>559</v>
      </c>
      <c r="B350" s="3" t="s">
        <v>33</v>
      </c>
      <c r="C350" s="3" t="s">
        <v>138</v>
      </c>
      <c r="D350" s="4">
        <f t="shared" ca="1" si="5"/>
        <v>45453</v>
      </c>
      <c r="E350" s="3" t="s">
        <v>27</v>
      </c>
    </row>
    <row r="351" spans="1:5" x14ac:dyDescent="0.3">
      <c r="A351" s="3" t="s">
        <v>560</v>
      </c>
      <c r="B351" s="3" t="s">
        <v>110</v>
      </c>
      <c r="C351" s="3" t="s">
        <v>561</v>
      </c>
      <c r="D351" s="4">
        <f t="shared" ca="1" si="5"/>
        <v>45453</v>
      </c>
      <c r="E351" s="3" t="s">
        <v>60</v>
      </c>
    </row>
    <row r="352" spans="1:5" x14ac:dyDescent="0.3">
      <c r="A352" s="3" t="s">
        <v>562</v>
      </c>
      <c r="B352" s="3" t="s">
        <v>523</v>
      </c>
      <c r="C352" s="3" t="s">
        <v>563</v>
      </c>
      <c r="D352" s="4">
        <f t="shared" ca="1" si="5"/>
        <v>45453</v>
      </c>
      <c r="E352" s="3" t="s">
        <v>56</v>
      </c>
    </row>
    <row r="353" spans="1:5" x14ac:dyDescent="0.3">
      <c r="A353" s="3" t="s">
        <v>271</v>
      </c>
      <c r="B353" s="3" t="s">
        <v>564</v>
      </c>
      <c r="C353" s="3" t="s">
        <v>565</v>
      </c>
      <c r="D353" s="4">
        <f t="shared" ca="1" si="5"/>
        <v>45453</v>
      </c>
      <c r="E353" s="3" t="s">
        <v>60</v>
      </c>
    </row>
    <row r="354" spans="1:5" x14ac:dyDescent="0.3">
      <c r="A354" s="3" t="s">
        <v>545</v>
      </c>
      <c r="B354" s="3" t="s">
        <v>58</v>
      </c>
      <c r="C354" s="3" t="s">
        <v>566</v>
      </c>
      <c r="D354" s="4">
        <f t="shared" ca="1" si="5"/>
        <v>45453</v>
      </c>
      <c r="E354" s="3" t="s">
        <v>31</v>
      </c>
    </row>
    <row r="355" spans="1:5" x14ac:dyDescent="0.3">
      <c r="A355" s="3" t="s">
        <v>567</v>
      </c>
      <c r="B355" s="3" t="s">
        <v>150</v>
      </c>
      <c r="C355" s="3" t="s">
        <v>568</v>
      </c>
      <c r="D355" s="4">
        <f t="shared" ca="1" si="5"/>
        <v>45453</v>
      </c>
      <c r="E355" s="3" t="s">
        <v>60</v>
      </c>
    </row>
    <row r="356" spans="1:5" x14ac:dyDescent="0.3">
      <c r="A356" s="3" t="s">
        <v>311</v>
      </c>
      <c r="B356" s="3" t="s">
        <v>41</v>
      </c>
      <c r="C356" s="3" t="s">
        <v>63</v>
      </c>
      <c r="D356" s="4">
        <f t="shared" ca="1" si="5"/>
        <v>45453</v>
      </c>
      <c r="E356" s="3" t="s">
        <v>35</v>
      </c>
    </row>
    <row r="357" spans="1:5" x14ac:dyDescent="0.3">
      <c r="A357" s="3" t="s">
        <v>57</v>
      </c>
      <c r="B357" s="3" t="s">
        <v>245</v>
      </c>
      <c r="C357" s="3" t="s">
        <v>569</v>
      </c>
      <c r="D357" s="4">
        <f t="shared" ca="1" si="5"/>
        <v>45453</v>
      </c>
      <c r="E357" s="3" t="s">
        <v>60</v>
      </c>
    </row>
    <row r="358" spans="1:5" x14ac:dyDescent="0.3">
      <c r="A358" s="3" t="s">
        <v>363</v>
      </c>
      <c r="B358" s="3" t="s">
        <v>178</v>
      </c>
      <c r="C358" s="3" t="s">
        <v>570</v>
      </c>
      <c r="D358" s="4">
        <f t="shared" ca="1" si="5"/>
        <v>45453</v>
      </c>
      <c r="E358" s="3" t="s">
        <v>35</v>
      </c>
    </row>
    <row r="359" spans="1:5" x14ac:dyDescent="0.3">
      <c r="A359" s="3" t="s">
        <v>571</v>
      </c>
      <c r="B359" s="3" t="s">
        <v>245</v>
      </c>
      <c r="C359" s="3" t="s">
        <v>572</v>
      </c>
      <c r="D359" s="4">
        <f t="shared" ca="1" si="5"/>
        <v>45453</v>
      </c>
      <c r="E359" s="3" t="s">
        <v>60</v>
      </c>
    </row>
    <row r="360" spans="1:5" x14ac:dyDescent="0.3">
      <c r="A360" s="3" t="s">
        <v>251</v>
      </c>
      <c r="B360" s="3" t="s">
        <v>93</v>
      </c>
      <c r="C360" s="3" t="s">
        <v>96</v>
      </c>
      <c r="D360" s="4">
        <f t="shared" ca="1" si="5"/>
        <v>45453</v>
      </c>
      <c r="E360" s="3" t="s">
        <v>56</v>
      </c>
    </row>
    <row r="361" spans="1:5" x14ac:dyDescent="0.3">
      <c r="A361" s="3" t="s">
        <v>416</v>
      </c>
      <c r="B361" s="3" t="s">
        <v>93</v>
      </c>
      <c r="C361" s="3" t="s">
        <v>417</v>
      </c>
      <c r="D361" s="4">
        <f t="shared" ca="1" si="5"/>
        <v>45453</v>
      </c>
      <c r="E361" s="3" t="s">
        <v>60</v>
      </c>
    </row>
    <row r="362" spans="1:5" x14ac:dyDescent="0.3">
      <c r="A362" s="3" t="s">
        <v>562</v>
      </c>
      <c r="B362" s="3" t="s">
        <v>523</v>
      </c>
      <c r="C362" s="3" t="s">
        <v>563</v>
      </c>
      <c r="D362" s="4">
        <f t="shared" ca="1" si="5"/>
        <v>45453</v>
      </c>
      <c r="E362" s="3" t="s">
        <v>56</v>
      </c>
    </row>
    <row r="363" spans="1:5" x14ac:dyDescent="0.3">
      <c r="A363" s="3" t="s">
        <v>573</v>
      </c>
      <c r="B363" s="3" t="s">
        <v>47</v>
      </c>
      <c r="C363" s="3" t="s">
        <v>574</v>
      </c>
      <c r="D363" s="4">
        <f t="shared" ca="1" si="5"/>
        <v>45453</v>
      </c>
      <c r="E363" s="3" t="s">
        <v>27</v>
      </c>
    </row>
    <row r="364" spans="1:5" x14ac:dyDescent="0.3">
      <c r="A364" s="3" t="s">
        <v>575</v>
      </c>
      <c r="B364" s="3" t="s">
        <v>93</v>
      </c>
      <c r="C364" s="3" t="s">
        <v>119</v>
      </c>
      <c r="D364" s="4">
        <f t="shared" ca="1" si="5"/>
        <v>45453</v>
      </c>
      <c r="E364" s="3" t="s">
        <v>27</v>
      </c>
    </row>
    <row r="365" spans="1:5" x14ac:dyDescent="0.3">
      <c r="A365" s="3" t="s">
        <v>576</v>
      </c>
      <c r="B365" s="3" t="s">
        <v>518</v>
      </c>
      <c r="C365" s="3" t="s">
        <v>577</v>
      </c>
      <c r="D365" s="4">
        <f t="shared" ca="1" si="5"/>
        <v>45453</v>
      </c>
      <c r="E365" s="3" t="s">
        <v>60</v>
      </c>
    </row>
    <row r="366" spans="1:5" x14ac:dyDescent="0.3">
      <c r="A366" s="3" t="s">
        <v>578</v>
      </c>
      <c r="B366" s="3" t="s">
        <v>579</v>
      </c>
      <c r="C366" s="3" t="s">
        <v>580</v>
      </c>
      <c r="D366" s="4">
        <f t="shared" ca="1" si="5"/>
        <v>45453</v>
      </c>
      <c r="E366" s="3" t="s">
        <v>60</v>
      </c>
    </row>
    <row r="367" spans="1:5" x14ac:dyDescent="0.3">
      <c r="A367" s="3" t="s">
        <v>89</v>
      </c>
      <c r="B367" s="3" t="s">
        <v>581</v>
      </c>
      <c r="C367" s="3" t="s">
        <v>582</v>
      </c>
      <c r="D367" s="4">
        <f t="shared" ca="1" si="5"/>
        <v>45453</v>
      </c>
      <c r="E367" s="3" t="s">
        <v>39</v>
      </c>
    </row>
    <row r="368" spans="1:5" x14ac:dyDescent="0.3">
      <c r="A368" s="3" t="s">
        <v>104</v>
      </c>
      <c r="B368" s="3" t="s">
        <v>25</v>
      </c>
      <c r="C368" s="3" t="s">
        <v>583</v>
      </c>
      <c r="D368" s="4">
        <f t="shared" ca="1" si="5"/>
        <v>45453</v>
      </c>
      <c r="E368" s="3" t="s">
        <v>27</v>
      </c>
    </row>
    <row r="369" spans="1:5" x14ac:dyDescent="0.3">
      <c r="A369" s="3" t="s">
        <v>437</v>
      </c>
      <c r="B369" s="3" t="s">
        <v>62</v>
      </c>
      <c r="C369" s="3" t="s">
        <v>438</v>
      </c>
      <c r="D369" s="4">
        <f t="shared" ca="1" si="5"/>
        <v>45453</v>
      </c>
      <c r="E369" s="3" t="s">
        <v>60</v>
      </c>
    </row>
    <row r="370" spans="1:5" x14ac:dyDescent="0.3">
      <c r="A370" s="3" t="s">
        <v>584</v>
      </c>
      <c r="B370" s="3" t="s">
        <v>121</v>
      </c>
      <c r="C370" s="3" t="s">
        <v>585</v>
      </c>
      <c r="D370" s="4">
        <f t="shared" ca="1" si="5"/>
        <v>45453</v>
      </c>
      <c r="E370" s="3" t="s">
        <v>39</v>
      </c>
    </row>
    <row r="371" spans="1:5" x14ac:dyDescent="0.3">
      <c r="A371" s="3" t="s">
        <v>586</v>
      </c>
      <c r="B371" s="3" t="s">
        <v>157</v>
      </c>
      <c r="C371" s="3" t="s">
        <v>587</v>
      </c>
      <c r="D371" s="4">
        <f t="shared" ca="1" si="5"/>
        <v>45453</v>
      </c>
      <c r="E371" s="3" t="s">
        <v>60</v>
      </c>
    </row>
    <row r="372" spans="1:5" x14ac:dyDescent="0.3">
      <c r="A372" s="3" t="s">
        <v>459</v>
      </c>
      <c r="B372" s="3" t="s">
        <v>25</v>
      </c>
      <c r="C372" s="3" t="s">
        <v>460</v>
      </c>
      <c r="D372" s="4">
        <f t="shared" ca="1" si="5"/>
        <v>45453</v>
      </c>
      <c r="E372" s="3" t="s">
        <v>39</v>
      </c>
    </row>
    <row r="373" spans="1:5" x14ac:dyDescent="0.3">
      <c r="A373" s="3" t="s">
        <v>588</v>
      </c>
      <c r="B373" s="3" t="s">
        <v>74</v>
      </c>
      <c r="C373" s="3" t="s">
        <v>216</v>
      </c>
      <c r="D373" s="4">
        <f t="shared" ca="1" si="5"/>
        <v>45453</v>
      </c>
      <c r="E373" s="3" t="s">
        <v>35</v>
      </c>
    </row>
    <row r="374" spans="1:5" x14ac:dyDescent="0.3">
      <c r="A374" s="3" t="s">
        <v>363</v>
      </c>
      <c r="B374" s="3" t="s">
        <v>178</v>
      </c>
      <c r="C374" s="3" t="s">
        <v>570</v>
      </c>
      <c r="D374" s="4">
        <f t="shared" ca="1" si="5"/>
        <v>45453</v>
      </c>
      <c r="E374" s="3" t="s">
        <v>35</v>
      </c>
    </row>
    <row r="375" spans="1:5" x14ac:dyDescent="0.3">
      <c r="A375" s="3" t="s">
        <v>314</v>
      </c>
      <c r="B375" s="3" t="s">
        <v>351</v>
      </c>
      <c r="C375" s="3" t="s">
        <v>352</v>
      </c>
      <c r="D375" s="4">
        <f t="shared" ca="1" si="5"/>
        <v>45453</v>
      </c>
      <c r="E375" s="3" t="s">
        <v>56</v>
      </c>
    </row>
    <row r="376" spans="1:5" x14ac:dyDescent="0.3">
      <c r="A376" s="3" t="s">
        <v>589</v>
      </c>
      <c r="B376" s="3" t="s">
        <v>65</v>
      </c>
      <c r="C376" s="3" t="s">
        <v>590</v>
      </c>
      <c r="D376" s="4">
        <f t="shared" ca="1" si="5"/>
        <v>45453</v>
      </c>
      <c r="E376" s="3" t="s">
        <v>56</v>
      </c>
    </row>
    <row r="377" spans="1:5" x14ac:dyDescent="0.3">
      <c r="A377" s="3" t="s">
        <v>591</v>
      </c>
      <c r="B377" s="3" t="s">
        <v>193</v>
      </c>
      <c r="C377" s="3" t="s">
        <v>592</v>
      </c>
      <c r="D377" s="4">
        <f t="shared" ca="1" si="5"/>
        <v>45453</v>
      </c>
      <c r="E377" s="3" t="s">
        <v>60</v>
      </c>
    </row>
    <row r="378" spans="1:5" x14ac:dyDescent="0.3">
      <c r="A378" s="3" t="s">
        <v>537</v>
      </c>
      <c r="B378" s="3" t="s">
        <v>157</v>
      </c>
      <c r="C378" s="3" t="s">
        <v>538</v>
      </c>
      <c r="D378" s="4">
        <f t="shared" ca="1" si="5"/>
        <v>45453</v>
      </c>
      <c r="E378" s="3" t="s">
        <v>31</v>
      </c>
    </row>
    <row r="379" spans="1:5" x14ac:dyDescent="0.3">
      <c r="A379" s="3" t="s">
        <v>593</v>
      </c>
      <c r="B379" s="3" t="s">
        <v>50</v>
      </c>
      <c r="C379" s="3" t="s">
        <v>594</v>
      </c>
      <c r="D379" s="4">
        <f t="shared" ca="1" si="5"/>
        <v>45453</v>
      </c>
      <c r="E379" s="3" t="s">
        <v>35</v>
      </c>
    </row>
    <row r="380" spans="1:5" x14ac:dyDescent="0.3">
      <c r="A380" s="3" t="s">
        <v>595</v>
      </c>
      <c r="B380" s="3" t="s">
        <v>37</v>
      </c>
      <c r="C380" s="3" t="s">
        <v>216</v>
      </c>
      <c r="D380" s="4">
        <f t="shared" ca="1" si="5"/>
        <v>45453</v>
      </c>
      <c r="E380" s="3" t="s">
        <v>60</v>
      </c>
    </row>
    <row r="381" spans="1:5" x14ac:dyDescent="0.3">
      <c r="A381" s="3" t="s">
        <v>73</v>
      </c>
      <c r="B381" s="3" t="s">
        <v>87</v>
      </c>
      <c r="C381" s="3" t="s">
        <v>278</v>
      </c>
      <c r="D381" s="4">
        <f t="shared" ca="1" si="5"/>
        <v>45453</v>
      </c>
      <c r="E381" s="3" t="s">
        <v>39</v>
      </c>
    </row>
    <row r="382" spans="1:5" x14ac:dyDescent="0.3">
      <c r="A382" s="3" t="s">
        <v>596</v>
      </c>
      <c r="B382" s="3" t="s">
        <v>93</v>
      </c>
      <c r="C382" s="3" t="s">
        <v>597</v>
      </c>
      <c r="D382" s="4">
        <f t="shared" ca="1" si="5"/>
        <v>45453</v>
      </c>
      <c r="E382" s="3" t="s">
        <v>27</v>
      </c>
    </row>
    <row r="383" spans="1:5" x14ac:dyDescent="0.3">
      <c r="A383" s="3" t="s">
        <v>40</v>
      </c>
      <c r="B383" s="3" t="s">
        <v>162</v>
      </c>
      <c r="C383" s="3" t="s">
        <v>427</v>
      </c>
      <c r="D383" s="4">
        <f t="shared" ca="1" si="5"/>
        <v>45453</v>
      </c>
      <c r="E383" s="3" t="s">
        <v>56</v>
      </c>
    </row>
    <row r="384" spans="1:5" x14ac:dyDescent="0.3">
      <c r="A384" s="3" t="s">
        <v>598</v>
      </c>
      <c r="B384" s="3" t="s">
        <v>25</v>
      </c>
      <c r="C384" s="3" t="s">
        <v>599</v>
      </c>
      <c r="D384" s="4">
        <f t="shared" ca="1" si="5"/>
        <v>45453</v>
      </c>
      <c r="E384" s="3" t="s">
        <v>56</v>
      </c>
    </row>
    <row r="385" spans="1:5" x14ac:dyDescent="0.3">
      <c r="A385" s="3" t="s">
        <v>559</v>
      </c>
      <c r="B385" s="3" t="s">
        <v>33</v>
      </c>
      <c r="C385" s="3" t="s">
        <v>138</v>
      </c>
      <c r="D385" s="4">
        <f t="shared" ca="1" si="5"/>
        <v>45453</v>
      </c>
      <c r="E385" s="3" t="s">
        <v>27</v>
      </c>
    </row>
    <row r="386" spans="1:5" x14ac:dyDescent="0.3">
      <c r="A386" s="3" t="s">
        <v>600</v>
      </c>
      <c r="B386" s="3" t="s">
        <v>71</v>
      </c>
      <c r="C386" s="3" t="s">
        <v>601</v>
      </c>
      <c r="D386" s="4">
        <f t="shared" ca="1" si="5"/>
        <v>45453</v>
      </c>
      <c r="E386" s="3" t="s">
        <v>56</v>
      </c>
    </row>
    <row r="387" spans="1:5" x14ac:dyDescent="0.3">
      <c r="A387" s="3" t="s">
        <v>306</v>
      </c>
      <c r="B387" s="3" t="s">
        <v>307</v>
      </c>
      <c r="C387" s="3" t="s">
        <v>308</v>
      </c>
      <c r="D387" s="4">
        <f t="shared" ca="1" si="5"/>
        <v>45453</v>
      </c>
      <c r="E387" s="3" t="s">
        <v>31</v>
      </c>
    </row>
    <row r="388" spans="1:5" x14ac:dyDescent="0.3">
      <c r="A388" s="3" t="s">
        <v>503</v>
      </c>
      <c r="B388" s="3" t="s">
        <v>504</v>
      </c>
      <c r="C388" s="3" t="s">
        <v>289</v>
      </c>
      <c r="D388" s="4">
        <f t="shared" ca="1" si="5"/>
        <v>45453</v>
      </c>
      <c r="E388" s="3" t="s">
        <v>39</v>
      </c>
    </row>
    <row r="389" spans="1:5" x14ac:dyDescent="0.3">
      <c r="A389" s="3" t="s">
        <v>602</v>
      </c>
      <c r="B389" s="3" t="s">
        <v>326</v>
      </c>
      <c r="C389" s="3" t="s">
        <v>603</v>
      </c>
      <c r="D389" s="4">
        <f t="shared" ca="1" si="5"/>
        <v>45453</v>
      </c>
      <c r="E389" s="3" t="s">
        <v>31</v>
      </c>
    </row>
    <row r="390" spans="1:5" x14ac:dyDescent="0.3">
      <c r="A390" s="3" t="s">
        <v>604</v>
      </c>
      <c r="B390" s="3" t="s">
        <v>392</v>
      </c>
      <c r="C390" s="3" t="s">
        <v>500</v>
      </c>
      <c r="D390" s="4">
        <f t="shared" ca="1" si="5"/>
        <v>45453</v>
      </c>
      <c r="E390" s="3" t="s">
        <v>39</v>
      </c>
    </row>
    <row r="391" spans="1:5" x14ac:dyDescent="0.3">
      <c r="A391" s="3" t="s">
        <v>37</v>
      </c>
      <c r="B391" s="3" t="s">
        <v>71</v>
      </c>
      <c r="C391" s="3" t="s">
        <v>460</v>
      </c>
      <c r="D391" s="4">
        <f t="shared" ca="1" si="5"/>
        <v>45453</v>
      </c>
      <c r="E391" s="3" t="s">
        <v>31</v>
      </c>
    </row>
    <row r="392" spans="1:5" x14ac:dyDescent="0.3">
      <c r="A392" s="3" t="s">
        <v>24</v>
      </c>
      <c r="B392" s="3" t="s">
        <v>25</v>
      </c>
      <c r="C392" s="3" t="s">
        <v>26</v>
      </c>
      <c r="D392" s="4">
        <f t="shared" ca="1" si="5"/>
        <v>45453</v>
      </c>
      <c r="E392" s="3" t="s">
        <v>27</v>
      </c>
    </row>
    <row r="393" spans="1:5" x14ac:dyDescent="0.3">
      <c r="A393" s="3" t="s">
        <v>332</v>
      </c>
      <c r="B393" s="3" t="s">
        <v>58</v>
      </c>
      <c r="C393" s="3" t="s">
        <v>605</v>
      </c>
      <c r="D393" s="4">
        <f t="shared" ca="1" si="5"/>
        <v>45453</v>
      </c>
      <c r="E393" s="3" t="s">
        <v>39</v>
      </c>
    </row>
    <row r="394" spans="1:5" x14ac:dyDescent="0.3">
      <c r="A394" s="3" t="s">
        <v>391</v>
      </c>
      <c r="B394" s="3" t="s">
        <v>392</v>
      </c>
      <c r="C394" s="3" t="s">
        <v>241</v>
      </c>
      <c r="D394" s="4">
        <f t="shared" ca="1" si="5"/>
        <v>45453</v>
      </c>
      <c r="E394" s="3" t="s">
        <v>39</v>
      </c>
    </row>
    <row r="395" spans="1:5" x14ac:dyDescent="0.3">
      <c r="A395" s="3" t="s">
        <v>330</v>
      </c>
      <c r="B395" s="3" t="s">
        <v>331</v>
      </c>
      <c r="C395" s="3" t="s">
        <v>233</v>
      </c>
      <c r="D395" s="4">
        <f t="shared" ca="1" si="5"/>
        <v>45453</v>
      </c>
      <c r="E395" s="3" t="s">
        <v>56</v>
      </c>
    </row>
    <row r="396" spans="1:5" x14ac:dyDescent="0.3">
      <c r="A396" s="3" t="s">
        <v>433</v>
      </c>
      <c r="B396" s="3" t="s">
        <v>65</v>
      </c>
      <c r="C396" s="3" t="s">
        <v>434</v>
      </c>
      <c r="D396" s="4">
        <f t="shared" ca="1" si="5"/>
        <v>45453</v>
      </c>
      <c r="E396" s="3" t="s">
        <v>39</v>
      </c>
    </row>
    <row r="397" spans="1:5" x14ac:dyDescent="0.3">
      <c r="A397" s="3" t="s">
        <v>512</v>
      </c>
      <c r="B397" s="3" t="s">
        <v>47</v>
      </c>
      <c r="C397" s="3" t="s">
        <v>513</v>
      </c>
      <c r="D397" s="4">
        <f t="shared" ca="1" si="5"/>
        <v>45453</v>
      </c>
      <c r="E397" s="3" t="s">
        <v>60</v>
      </c>
    </row>
    <row r="398" spans="1:5" x14ac:dyDescent="0.3">
      <c r="A398" s="3" t="s">
        <v>379</v>
      </c>
      <c r="B398" s="3" t="s">
        <v>65</v>
      </c>
      <c r="C398" s="3" t="s">
        <v>380</v>
      </c>
      <c r="D398" s="4">
        <f t="shared" ca="1" si="5"/>
        <v>45453</v>
      </c>
      <c r="E398" s="3" t="s">
        <v>39</v>
      </c>
    </row>
    <row r="399" spans="1:5" x14ac:dyDescent="0.3">
      <c r="A399" s="3" t="s">
        <v>311</v>
      </c>
      <c r="B399" s="3" t="s">
        <v>312</v>
      </c>
      <c r="C399" s="3" t="s">
        <v>313</v>
      </c>
      <c r="D399" s="4">
        <f t="shared" ca="1" si="5"/>
        <v>45453</v>
      </c>
      <c r="E399" s="3" t="s">
        <v>60</v>
      </c>
    </row>
    <row r="400" spans="1:5" x14ac:dyDescent="0.3">
      <c r="A400" s="3" t="s">
        <v>395</v>
      </c>
      <c r="B400" s="3" t="s">
        <v>477</v>
      </c>
      <c r="C400" s="3" t="s">
        <v>478</v>
      </c>
      <c r="D400" s="4">
        <f t="shared" ca="1" si="5"/>
        <v>45453</v>
      </c>
      <c r="E400" s="3" t="s">
        <v>39</v>
      </c>
    </row>
    <row r="401" spans="1:5" x14ac:dyDescent="0.3">
      <c r="A401" s="3" t="s">
        <v>61</v>
      </c>
      <c r="B401" s="3" t="s">
        <v>62</v>
      </c>
      <c r="C401" s="3" t="s">
        <v>63</v>
      </c>
      <c r="D401" s="4">
        <f t="shared" ca="1" si="5"/>
        <v>45453</v>
      </c>
      <c r="E401" s="3" t="s">
        <v>39</v>
      </c>
    </row>
    <row r="402" spans="1:5" x14ac:dyDescent="0.3">
      <c r="A402" s="3" t="s">
        <v>109</v>
      </c>
      <c r="B402" s="3" t="s">
        <v>37</v>
      </c>
      <c r="C402" s="3" t="s">
        <v>606</v>
      </c>
      <c r="D402" s="4">
        <f t="shared" ca="1" si="5"/>
        <v>45453</v>
      </c>
      <c r="E402" s="3" t="s">
        <v>31</v>
      </c>
    </row>
    <row r="403" spans="1:5" x14ac:dyDescent="0.3">
      <c r="A403" s="3" t="s">
        <v>596</v>
      </c>
      <c r="B403" s="3" t="s">
        <v>157</v>
      </c>
      <c r="C403" s="3" t="s">
        <v>285</v>
      </c>
      <c r="D403" s="4">
        <f t="shared" ca="1" si="5"/>
        <v>45453</v>
      </c>
      <c r="E403" s="3" t="s">
        <v>39</v>
      </c>
    </row>
    <row r="404" spans="1:5" x14ac:dyDescent="0.3">
      <c r="A404" s="3" t="s">
        <v>549</v>
      </c>
      <c r="B404" s="3" t="s">
        <v>550</v>
      </c>
      <c r="C404" s="3" t="s">
        <v>551</v>
      </c>
      <c r="D404" s="4">
        <f t="shared" ca="1" si="5"/>
        <v>45453</v>
      </c>
      <c r="E404" s="3" t="s">
        <v>60</v>
      </c>
    </row>
    <row r="405" spans="1:5" x14ac:dyDescent="0.3">
      <c r="A405" s="3" t="s">
        <v>375</v>
      </c>
      <c r="B405" s="3" t="s">
        <v>25</v>
      </c>
      <c r="C405" s="3" t="s">
        <v>158</v>
      </c>
      <c r="D405" s="4">
        <f t="shared" ca="1" si="5"/>
        <v>45453</v>
      </c>
      <c r="E405" s="3" t="s">
        <v>39</v>
      </c>
    </row>
    <row r="406" spans="1:5" x14ac:dyDescent="0.3">
      <c r="A406" s="3" t="s">
        <v>339</v>
      </c>
      <c r="B406" s="3" t="s">
        <v>44</v>
      </c>
      <c r="C406" s="3" t="s">
        <v>460</v>
      </c>
      <c r="D406" s="4">
        <f t="shared" ca="1" si="5"/>
        <v>45453</v>
      </c>
      <c r="E406" s="3" t="s">
        <v>35</v>
      </c>
    </row>
    <row r="407" spans="1:5" x14ac:dyDescent="0.3">
      <c r="A407" s="3" t="s">
        <v>24</v>
      </c>
      <c r="B407" s="3" t="s">
        <v>25</v>
      </c>
      <c r="C407" s="3" t="s">
        <v>26</v>
      </c>
      <c r="D407" s="4">
        <f t="shared" ca="1" si="5"/>
        <v>45453</v>
      </c>
      <c r="E407" s="3" t="s">
        <v>27</v>
      </c>
    </row>
    <row r="408" spans="1:5" x14ac:dyDescent="0.3">
      <c r="A408" s="3" t="s">
        <v>607</v>
      </c>
      <c r="B408" s="3" t="s">
        <v>284</v>
      </c>
      <c r="C408" s="3" t="s">
        <v>608</v>
      </c>
      <c r="D408" s="4">
        <f t="shared" ca="1" si="5"/>
        <v>45453</v>
      </c>
      <c r="E408" s="3" t="s">
        <v>39</v>
      </c>
    </row>
    <row r="409" spans="1:5" x14ac:dyDescent="0.3">
      <c r="A409" s="3" t="s">
        <v>609</v>
      </c>
      <c r="B409" s="3" t="s">
        <v>307</v>
      </c>
      <c r="C409" s="3" t="s">
        <v>610</v>
      </c>
      <c r="D409" s="4">
        <f t="shared" ca="1" si="5"/>
        <v>45453</v>
      </c>
      <c r="E409" s="3" t="s">
        <v>60</v>
      </c>
    </row>
    <row r="410" spans="1:5" x14ac:dyDescent="0.3">
      <c r="A410" s="3" t="s">
        <v>510</v>
      </c>
      <c r="B410" s="3" t="s">
        <v>65</v>
      </c>
      <c r="C410" s="3" t="s">
        <v>611</v>
      </c>
      <c r="D410" s="4">
        <f t="shared" ref="D410:D486" ca="1" si="6">TODAY()-554</f>
        <v>45483</v>
      </c>
      <c r="E410" s="3" t="s">
        <v>35</v>
      </c>
    </row>
    <row r="411" spans="1:5" x14ac:dyDescent="0.3">
      <c r="A411" s="3" t="s">
        <v>612</v>
      </c>
      <c r="B411" s="3" t="s">
        <v>140</v>
      </c>
      <c r="C411" s="3" t="s">
        <v>613</v>
      </c>
      <c r="D411" s="4">
        <f t="shared" ca="1" si="6"/>
        <v>45483</v>
      </c>
      <c r="E411" s="3" t="s">
        <v>39</v>
      </c>
    </row>
    <row r="412" spans="1:5" x14ac:dyDescent="0.3">
      <c r="A412" s="3" t="s">
        <v>614</v>
      </c>
      <c r="B412" s="3" t="s">
        <v>33</v>
      </c>
      <c r="C412" s="3" t="s">
        <v>615</v>
      </c>
      <c r="D412" s="4">
        <f t="shared" ca="1" si="6"/>
        <v>45483</v>
      </c>
      <c r="E412" s="3" t="s">
        <v>60</v>
      </c>
    </row>
    <row r="413" spans="1:5" x14ac:dyDescent="0.3">
      <c r="A413" s="3" t="s">
        <v>616</v>
      </c>
      <c r="B413" s="3" t="s">
        <v>617</v>
      </c>
      <c r="C413" s="3" t="s">
        <v>618</v>
      </c>
      <c r="D413" s="4">
        <f t="shared" ca="1" si="6"/>
        <v>45483</v>
      </c>
      <c r="E413" s="3" t="s">
        <v>39</v>
      </c>
    </row>
    <row r="414" spans="1:5" x14ac:dyDescent="0.3">
      <c r="A414" s="3" t="s">
        <v>192</v>
      </c>
      <c r="B414" s="3" t="s">
        <v>193</v>
      </c>
      <c r="C414" s="3" t="s">
        <v>194</v>
      </c>
      <c r="D414" s="4">
        <f t="shared" ca="1" si="6"/>
        <v>45483</v>
      </c>
      <c r="E414" s="3" t="s">
        <v>27</v>
      </c>
    </row>
    <row r="415" spans="1:5" x14ac:dyDescent="0.3">
      <c r="A415" s="3" t="s">
        <v>520</v>
      </c>
      <c r="B415" s="3" t="s">
        <v>65</v>
      </c>
      <c r="C415" s="3" t="s">
        <v>521</v>
      </c>
      <c r="D415" s="4">
        <f t="shared" ca="1" si="6"/>
        <v>45483</v>
      </c>
      <c r="E415" s="3" t="s">
        <v>27</v>
      </c>
    </row>
    <row r="416" spans="1:5" x14ac:dyDescent="0.3">
      <c r="A416" s="3" t="s">
        <v>95</v>
      </c>
      <c r="B416" s="3" t="s">
        <v>58</v>
      </c>
      <c r="C416" s="3" t="s">
        <v>96</v>
      </c>
      <c r="D416" s="4">
        <f t="shared" ca="1" si="6"/>
        <v>45483</v>
      </c>
      <c r="E416" s="3" t="s">
        <v>39</v>
      </c>
    </row>
    <row r="417" spans="1:5" x14ac:dyDescent="0.3">
      <c r="A417" s="3" t="s">
        <v>345</v>
      </c>
      <c r="B417" s="3" t="s">
        <v>307</v>
      </c>
      <c r="C417" s="3" t="s">
        <v>66</v>
      </c>
      <c r="D417" s="4">
        <f t="shared" ca="1" si="6"/>
        <v>45483</v>
      </c>
      <c r="E417" s="3" t="s">
        <v>31</v>
      </c>
    </row>
    <row r="418" spans="1:5" x14ac:dyDescent="0.3">
      <c r="A418" s="3" t="s">
        <v>619</v>
      </c>
      <c r="B418" s="3" t="s">
        <v>298</v>
      </c>
      <c r="C418" s="3" t="s">
        <v>620</v>
      </c>
      <c r="D418" s="4">
        <f t="shared" ca="1" si="6"/>
        <v>45483</v>
      </c>
      <c r="E418" s="3" t="s">
        <v>60</v>
      </c>
    </row>
    <row r="419" spans="1:5" x14ac:dyDescent="0.3">
      <c r="A419" s="3" t="s">
        <v>180</v>
      </c>
      <c r="B419" s="3" t="s">
        <v>50</v>
      </c>
      <c r="C419" s="3" t="s">
        <v>181</v>
      </c>
      <c r="D419" s="4">
        <f t="shared" ca="1" si="6"/>
        <v>45483</v>
      </c>
      <c r="E419" s="3" t="s">
        <v>39</v>
      </c>
    </row>
    <row r="420" spans="1:5" x14ac:dyDescent="0.3">
      <c r="A420" s="3" t="s">
        <v>621</v>
      </c>
      <c r="B420" s="3" t="s">
        <v>295</v>
      </c>
      <c r="C420" s="3" t="s">
        <v>622</v>
      </c>
      <c r="D420" s="4">
        <f t="shared" ca="1" si="6"/>
        <v>45483</v>
      </c>
      <c r="E420" s="3" t="s">
        <v>31</v>
      </c>
    </row>
    <row r="421" spans="1:5" x14ac:dyDescent="0.3">
      <c r="A421" s="3" t="s">
        <v>623</v>
      </c>
      <c r="B421" s="3" t="s">
        <v>74</v>
      </c>
      <c r="C421" s="3" t="s">
        <v>624</v>
      </c>
      <c r="D421" s="4">
        <f t="shared" ca="1" si="6"/>
        <v>45483</v>
      </c>
      <c r="E421" s="3" t="s">
        <v>35</v>
      </c>
    </row>
    <row r="422" spans="1:5" x14ac:dyDescent="0.3">
      <c r="A422" s="3" t="s">
        <v>625</v>
      </c>
      <c r="B422" s="3" t="s">
        <v>74</v>
      </c>
      <c r="C422" s="3" t="s">
        <v>626</v>
      </c>
      <c r="D422" s="4">
        <f t="shared" ca="1" si="6"/>
        <v>45483</v>
      </c>
      <c r="E422" s="3" t="s">
        <v>39</v>
      </c>
    </row>
    <row r="423" spans="1:5" x14ac:dyDescent="0.3">
      <c r="A423" s="3" t="s">
        <v>627</v>
      </c>
      <c r="B423" s="3" t="s">
        <v>87</v>
      </c>
      <c r="C423" s="3" t="s">
        <v>628</v>
      </c>
      <c r="D423" s="4">
        <f t="shared" ca="1" si="6"/>
        <v>45483</v>
      </c>
      <c r="E423" s="3" t="s">
        <v>39</v>
      </c>
    </row>
    <row r="424" spans="1:5" x14ac:dyDescent="0.3">
      <c r="A424" s="3" t="s">
        <v>375</v>
      </c>
      <c r="B424" s="3" t="s">
        <v>50</v>
      </c>
      <c r="C424" s="3" t="s">
        <v>411</v>
      </c>
      <c r="D424" s="4">
        <f t="shared" ca="1" si="6"/>
        <v>45483</v>
      </c>
      <c r="E424" s="3" t="s">
        <v>31</v>
      </c>
    </row>
    <row r="425" spans="1:5" x14ac:dyDescent="0.3">
      <c r="A425" s="3" t="s">
        <v>539</v>
      </c>
      <c r="B425" s="3" t="s">
        <v>25</v>
      </c>
      <c r="C425" s="3" t="s">
        <v>540</v>
      </c>
      <c r="D425" s="4">
        <f t="shared" ca="1" si="6"/>
        <v>45483</v>
      </c>
      <c r="E425" s="3" t="s">
        <v>39</v>
      </c>
    </row>
    <row r="426" spans="1:5" x14ac:dyDescent="0.3">
      <c r="A426" s="3" t="s">
        <v>358</v>
      </c>
      <c r="B426" s="3" t="s">
        <v>359</v>
      </c>
      <c r="C426" s="3" t="s">
        <v>360</v>
      </c>
      <c r="D426" s="4">
        <f t="shared" ca="1" si="6"/>
        <v>45483</v>
      </c>
      <c r="E426" s="3" t="s">
        <v>56</v>
      </c>
    </row>
    <row r="427" spans="1:5" x14ac:dyDescent="0.3">
      <c r="A427" s="3" t="s">
        <v>629</v>
      </c>
      <c r="B427" s="3" t="s">
        <v>93</v>
      </c>
      <c r="C427" s="3" t="s">
        <v>630</v>
      </c>
      <c r="D427" s="4">
        <f t="shared" ca="1" si="6"/>
        <v>45483</v>
      </c>
      <c r="E427" s="3" t="s">
        <v>35</v>
      </c>
    </row>
    <row r="428" spans="1:5" x14ac:dyDescent="0.3">
      <c r="A428" s="3" t="s">
        <v>144</v>
      </c>
      <c r="B428" s="3" t="s">
        <v>145</v>
      </c>
      <c r="C428" s="3" t="s">
        <v>146</v>
      </c>
      <c r="D428" s="4">
        <f t="shared" ca="1" si="6"/>
        <v>45483</v>
      </c>
      <c r="E428" s="3" t="s">
        <v>27</v>
      </c>
    </row>
    <row r="429" spans="1:5" x14ac:dyDescent="0.3">
      <c r="A429" s="3" t="s">
        <v>156</v>
      </c>
      <c r="B429" s="3" t="s">
        <v>157</v>
      </c>
      <c r="C429" s="3" t="s">
        <v>158</v>
      </c>
      <c r="D429" s="4">
        <f t="shared" ca="1" si="6"/>
        <v>45483</v>
      </c>
      <c r="E429" s="3" t="s">
        <v>60</v>
      </c>
    </row>
    <row r="430" spans="1:5" x14ac:dyDescent="0.3">
      <c r="A430" s="3" t="s">
        <v>489</v>
      </c>
      <c r="B430" s="3" t="s">
        <v>74</v>
      </c>
      <c r="C430" s="3" t="s">
        <v>490</v>
      </c>
      <c r="D430" s="4">
        <f t="shared" ca="1" si="6"/>
        <v>45483</v>
      </c>
      <c r="E430" s="3" t="s">
        <v>35</v>
      </c>
    </row>
    <row r="431" spans="1:5" x14ac:dyDescent="0.3">
      <c r="A431" s="3" t="s">
        <v>631</v>
      </c>
      <c r="B431" s="3" t="s">
        <v>33</v>
      </c>
      <c r="C431" s="3" t="s">
        <v>79</v>
      </c>
      <c r="D431" s="4">
        <f t="shared" ca="1" si="6"/>
        <v>45483</v>
      </c>
      <c r="E431" s="3" t="s">
        <v>60</v>
      </c>
    </row>
    <row r="432" spans="1:5" x14ac:dyDescent="0.3">
      <c r="A432" s="3" t="s">
        <v>311</v>
      </c>
      <c r="B432" s="3" t="s">
        <v>312</v>
      </c>
      <c r="C432" s="3" t="s">
        <v>313</v>
      </c>
      <c r="D432" s="4">
        <f t="shared" ca="1" si="6"/>
        <v>45483</v>
      </c>
      <c r="E432" s="3" t="s">
        <v>60</v>
      </c>
    </row>
    <row r="433" spans="1:5" x14ac:dyDescent="0.3">
      <c r="A433" s="3" t="s">
        <v>288</v>
      </c>
      <c r="B433" s="3" t="s">
        <v>211</v>
      </c>
      <c r="C433" s="3" t="s">
        <v>390</v>
      </c>
      <c r="D433" s="4">
        <f t="shared" ca="1" si="6"/>
        <v>45483</v>
      </c>
      <c r="E433" s="3" t="s">
        <v>35</v>
      </c>
    </row>
    <row r="434" spans="1:5" x14ac:dyDescent="0.3">
      <c r="A434" s="3" t="s">
        <v>632</v>
      </c>
      <c r="B434" s="3" t="s">
        <v>368</v>
      </c>
      <c r="C434" s="3" t="s">
        <v>633</v>
      </c>
      <c r="D434" s="4">
        <f t="shared" ca="1" si="6"/>
        <v>45483</v>
      </c>
      <c r="E434" s="3" t="s">
        <v>60</v>
      </c>
    </row>
    <row r="435" spans="1:5" x14ac:dyDescent="0.3">
      <c r="A435" s="3" t="s">
        <v>634</v>
      </c>
      <c r="B435" s="3" t="s">
        <v>71</v>
      </c>
      <c r="C435" s="3" t="s">
        <v>635</v>
      </c>
      <c r="D435" s="4">
        <f t="shared" ca="1" si="6"/>
        <v>45483</v>
      </c>
      <c r="E435" s="3" t="s">
        <v>56</v>
      </c>
    </row>
    <row r="436" spans="1:5" x14ac:dyDescent="0.3">
      <c r="A436" s="3" t="s">
        <v>283</v>
      </c>
      <c r="B436" s="3" t="s">
        <v>284</v>
      </c>
      <c r="C436" s="3" t="s">
        <v>285</v>
      </c>
      <c r="D436" s="4">
        <f t="shared" ca="1" si="6"/>
        <v>45483</v>
      </c>
      <c r="E436" s="3" t="s">
        <v>60</v>
      </c>
    </row>
    <row r="437" spans="1:5" x14ac:dyDescent="0.3">
      <c r="A437" s="3" t="s">
        <v>636</v>
      </c>
      <c r="B437" s="3" t="s">
        <v>71</v>
      </c>
      <c r="C437" s="3" t="s">
        <v>200</v>
      </c>
      <c r="D437" s="4">
        <f t="shared" ca="1" si="6"/>
        <v>45483</v>
      </c>
      <c r="E437" s="3" t="s">
        <v>60</v>
      </c>
    </row>
    <row r="438" spans="1:5" x14ac:dyDescent="0.3">
      <c r="A438" s="3" t="s">
        <v>332</v>
      </c>
      <c r="B438" s="3" t="s">
        <v>58</v>
      </c>
      <c r="C438" s="3" t="s">
        <v>605</v>
      </c>
      <c r="D438" s="4">
        <f t="shared" ca="1" si="6"/>
        <v>45483</v>
      </c>
      <c r="E438" s="3" t="s">
        <v>39</v>
      </c>
    </row>
    <row r="439" spans="1:5" x14ac:dyDescent="0.3">
      <c r="A439" s="3" t="s">
        <v>637</v>
      </c>
      <c r="B439" s="3" t="s">
        <v>165</v>
      </c>
      <c r="C439" s="3" t="s">
        <v>638</v>
      </c>
      <c r="D439" s="4">
        <f t="shared" ca="1" si="6"/>
        <v>45483</v>
      </c>
      <c r="E439" s="3" t="s">
        <v>60</v>
      </c>
    </row>
    <row r="440" spans="1:5" x14ac:dyDescent="0.3">
      <c r="A440" s="3" t="s">
        <v>383</v>
      </c>
      <c r="B440" s="3" t="s">
        <v>33</v>
      </c>
      <c r="C440" s="3" t="s">
        <v>384</v>
      </c>
      <c r="D440" s="4">
        <f t="shared" ca="1" si="6"/>
        <v>45483</v>
      </c>
      <c r="E440" s="3" t="s">
        <v>60</v>
      </c>
    </row>
    <row r="441" spans="1:5" x14ac:dyDescent="0.3">
      <c r="A441" s="3" t="s">
        <v>634</v>
      </c>
      <c r="B441" s="3" t="s">
        <v>71</v>
      </c>
      <c r="C441" s="3" t="s">
        <v>635</v>
      </c>
      <c r="D441" s="4">
        <f t="shared" ca="1" si="6"/>
        <v>45483</v>
      </c>
      <c r="E441" s="3" t="s">
        <v>56</v>
      </c>
    </row>
    <row r="442" spans="1:5" x14ac:dyDescent="0.3">
      <c r="A442" s="3" t="s">
        <v>292</v>
      </c>
      <c r="B442" s="3" t="s">
        <v>118</v>
      </c>
      <c r="C442" s="3" t="s">
        <v>293</v>
      </c>
      <c r="D442" s="4">
        <f t="shared" ca="1" si="6"/>
        <v>45483</v>
      </c>
      <c r="E442" s="3" t="s">
        <v>60</v>
      </c>
    </row>
    <row r="443" spans="1:5" x14ac:dyDescent="0.3">
      <c r="A443" s="3" t="s">
        <v>234</v>
      </c>
      <c r="B443" s="3" t="s">
        <v>87</v>
      </c>
      <c r="C443" s="3" t="s">
        <v>235</v>
      </c>
      <c r="D443" s="4">
        <f t="shared" ca="1" si="6"/>
        <v>45483</v>
      </c>
      <c r="E443" s="3" t="s">
        <v>35</v>
      </c>
    </row>
    <row r="444" spans="1:5" x14ac:dyDescent="0.3">
      <c r="A444" s="3" t="s">
        <v>132</v>
      </c>
      <c r="B444" s="3" t="s">
        <v>133</v>
      </c>
      <c r="C444" s="3" t="s">
        <v>134</v>
      </c>
      <c r="D444" s="4">
        <f t="shared" ca="1" si="6"/>
        <v>45483</v>
      </c>
      <c r="E444" s="3" t="s">
        <v>60</v>
      </c>
    </row>
    <row r="445" spans="1:5" x14ac:dyDescent="0.3">
      <c r="A445" s="3" t="s">
        <v>346</v>
      </c>
      <c r="B445" s="3" t="s">
        <v>193</v>
      </c>
      <c r="C445" s="3" t="s">
        <v>347</v>
      </c>
      <c r="D445" s="4">
        <f t="shared" ca="1" si="6"/>
        <v>45483</v>
      </c>
      <c r="E445" s="3" t="s">
        <v>39</v>
      </c>
    </row>
    <row r="446" spans="1:5" x14ac:dyDescent="0.3">
      <c r="A446" s="3" t="s">
        <v>281</v>
      </c>
      <c r="B446" s="3" t="s">
        <v>37</v>
      </c>
      <c r="C446" s="3" t="s">
        <v>505</v>
      </c>
      <c r="D446" s="4">
        <f t="shared" ca="1" si="6"/>
        <v>45483</v>
      </c>
      <c r="E446" s="3" t="s">
        <v>27</v>
      </c>
    </row>
    <row r="447" spans="1:5" x14ac:dyDescent="0.3">
      <c r="A447" s="3" t="s">
        <v>639</v>
      </c>
      <c r="B447" s="3" t="s">
        <v>65</v>
      </c>
      <c r="C447" s="3" t="s">
        <v>640</v>
      </c>
      <c r="D447" s="4">
        <f t="shared" ca="1" si="6"/>
        <v>45483</v>
      </c>
      <c r="E447" s="3" t="s">
        <v>31</v>
      </c>
    </row>
    <row r="448" spans="1:5" x14ac:dyDescent="0.3">
      <c r="A448" s="3" t="s">
        <v>236</v>
      </c>
      <c r="B448" s="3" t="s">
        <v>65</v>
      </c>
      <c r="C448" s="3" t="s">
        <v>237</v>
      </c>
      <c r="D448" s="4">
        <f t="shared" ca="1" si="6"/>
        <v>45483</v>
      </c>
      <c r="E448" s="3" t="s">
        <v>56</v>
      </c>
    </row>
    <row r="449" spans="1:5" x14ac:dyDescent="0.3">
      <c r="A449" s="3" t="s">
        <v>328</v>
      </c>
      <c r="B449" s="3" t="s">
        <v>193</v>
      </c>
      <c r="C449" s="3" t="s">
        <v>329</v>
      </c>
      <c r="D449" s="4">
        <f t="shared" ca="1" si="6"/>
        <v>45483</v>
      </c>
      <c r="E449" s="3" t="s">
        <v>60</v>
      </c>
    </row>
    <row r="450" spans="1:5" x14ac:dyDescent="0.3">
      <c r="A450" s="3" t="s">
        <v>224</v>
      </c>
      <c r="B450" s="3" t="s">
        <v>193</v>
      </c>
      <c r="C450" s="3" t="s">
        <v>225</v>
      </c>
      <c r="D450" s="4">
        <f t="shared" ca="1" si="6"/>
        <v>45483</v>
      </c>
      <c r="E450" s="3" t="s">
        <v>56</v>
      </c>
    </row>
    <row r="451" spans="1:5" x14ac:dyDescent="0.3">
      <c r="A451" s="3" t="s">
        <v>314</v>
      </c>
      <c r="B451" s="3" t="s">
        <v>641</v>
      </c>
      <c r="C451" s="3" t="s">
        <v>642</v>
      </c>
      <c r="D451" s="4">
        <f t="shared" ca="1" si="6"/>
        <v>45483</v>
      </c>
      <c r="E451" s="3" t="s">
        <v>56</v>
      </c>
    </row>
    <row r="452" spans="1:5" x14ac:dyDescent="0.3">
      <c r="A452" s="3" t="s">
        <v>86</v>
      </c>
      <c r="B452" s="3" t="s">
        <v>87</v>
      </c>
      <c r="C452" s="3" t="s">
        <v>88</v>
      </c>
      <c r="D452" s="4">
        <f t="shared" ca="1" si="6"/>
        <v>45483</v>
      </c>
      <c r="E452" s="3" t="s">
        <v>60</v>
      </c>
    </row>
    <row r="453" spans="1:5" x14ac:dyDescent="0.3">
      <c r="A453" s="3" t="s">
        <v>596</v>
      </c>
      <c r="B453" s="3" t="s">
        <v>93</v>
      </c>
      <c r="C453" s="3" t="s">
        <v>597</v>
      </c>
      <c r="D453" s="4">
        <f t="shared" ca="1" si="6"/>
        <v>45483</v>
      </c>
      <c r="E453" s="3" t="s">
        <v>27</v>
      </c>
    </row>
    <row r="454" spans="1:5" x14ac:dyDescent="0.3">
      <c r="A454" s="3" t="s">
        <v>639</v>
      </c>
      <c r="B454" s="3" t="s">
        <v>65</v>
      </c>
      <c r="C454" s="3" t="s">
        <v>640</v>
      </c>
      <c r="D454" s="4">
        <f t="shared" ca="1" si="6"/>
        <v>45483</v>
      </c>
      <c r="E454" s="3" t="s">
        <v>31</v>
      </c>
    </row>
    <row r="455" spans="1:5" x14ac:dyDescent="0.3">
      <c r="A455" s="3" t="s">
        <v>643</v>
      </c>
      <c r="B455" s="3" t="s">
        <v>644</v>
      </c>
      <c r="C455" s="3" t="s">
        <v>645</v>
      </c>
      <c r="D455" s="4">
        <f t="shared" ca="1" si="6"/>
        <v>45483</v>
      </c>
      <c r="E455" s="3" t="s">
        <v>39</v>
      </c>
    </row>
    <row r="456" spans="1:5" x14ac:dyDescent="0.3">
      <c r="A456" s="3" t="s">
        <v>646</v>
      </c>
      <c r="B456" s="3" t="s">
        <v>212</v>
      </c>
      <c r="C456" s="3" t="s">
        <v>647</v>
      </c>
      <c r="D456" s="4">
        <f t="shared" ca="1" si="6"/>
        <v>45483</v>
      </c>
      <c r="E456" s="3" t="s">
        <v>39</v>
      </c>
    </row>
    <row r="457" spans="1:5" x14ac:dyDescent="0.3">
      <c r="A457" s="3" t="s">
        <v>648</v>
      </c>
      <c r="B457" s="3" t="s">
        <v>87</v>
      </c>
      <c r="C457" s="3" t="s">
        <v>649</v>
      </c>
      <c r="D457" s="4">
        <f t="shared" ca="1" si="6"/>
        <v>45483</v>
      </c>
      <c r="E457" s="3" t="s">
        <v>31</v>
      </c>
    </row>
    <row r="458" spans="1:5" x14ac:dyDescent="0.3">
      <c r="A458" s="3" t="s">
        <v>650</v>
      </c>
      <c r="B458" s="3" t="s">
        <v>245</v>
      </c>
      <c r="C458" s="3" t="s">
        <v>651</v>
      </c>
      <c r="D458" s="4">
        <f t="shared" ca="1" si="6"/>
        <v>45483</v>
      </c>
      <c r="E458" s="3" t="s">
        <v>35</v>
      </c>
    </row>
    <row r="459" spans="1:5" x14ac:dyDescent="0.3">
      <c r="A459" s="3" t="s">
        <v>97</v>
      </c>
      <c r="B459" s="3" t="s">
        <v>193</v>
      </c>
      <c r="C459" s="3" t="s">
        <v>303</v>
      </c>
      <c r="D459" s="4">
        <f t="shared" ca="1" si="6"/>
        <v>45483</v>
      </c>
      <c r="E459" s="3" t="s">
        <v>35</v>
      </c>
    </row>
    <row r="460" spans="1:5" x14ac:dyDescent="0.3">
      <c r="A460" s="3" t="s">
        <v>393</v>
      </c>
      <c r="B460" s="3" t="s">
        <v>74</v>
      </c>
      <c r="C460" s="3" t="s">
        <v>394</v>
      </c>
      <c r="D460" s="4">
        <f t="shared" ca="1" si="6"/>
        <v>45483</v>
      </c>
      <c r="E460" s="3" t="s">
        <v>56</v>
      </c>
    </row>
    <row r="461" spans="1:5" x14ac:dyDescent="0.3">
      <c r="A461" s="3" t="s">
        <v>604</v>
      </c>
      <c r="B461" s="3" t="s">
        <v>50</v>
      </c>
      <c r="C461" s="3" t="s">
        <v>652</v>
      </c>
      <c r="D461" s="4">
        <f t="shared" ca="1" si="6"/>
        <v>45483</v>
      </c>
      <c r="E461" s="3" t="s">
        <v>60</v>
      </c>
    </row>
    <row r="462" spans="1:5" x14ac:dyDescent="0.3">
      <c r="A462" s="3" t="s">
        <v>653</v>
      </c>
      <c r="B462" s="3" t="s">
        <v>58</v>
      </c>
      <c r="C462" s="3" t="s">
        <v>654</v>
      </c>
      <c r="D462" s="4">
        <f t="shared" ca="1" si="6"/>
        <v>45483</v>
      </c>
      <c r="E462" s="3" t="s">
        <v>60</v>
      </c>
    </row>
    <row r="463" spans="1:5" x14ac:dyDescent="0.3">
      <c r="A463" s="3" t="s">
        <v>128</v>
      </c>
      <c r="B463" s="3" t="s">
        <v>87</v>
      </c>
      <c r="C463" s="3" t="s">
        <v>129</v>
      </c>
      <c r="D463" s="4">
        <f t="shared" ca="1" si="6"/>
        <v>45483</v>
      </c>
      <c r="E463" s="3" t="s">
        <v>27</v>
      </c>
    </row>
    <row r="464" spans="1:5" x14ac:dyDescent="0.3">
      <c r="A464" s="3" t="s">
        <v>135</v>
      </c>
      <c r="B464" s="3" t="s">
        <v>25</v>
      </c>
      <c r="C464" s="3" t="s">
        <v>136</v>
      </c>
      <c r="D464" s="4">
        <f t="shared" ca="1" si="6"/>
        <v>45483</v>
      </c>
      <c r="E464" s="3" t="s">
        <v>60</v>
      </c>
    </row>
    <row r="465" spans="1:5" x14ac:dyDescent="0.3">
      <c r="A465" s="3" t="s">
        <v>655</v>
      </c>
      <c r="B465" s="3" t="s">
        <v>124</v>
      </c>
      <c r="C465" s="3" t="s">
        <v>656</v>
      </c>
      <c r="D465" s="4">
        <f t="shared" ca="1" si="6"/>
        <v>45483</v>
      </c>
      <c r="E465" s="3" t="s">
        <v>35</v>
      </c>
    </row>
    <row r="466" spans="1:5" x14ac:dyDescent="0.3">
      <c r="A466" s="3" t="s">
        <v>372</v>
      </c>
      <c r="B466" s="3" t="s">
        <v>145</v>
      </c>
      <c r="C466" s="3" t="s">
        <v>373</v>
      </c>
      <c r="D466" s="4">
        <f t="shared" ca="1" si="6"/>
        <v>45483</v>
      </c>
      <c r="E466" s="3" t="s">
        <v>39</v>
      </c>
    </row>
    <row r="467" spans="1:5" x14ac:dyDescent="0.3">
      <c r="A467" s="3" t="s">
        <v>450</v>
      </c>
      <c r="B467" s="3" t="s">
        <v>326</v>
      </c>
      <c r="C467" s="3" t="s">
        <v>451</v>
      </c>
      <c r="D467" s="4">
        <f t="shared" ca="1" si="6"/>
        <v>45483</v>
      </c>
      <c r="E467" s="3" t="s">
        <v>35</v>
      </c>
    </row>
    <row r="468" spans="1:5" x14ac:dyDescent="0.3">
      <c r="A468" s="3" t="s">
        <v>657</v>
      </c>
      <c r="B468" s="3" t="s">
        <v>65</v>
      </c>
      <c r="C468" s="3" t="s">
        <v>658</v>
      </c>
      <c r="D468" s="4">
        <f t="shared" ca="1" si="6"/>
        <v>45483</v>
      </c>
      <c r="E468" s="3" t="s">
        <v>27</v>
      </c>
    </row>
    <row r="469" spans="1:5" x14ac:dyDescent="0.3">
      <c r="A469" s="3" t="s">
        <v>180</v>
      </c>
      <c r="B469" s="3" t="s">
        <v>50</v>
      </c>
      <c r="C469" s="3" t="s">
        <v>181</v>
      </c>
      <c r="D469" s="4">
        <f t="shared" ca="1" si="6"/>
        <v>45483</v>
      </c>
      <c r="E469" s="3" t="s">
        <v>39</v>
      </c>
    </row>
    <row r="470" spans="1:5" x14ac:dyDescent="0.3">
      <c r="A470" s="3" t="s">
        <v>195</v>
      </c>
      <c r="B470" s="3" t="s">
        <v>157</v>
      </c>
      <c r="C470" s="3" t="s">
        <v>196</v>
      </c>
      <c r="D470" s="4">
        <f t="shared" ca="1" si="6"/>
        <v>45483</v>
      </c>
      <c r="E470" s="3" t="s">
        <v>56</v>
      </c>
    </row>
    <row r="471" spans="1:5" x14ac:dyDescent="0.3">
      <c r="A471" s="3" t="s">
        <v>573</v>
      </c>
      <c r="B471" s="3" t="s">
        <v>74</v>
      </c>
      <c r="C471" s="3" t="s">
        <v>659</v>
      </c>
      <c r="D471" s="4">
        <f t="shared" ca="1" si="6"/>
        <v>45483</v>
      </c>
      <c r="E471" s="3" t="s">
        <v>31</v>
      </c>
    </row>
    <row r="472" spans="1:5" x14ac:dyDescent="0.3">
      <c r="A472" s="3" t="s">
        <v>104</v>
      </c>
      <c r="B472" s="3" t="s">
        <v>58</v>
      </c>
      <c r="C472" s="3" t="s">
        <v>515</v>
      </c>
      <c r="D472" s="4">
        <f t="shared" ca="1" si="6"/>
        <v>45483</v>
      </c>
      <c r="E472" s="3" t="s">
        <v>35</v>
      </c>
    </row>
    <row r="473" spans="1:5" x14ac:dyDescent="0.3">
      <c r="A473" s="3" t="s">
        <v>377</v>
      </c>
      <c r="B473" s="3" t="s">
        <v>50</v>
      </c>
      <c r="C473" s="3" t="s">
        <v>378</v>
      </c>
      <c r="D473" s="4">
        <f t="shared" ca="1" si="6"/>
        <v>45483</v>
      </c>
      <c r="E473" s="3" t="s">
        <v>60</v>
      </c>
    </row>
    <row r="474" spans="1:5" x14ac:dyDescent="0.3">
      <c r="A474" s="3" t="s">
        <v>503</v>
      </c>
      <c r="B474" s="3" t="s">
        <v>504</v>
      </c>
      <c r="C474" s="3" t="s">
        <v>289</v>
      </c>
      <c r="D474" s="4">
        <f t="shared" ca="1" si="6"/>
        <v>45483</v>
      </c>
      <c r="E474" s="3" t="s">
        <v>39</v>
      </c>
    </row>
    <row r="475" spans="1:5" x14ac:dyDescent="0.3">
      <c r="A475" s="3" t="s">
        <v>416</v>
      </c>
      <c r="B475" s="3" t="s">
        <v>93</v>
      </c>
      <c r="C475" s="3" t="s">
        <v>417</v>
      </c>
      <c r="D475" s="4">
        <f t="shared" ca="1" si="6"/>
        <v>45483</v>
      </c>
      <c r="E475" s="3" t="s">
        <v>60</v>
      </c>
    </row>
    <row r="476" spans="1:5" x14ac:dyDescent="0.3">
      <c r="A476" s="3" t="s">
        <v>335</v>
      </c>
      <c r="B476" s="3" t="s">
        <v>58</v>
      </c>
      <c r="C476" s="3" t="s">
        <v>336</v>
      </c>
      <c r="D476" s="4">
        <f t="shared" ca="1" si="6"/>
        <v>45483</v>
      </c>
      <c r="E476" s="3" t="s">
        <v>60</v>
      </c>
    </row>
    <row r="477" spans="1:5" x14ac:dyDescent="0.3">
      <c r="A477" s="3" t="s">
        <v>593</v>
      </c>
      <c r="B477" s="3" t="s">
        <v>50</v>
      </c>
      <c r="C477" s="3" t="s">
        <v>594</v>
      </c>
      <c r="D477" s="4">
        <f t="shared" ca="1" si="6"/>
        <v>45483</v>
      </c>
      <c r="E477" s="3" t="s">
        <v>35</v>
      </c>
    </row>
    <row r="478" spans="1:5" x14ac:dyDescent="0.3">
      <c r="A478" s="3" t="s">
        <v>660</v>
      </c>
      <c r="B478" s="3" t="s">
        <v>211</v>
      </c>
      <c r="C478" s="3" t="s">
        <v>661</v>
      </c>
      <c r="D478" s="4">
        <f t="shared" ca="1" si="6"/>
        <v>45483</v>
      </c>
      <c r="E478" s="3" t="s">
        <v>56</v>
      </c>
    </row>
    <row r="479" spans="1:5" x14ac:dyDescent="0.3">
      <c r="A479" s="3" t="s">
        <v>662</v>
      </c>
      <c r="B479" s="3" t="s">
        <v>65</v>
      </c>
      <c r="C479" s="3" t="s">
        <v>663</v>
      </c>
      <c r="D479" s="4">
        <f t="shared" ca="1" si="6"/>
        <v>45483</v>
      </c>
      <c r="E479" s="3" t="s">
        <v>35</v>
      </c>
    </row>
    <row r="480" spans="1:5" x14ac:dyDescent="0.3">
      <c r="A480" s="3" t="s">
        <v>226</v>
      </c>
      <c r="B480" s="3" t="s">
        <v>124</v>
      </c>
      <c r="C480" s="3" t="s">
        <v>227</v>
      </c>
      <c r="D480" s="4">
        <f t="shared" ca="1" si="6"/>
        <v>45483</v>
      </c>
      <c r="E480" s="3" t="s">
        <v>39</v>
      </c>
    </row>
    <row r="481" spans="1:5" x14ac:dyDescent="0.3">
      <c r="A481" s="3" t="s">
        <v>664</v>
      </c>
      <c r="B481" s="3" t="s">
        <v>162</v>
      </c>
      <c r="C481" s="3" t="s">
        <v>665</v>
      </c>
      <c r="D481" s="4">
        <f t="shared" ca="1" si="6"/>
        <v>45483</v>
      </c>
      <c r="E481" s="3" t="s">
        <v>39</v>
      </c>
    </row>
    <row r="482" spans="1:5" x14ac:dyDescent="0.3">
      <c r="A482" s="3" t="s">
        <v>209</v>
      </c>
      <c r="B482" s="3" t="s">
        <v>62</v>
      </c>
      <c r="C482" s="3" t="s">
        <v>282</v>
      </c>
      <c r="D482" s="4">
        <f t="shared" ca="1" si="6"/>
        <v>45483</v>
      </c>
      <c r="E482" s="3" t="s">
        <v>60</v>
      </c>
    </row>
    <row r="483" spans="1:5" x14ac:dyDescent="0.3">
      <c r="A483" s="3" t="s">
        <v>286</v>
      </c>
      <c r="B483" s="3" t="s">
        <v>178</v>
      </c>
      <c r="C483" s="3" t="s">
        <v>287</v>
      </c>
      <c r="D483" s="4">
        <f t="shared" ca="1" si="6"/>
        <v>45483</v>
      </c>
      <c r="E483" s="3" t="s">
        <v>60</v>
      </c>
    </row>
    <row r="484" spans="1:5" x14ac:dyDescent="0.3">
      <c r="A484" s="3" t="s">
        <v>648</v>
      </c>
      <c r="B484" s="3" t="s">
        <v>87</v>
      </c>
      <c r="C484" s="3" t="s">
        <v>649</v>
      </c>
      <c r="D484" s="4">
        <f t="shared" ca="1" si="6"/>
        <v>45483</v>
      </c>
      <c r="E484" s="3" t="s">
        <v>31</v>
      </c>
    </row>
    <row r="485" spans="1:5" x14ac:dyDescent="0.3">
      <c r="A485" s="3" t="s">
        <v>149</v>
      </c>
      <c r="B485" s="3" t="s">
        <v>150</v>
      </c>
      <c r="C485" s="3" t="s">
        <v>151</v>
      </c>
      <c r="D485" s="4">
        <f t="shared" ca="1" si="6"/>
        <v>45483</v>
      </c>
      <c r="E485" s="3" t="s">
        <v>27</v>
      </c>
    </row>
    <row r="486" spans="1:5" x14ac:dyDescent="0.3">
      <c r="A486" s="3" t="s">
        <v>304</v>
      </c>
      <c r="B486" s="3" t="s">
        <v>65</v>
      </c>
      <c r="C486" s="3" t="s">
        <v>305</v>
      </c>
      <c r="D486" s="4">
        <f t="shared" ca="1" si="6"/>
        <v>45483</v>
      </c>
      <c r="E486" s="3" t="s">
        <v>27</v>
      </c>
    </row>
    <row r="487" spans="1:5" x14ac:dyDescent="0.3">
      <c r="A487" s="3" t="s">
        <v>666</v>
      </c>
      <c r="B487" s="3" t="s">
        <v>74</v>
      </c>
      <c r="C487" s="3" t="s">
        <v>667</v>
      </c>
      <c r="D487" s="4">
        <f t="shared" ref="D487:D566" ca="1" si="7">TODAY()-523</f>
        <v>45514</v>
      </c>
      <c r="E487" s="3" t="s">
        <v>60</v>
      </c>
    </row>
    <row r="488" spans="1:5" x14ac:dyDescent="0.3">
      <c r="A488" s="3" t="s">
        <v>541</v>
      </c>
      <c r="B488" s="3" t="s">
        <v>65</v>
      </c>
      <c r="C488" s="3" t="s">
        <v>352</v>
      </c>
      <c r="D488" s="4">
        <f t="shared" ca="1" si="7"/>
        <v>45514</v>
      </c>
      <c r="E488" s="3" t="s">
        <v>60</v>
      </c>
    </row>
    <row r="489" spans="1:5" x14ac:dyDescent="0.3">
      <c r="A489" s="3" t="s">
        <v>501</v>
      </c>
      <c r="B489" s="3" t="s">
        <v>157</v>
      </c>
      <c r="C489" s="3" t="s">
        <v>502</v>
      </c>
      <c r="D489" s="4">
        <f t="shared" ca="1" si="7"/>
        <v>45514</v>
      </c>
      <c r="E489" s="3" t="s">
        <v>56</v>
      </c>
    </row>
    <row r="490" spans="1:5" x14ac:dyDescent="0.3">
      <c r="A490" s="3" t="s">
        <v>435</v>
      </c>
      <c r="B490" s="3" t="s">
        <v>65</v>
      </c>
      <c r="C490" s="3" t="s">
        <v>436</v>
      </c>
      <c r="D490" s="4">
        <f t="shared" ca="1" si="7"/>
        <v>45514</v>
      </c>
      <c r="E490" s="3" t="s">
        <v>31</v>
      </c>
    </row>
    <row r="491" spans="1:5" x14ac:dyDescent="0.3">
      <c r="A491" s="3" t="s">
        <v>668</v>
      </c>
      <c r="B491" s="3" t="s">
        <v>669</v>
      </c>
      <c r="C491" s="3" t="s">
        <v>670</v>
      </c>
      <c r="D491" s="4">
        <f t="shared" ca="1" si="7"/>
        <v>45514</v>
      </c>
      <c r="E491" s="3" t="s">
        <v>60</v>
      </c>
    </row>
    <row r="492" spans="1:5" x14ac:dyDescent="0.3">
      <c r="A492" s="3" t="s">
        <v>571</v>
      </c>
      <c r="B492" s="3" t="s">
        <v>245</v>
      </c>
      <c r="C492" s="3" t="s">
        <v>572</v>
      </c>
      <c r="D492" s="4">
        <f t="shared" ca="1" si="7"/>
        <v>45514</v>
      </c>
      <c r="E492" s="3" t="s">
        <v>60</v>
      </c>
    </row>
    <row r="493" spans="1:5" x14ac:dyDescent="0.3">
      <c r="A493" s="3" t="s">
        <v>671</v>
      </c>
      <c r="B493" s="3" t="s">
        <v>118</v>
      </c>
      <c r="C493" s="3" t="s">
        <v>672</v>
      </c>
      <c r="D493" s="4">
        <f t="shared" ca="1" si="7"/>
        <v>45514</v>
      </c>
      <c r="E493" s="3" t="s">
        <v>60</v>
      </c>
    </row>
    <row r="494" spans="1:5" x14ac:dyDescent="0.3">
      <c r="A494" s="3" t="s">
        <v>673</v>
      </c>
      <c r="B494" s="3" t="s">
        <v>442</v>
      </c>
      <c r="C494" s="3" t="s">
        <v>674</v>
      </c>
      <c r="D494" s="4">
        <f t="shared" ca="1" si="7"/>
        <v>45514</v>
      </c>
      <c r="E494" s="3" t="s">
        <v>27</v>
      </c>
    </row>
    <row r="495" spans="1:5" x14ac:dyDescent="0.3">
      <c r="A495" s="3" t="s">
        <v>102</v>
      </c>
      <c r="B495" s="3" t="s">
        <v>93</v>
      </c>
      <c r="C495" s="3" t="s">
        <v>116</v>
      </c>
      <c r="D495" s="4">
        <f t="shared" ca="1" si="7"/>
        <v>45514</v>
      </c>
      <c r="E495" s="3" t="s">
        <v>35</v>
      </c>
    </row>
    <row r="496" spans="1:5" x14ac:dyDescent="0.3">
      <c r="A496" s="3" t="s">
        <v>409</v>
      </c>
      <c r="B496" s="3" t="s">
        <v>392</v>
      </c>
      <c r="C496" s="3" t="s">
        <v>410</v>
      </c>
      <c r="D496" s="4">
        <f t="shared" ca="1" si="7"/>
        <v>45514</v>
      </c>
      <c r="E496" s="3" t="s">
        <v>35</v>
      </c>
    </row>
    <row r="497" spans="1:5" x14ac:dyDescent="0.3">
      <c r="A497" s="3" t="s">
        <v>61</v>
      </c>
      <c r="B497" s="3" t="s">
        <v>62</v>
      </c>
      <c r="C497" s="3" t="s">
        <v>63</v>
      </c>
      <c r="D497" s="4">
        <f t="shared" ca="1" si="7"/>
        <v>45514</v>
      </c>
      <c r="E497" s="3" t="s">
        <v>39</v>
      </c>
    </row>
    <row r="498" spans="1:5" x14ac:dyDescent="0.3">
      <c r="A498" s="3" t="s">
        <v>501</v>
      </c>
      <c r="B498" s="3" t="s">
        <v>157</v>
      </c>
      <c r="C498" s="3" t="s">
        <v>502</v>
      </c>
      <c r="D498" s="4">
        <f t="shared" ca="1" si="7"/>
        <v>45514</v>
      </c>
      <c r="E498" s="3" t="s">
        <v>56</v>
      </c>
    </row>
    <row r="499" spans="1:5" x14ac:dyDescent="0.3">
      <c r="A499" s="3" t="s">
        <v>675</v>
      </c>
      <c r="B499" s="3" t="s">
        <v>37</v>
      </c>
      <c r="C499" s="3" t="s">
        <v>676</v>
      </c>
      <c r="D499" s="4">
        <f t="shared" ca="1" si="7"/>
        <v>45514</v>
      </c>
      <c r="E499" s="3" t="s">
        <v>35</v>
      </c>
    </row>
    <row r="500" spans="1:5" x14ac:dyDescent="0.3">
      <c r="A500" s="3" t="s">
        <v>677</v>
      </c>
      <c r="B500" s="3" t="s">
        <v>442</v>
      </c>
      <c r="C500" s="3" t="s">
        <v>678</v>
      </c>
      <c r="D500" s="4">
        <f t="shared" ca="1" si="7"/>
        <v>45514</v>
      </c>
      <c r="E500" s="3" t="s">
        <v>60</v>
      </c>
    </row>
    <row r="501" spans="1:5" x14ac:dyDescent="0.3">
      <c r="A501" s="3" t="s">
        <v>332</v>
      </c>
      <c r="B501" s="3" t="s">
        <v>333</v>
      </c>
      <c r="C501" s="3" t="s">
        <v>334</v>
      </c>
      <c r="D501" s="4">
        <f t="shared" ca="1" si="7"/>
        <v>45514</v>
      </c>
      <c r="E501" s="3" t="s">
        <v>60</v>
      </c>
    </row>
    <row r="502" spans="1:5" x14ac:dyDescent="0.3">
      <c r="A502" s="3" t="s">
        <v>363</v>
      </c>
      <c r="B502" s="3" t="s">
        <v>178</v>
      </c>
      <c r="C502" s="3" t="s">
        <v>570</v>
      </c>
      <c r="D502" s="4">
        <f t="shared" ca="1" si="7"/>
        <v>45514</v>
      </c>
      <c r="E502" s="3" t="s">
        <v>35</v>
      </c>
    </row>
    <row r="503" spans="1:5" x14ac:dyDescent="0.3">
      <c r="A503" s="3" t="s">
        <v>83</v>
      </c>
      <c r="B503" s="3" t="s">
        <v>84</v>
      </c>
      <c r="C503" s="3" t="s">
        <v>85</v>
      </c>
      <c r="D503" s="4">
        <f t="shared" ca="1" si="7"/>
        <v>45514</v>
      </c>
      <c r="E503" s="3" t="s">
        <v>27</v>
      </c>
    </row>
    <row r="504" spans="1:5" x14ac:dyDescent="0.3">
      <c r="A504" s="3" t="s">
        <v>541</v>
      </c>
      <c r="B504" s="3" t="s">
        <v>65</v>
      </c>
      <c r="C504" s="3" t="s">
        <v>352</v>
      </c>
      <c r="D504" s="4">
        <f t="shared" ca="1" si="7"/>
        <v>45514</v>
      </c>
      <c r="E504" s="3" t="s">
        <v>60</v>
      </c>
    </row>
    <row r="505" spans="1:5" x14ac:dyDescent="0.3">
      <c r="A505" s="3" t="s">
        <v>497</v>
      </c>
      <c r="B505" s="3" t="s">
        <v>442</v>
      </c>
      <c r="C505" s="3" t="s">
        <v>498</v>
      </c>
      <c r="D505" s="4">
        <f t="shared" ca="1" si="7"/>
        <v>45514</v>
      </c>
      <c r="E505" s="3" t="s">
        <v>35</v>
      </c>
    </row>
    <row r="506" spans="1:5" x14ac:dyDescent="0.3">
      <c r="A506" s="3" t="s">
        <v>598</v>
      </c>
      <c r="B506" s="3" t="s">
        <v>25</v>
      </c>
      <c r="C506" s="3" t="s">
        <v>599</v>
      </c>
      <c r="D506" s="4">
        <f t="shared" ca="1" si="7"/>
        <v>45514</v>
      </c>
      <c r="E506" s="3" t="s">
        <v>56</v>
      </c>
    </row>
    <row r="507" spans="1:5" x14ac:dyDescent="0.3">
      <c r="A507" s="3" t="s">
        <v>309</v>
      </c>
      <c r="B507" s="3" t="s">
        <v>168</v>
      </c>
      <c r="C507" s="3" t="s">
        <v>481</v>
      </c>
      <c r="D507" s="4">
        <f t="shared" ca="1" si="7"/>
        <v>45514</v>
      </c>
      <c r="E507" s="3" t="s">
        <v>31</v>
      </c>
    </row>
    <row r="508" spans="1:5" x14ac:dyDescent="0.3">
      <c r="A508" s="3" t="s">
        <v>609</v>
      </c>
      <c r="B508" s="3" t="s">
        <v>307</v>
      </c>
      <c r="C508" s="3" t="s">
        <v>610</v>
      </c>
      <c r="D508" s="4">
        <f t="shared" ca="1" si="7"/>
        <v>45514</v>
      </c>
      <c r="E508" s="3" t="s">
        <v>60</v>
      </c>
    </row>
    <row r="509" spans="1:5" x14ac:dyDescent="0.3">
      <c r="A509" s="3" t="s">
        <v>309</v>
      </c>
      <c r="B509" s="3" t="s">
        <v>150</v>
      </c>
      <c r="C509" s="3" t="s">
        <v>310</v>
      </c>
      <c r="D509" s="4">
        <f t="shared" ca="1" si="7"/>
        <v>45514</v>
      </c>
      <c r="E509" s="3" t="s">
        <v>56</v>
      </c>
    </row>
    <row r="510" spans="1:5" x14ac:dyDescent="0.3">
      <c r="A510" s="3" t="s">
        <v>332</v>
      </c>
      <c r="B510" s="3" t="s">
        <v>333</v>
      </c>
      <c r="C510" s="3" t="s">
        <v>334</v>
      </c>
      <c r="D510" s="4">
        <f t="shared" ca="1" si="7"/>
        <v>45514</v>
      </c>
      <c r="E510" s="3" t="s">
        <v>60</v>
      </c>
    </row>
    <row r="511" spans="1:5" x14ac:dyDescent="0.3">
      <c r="A511" s="3" t="s">
        <v>306</v>
      </c>
      <c r="B511" s="3" t="s">
        <v>307</v>
      </c>
      <c r="C511" s="3" t="s">
        <v>308</v>
      </c>
      <c r="D511" s="4">
        <f t="shared" ca="1" si="7"/>
        <v>45514</v>
      </c>
      <c r="E511" s="3" t="s">
        <v>31</v>
      </c>
    </row>
    <row r="512" spans="1:5" x14ac:dyDescent="0.3">
      <c r="A512" s="3" t="s">
        <v>637</v>
      </c>
      <c r="B512" s="3" t="s">
        <v>165</v>
      </c>
      <c r="C512" s="3" t="s">
        <v>638</v>
      </c>
      <c r="D512" s="4">
        <f t="shared" ca="1" si="7"/>
        <v>45514</v>
      </c>
      <c r="E512" s="3" t="s">
        <v>60</v>
      </c>
    </row>
    <row r="513" spans="1:5" x14ac:dyDescent="0.3">
      <c r="A513" s="3" t="s">
        <v>643</v>
      </c>
      <c r="B513" s="3" t="s">
        <v>644</v>
      </c>
      <c r="C513" s="3" t="s">
        <v>645</v>
      </c>
      <c r="D513" s="4">
        <f t="shared" ca="1" si="7"/>
        <v>45514</v>
      </c>
      <c r="E513" s="3" t="s">
        <v>39</v>
      </c>
    </row>
    <row r="514" spans="1:5" x14ac:dyDescent="0.3">
      <c r="A514" s="3" t="s">
        <v>636</v>
      </c>
      <c r="B514" s="3" t="s">
        <v>65</v>
      </c>
      <c r="C514" s="3" t="s">
        <v>679</v>
      </c>
      <c r="D514" s="4">
        <f t="shared" ca="1" si="7"/>
        <v>45514</v>
      </c>
      <c r="E514" s="3" t="s">
        <v>39</v>
      </c>
    </row>
    <row r="515" spans="1:5" x14ac:dyDescent="0.3">
      <c r="A515" s="3" t="s">
        <v>159</v>
      </c>
      <c r="B515" s="3" t="s">
        <v>65</v>
      </c>
      <c r="C515" s="3" t="s">
        <v>160</v>
      </c>
      <c r="D515" s="4">
        <f t="shared" ca="1" si="7"/>
        <v>45514</v>
      </c>
      <c r="E515" s="3" t="s">
        <v>27</v>
      </c>
    </row>
    <row r="516" spans="1:5" x14ac:dyDescent="0.3">
      <c r="A516" s="3" t="s">
        <v>459</v>
      </c>
      <c r="B516" s="3" t="s">
        <v>25</v>
      </c>
      <c r="C516" s="3" t="s">
        <v>460</v>
      </c>
      <c r="D516" s="4">
        <f t="shared" ca="1" si="7"/>
        <v>45514</v>
      </c>
      <c r="E516" s="3" t="s">
        <v>39</v>
      </c>
    </row>
    <row r="517" spans="1:5" x14ac:dyDescent="0.3">
      <c r="A517" s="3" t="s">
        <v>358</v>
      </c>
      <c r="B517" s="3" t="s">
        <v>359</v>
      </c>
      <c r="C517" s="3" t="s">
        <v>360</v>
      </c>
      <c r="D517" s="4">
        <f t="shared" ca="1" si="7"/>
        <v>45514</v>
      </c>
      <c r="E517" s="3" t="s">
        <v>56</v>
      </c>
    </row>
    <row r="518" spans="1:5" x14ac:dyDescent="0.3">
      <c r="A518" s="3" t="s">
        <v>301</v>
      </c>
      <c r="B518" s="3" t="s">
        <v>165</v>
      </c>
      <c r="C518" s="3" t="s">
        <v>302</v>
      </c>
      <c r="D518" s="4">
        <f t="shared" ca="1" si="7"/>
        <v>45514</v>
      </c>
      <c r="E518" s="3" t="s">
        <v>60</v>
      </c>
    </row>
    <row r="519" spans="1:5" x14ac:dyDescent="0.3">
      <c r="A519" s="3" t="s">
        <v>655</v>
      </c>
      <c r="B519" s="3" t="s">
        <v>124</v>
      </c>
      <c r="C519" s="3" t="s">
        <v>656</v>
      </c>
      <c r="D519" s="4">
        <f t="shared" ca="1" si="7"/>
        <v>45514</v>
      </c>
      <c r="E519" s="3" t="s">
        <v>35</v>
      </c>
    </row>
    <row r="520" spans="1:5" x14ac:dyDescent="0.3">
      <c r="A520" s="3" t="s">
        <v>89</v>
      </c>
      <c r="B520" s="3" t="s">
        <v>581</v>
      </c>
      <c r="C520" s="3" t="s">
        <v>582</v>
      </c>
      <c r="D520" s="4">
        <f t="shared" ca="1" si="7"/>
        <v>45514</v>
      </c>
      <c r="E520" s="3" t="s">
        <v>39</v>
      </c>
    </row>
    <row r="521" spans="1:5" x14ac:dyDescent="0.3">
      <c r="A521" s="3" t="s">
        <v>680</v>
      </c>
      <c r="B521" s="3" t="s">
        <v>74</v>
      </c>
      <c r="C521" s="3" t="s">
        <v>681</v>
      </c>
      <c r="D521" s="4">
        <f t="shared" ca="1" si="7"/>
        <v>45514</v>
      </c>
      <c r="E521" s="3" t="s">
        <v>39</v>
      </c>
    </row>
    <row r="522" spans="1:5" x14ac:dyDescent="0.3">
      <c r="A522" s="3" t="s">
        <v>184</v>
      </c>
      <c r="B522" s="3" t="s">
        <v>87</v>
      </c>
      <c r="C522" s="3" t="s">
        <v>316</v>
      </c>
      <c r="D522" s="4">
        <f t="shared" ca="1" si="7"/>
        <v>45514</v>
      </c>
      <c r="E522" s="3" t="s">
        <v>60</v>
      </c>
    </row>
    <row r="523" spans="1:5" x14ac:dyDescent="0.3">
      <c r="A523" s="3" t="s">
        <v>61</v>
      </c>
      <c r="B523" s="3" t="s">
        <v>333</v>
      </c>
      <c r="C523" s="3" t="s">
        <v>352</v>
      </c>
      <c r="D523" s="4">
        <f t="shared" ca="1" si="7"/>
        <v>45514</v>
      </c>
      <c r="E523" s="3" t="s">
        <v>31</v>
      </c>
    </row>
    <row r="524" spans="1:5" x14ac:dyDescent="0.3">
      <c r="A524" s="3" t="s">
        <v>414</v>
      </c>
      <c r="B524" s="3" t="s">
        <v>65</v>
      </c>
      <c r="C524" s="3" t="s">
        <v>415</v>
      </c>
      <c r="D524" s="4">
        <f t="shared" ca="1" si="7"/>
        <v>45514</v>
      </c>
      <c r="E524" s="3" t="s">
        <v>35</v>
      </c>
    </row>
    <row r="525" spans="1:5" x14ac:dyDescent="0.3">
      <c r="A525" s="3" t="s">
        <v>682</v>
      </c>
      <c r="B525" s="3" t="s">
        <v>245</v>
      </c>
      <c r="C525" s="3" t="s">
        <v>683</v>
      </c>
      <c r="D525" s="4">
        <f t="shared" ca="1" si="7"/>
        <v>45514</v>
      </c>
      <c r="E525" s="3" t="s">
        <v>60</v>
      </c>
    </row>
    <row r="526" spans="1:5" x14ac:dyDescent="0.3">
      <c r="A526" s="3" t="s">
        <v>46</v>
      </c>
      <c r="B526" s="3" t="s">
        <v>47</v>
      </c>
      <c r="C526" s="3" t="s">
        <v>48</v>
      </c>
      <c r="D526" s="4">
        <f t="shared" ca="1" si="7"/>
        <v>45514</v>
      </c>
      <c r="E526" s="3" t="s">
        <v>27</v>
      </c>
    </row>
    <row r="527" spans="1:5" x14ac:dyDescent="0.3">
      <c r="A527" s="3" t="s">
        <v>464</v>
      </c>
      <c r="B527" s="3" t="s">
        <v>93</v>
      </c>
      <c r="C527" s="3" t="s">
        <v>465</v>
      </c>
      <c r="D527" s="4">
        <f t="shared" ca="1" si="7"/>
        <v>45514</v>
      </c>
      <c r="E527" s="3" t="s">
        <v>39</v>
      </c>
    </row>
    <row r="528" spans="1:5" x14ac:dyDescent="0.3">
      <c r="A528" s="3" t="s">
        <v>648</v>
      </c>
      <c r="B528" s="3" t="s">
        <v>87</v>
      </c>
      <c r="C528" s="3" t="s">
        <v>649</v>
      </c>
      <c r="D528" s="4">
        <f t="shared" ca="1" si="7"/>
        <v>45514</v>
      </c>
      <c r="E528" s="3" t="s">
        <v>31</v>
      </c>
    </row>
    <row r="529" spans="1:5" x14ac:dyDescent="0.3">
      <c r="A529" s="3" t="s">
        <v>240</v>
      </c>
      <c r="B529" s="3" t="s">
        <v>124</v>
      </c>
      <c r="C529" s="3" t="s">
        <v>241</v>
      </c>
      <c r="D529" s="4">
        <f t="shared" ca="1" si="7"/>
        <v>45514</v>
      </c>
      <c r="E529" s="3" t="s">
        <v>35</v>
      </c>
    </row>
    <row r="530" spans="1:5" x14ac:dyDescent="0.3">
      <c r="A530" s="3" t="s">
        <v>684</v>
      </c>
      <c r="B530" s="3" t="s">
        <v>65</v>
      </c>
      <c r="C530" s="3" t="s">
        <v>685</v>
      </c>
      <c r="D530" s="4">
        <f t="shared" ca="1" si="7"/>
        <v>45514</v>
      </c>
      <c r="E530" s="3" t="s">
        <v>27</v>
      </c>
    </row>
    <row r="531" spans="1:5" x14ac:dyDescent="0.3">
      <c r="A531" s="3" t="s">
        <v>593</v>
      </c>
      <c r="B531" s="3" t="s">
        <v>50</v>
      </c>
      <c r="C531" s="3" t="s">
        <v>594</v>
      </c>
      <c r="D531" s="4">
        <f t="shared" ca="1" si="7"/>
        <v>45514</v>
      </c>
      <c r="E531" s="3" t="s">
        <v>35</v>
      </c>
    </row>
    <row r="532" spans="1:5" x14ac:dyDescent="0.3">
      <c r="A532" s="3" t="s">
        <v>215</v>
      </c>
      <c r="B532" s="3" t="s">
        <v>25</v>
      </c>
      <c r="C532" s="3" t="s">
        <v>216</v>
      </c>
      <c r="D532" s="4">
        <f t="shared" ca="1" si="7"/>
        <v>45514</v>
      </c>
      <c r="E532" s="3" t="s">
        <v>56</v>
      </c>
    </row>
    <row r="533" spans="1:5" x14ac:dyDescent="0.3">
      <c r="A533" s="3" t="s">
        <v>123</v>
      </c>
      <c r="B533" s="3" t="s">
        <v>124</v>
      </c>
      <c r="C533" s="3" t="s">
        <v>125</v>
      </c>
      <c r="D533" s="4">
        <f t="shared" ca="1" si="7"/>
        <v>45514</v>
      </c>
      <c r="E533" s="3" t="s">
        <v>35</v>
      </c>
    </row>
    <row r="534" spans="1:5" x14ac:dyDescent="0.3">
      <c r="A534" s="3" t="s">
        <v>372</v>
      </c>
      <c r="B534" s="3" t="s">
        <v>145</v>
      </c>
      <c r="C534" s="3" t="s">
        <v>373</v>
      </c>
      <c r="D534" s="4">
        <f t="shared" ca="1" si="7"/>
        <v>45514</v>
      </c>
      <c r="E534" s="3" t="s">
        <v>39</v>
      </c>
    </row>
    <row r="535" spans="1:5" x14ac:dyDescent="0.3">
      <c r="A535" s="3" t="s">
        <v>367</v>
      </c>
      <c r="B535" s="3" t="s">
        <v>368</v>
      </c>
      <c r="C535" s="3" t="s">
        <v>369</v>
      </c>
      <c r="D535" s="4">
        <f t="shared" ca="1" si="7"/>
        <v>45514</v>
      </c>
      <c r="E535" s="3" t="s">
        <v>39</v>
      </c>
    </row>
    <row r="536" spans="1:5" x14ac:dyDescent="0.3">
      <c r="A536" s="3" t="s">
        <v>578</v>
      </c>
      <c r="B536" s="3" t="s">
        <v>579</v>
      </c>
      <c r="C536" s="3" t="s">
        <v>580</v>
      </c>
      <c r="D536" s="4">
        <f t="shared" ca="1" si="7"/>
        <v>45514</v>
      </c>
      <c r="E536" s="3" t="s">
        <v>60</v>
      </c>
    </row>
    <row r="537" spans="1:5" x14ac:dyDescent="0.3">
      <c r="A537" s="3" t="s">
        <v>631</v>
      </c>
      <c r="B537" s="3" t="s">
        <v>33</v>
      </c>
      <c r="C537" s="3" t="s">
        <v>79</v>
      </c>
      <c r="D537" s="4">
        <f t="shared" ca="1" si="7"/>
        <v>45514</v>
      </c>
      <c r="E537" s="3" t="s">
        <v>60</v>
      </c>
    </row>
    <row r="538" spans="1:5" x14ac:dyDescent="0.3">
      <c r="A538" s="3" t="s">
        <v>385</v>
      </c>
      <c r="B538" s="3" t="s">
        <v>87</v>
      </c>
      <c r="C538" s="3" t="s">
        <v>386</v>
      </c>
      <c r="D538" s="4">
        <f t="shared" ca="1" si="7"/>
        <v>45514</v>
      </c>
      <c r="E538" s="3" t="s">
        <v>60</v>
      </c>
    </row>
    <row r="539" spans="1:5" x14ac:dyDescent="0.3">
      <c r="A539" s="3" t="s">
        <v>379</v>
      </c>
      <c r="B539" s="3" t="s">
        <v>65</v>
      </c>
      <c r="C539" s="3" t="s">
        <v>380</v>
      </c>
      <c r="D539" s="4">
        <f t="shared" ca="1" si="7"/>
        <v>45514</v>
      </c>
      <c r="E539" s="3" t="s">
        <v>39</v>
      </c>
    </row>
    <row r="540" spans="1:5" x14ac:dyDescent="0.3">
      <c r="A540" s="3" t="s">
        <v>437</v>
      </c>
      <c r="B540" s="3" t="s">
        <v>62</v>
      </c>
      <c r="C540" s="3" t="s">
        <v>438</v>
      </c>
      <c r="D540" s="4">
        <f t="shared" ca="1" si="7"/>
        <v>45514</v>
      </c>
      <c r="E540" s="3" t="s">
        <v>60</v>
      </c>
    </row>
    <row r="541" spans="1:5" x14ac:dyDescent="0.3">
      <c r="A541" s="3" t="s">
        <v>387</v>
      </c>
      <c r="B541" s="3" t="s">
        <v>25</v>
      </c>
      <c r="C541" s="3" t="s">
        <v>108</v>
      </c>
      <c r="D541" s="4">
        <f t="shared" ca="1" si="7"/>
        <v>45514</v>
      </c>
      <c r="E541" s="3" t="s">
        <v>60</v>
      </c>
    </row>
    <row r="542" spans="1:5" x14ac:dyDescent="0.3">
      <c r="A542" s="3" t="s">
        <v>395</v>
      </c>
      <c r="B542" s="3" t="s">
        <v>477</v>
      </c>
      <c r="C542" s="3" t="s">
        <v>478</v>
      </c>
      <c r="D542" s="4">
        <f t="shared" ca="1" si="7"/>
        <v>45514</v>
      </c>
      <c r="E542" s="3" t="s">
        <v>39</v>
      </c>
    </row>
    <row r="543" spans="1:5" x14ac:dyDescent="0.3">
      <c r="A543" s="3" t="s">
        <v>149</v>
      </c>
      <c r="B543" s="3" t="s">
        <v>150</v>
      </c>
      <c r="C543" s="3" t="s">
        <v>151</v>
      </c>
      <c r="D543" s="4">
        <f t="shared" ca="1" si="7"/>
        <v>45514</v>
      </c>
      <c r="E543" s="3" t="s">
        <v>27</v>
      </c>
    </row>
    <row r="544" spans="1:5" x14ac:dyDescent="0.3">
      <c r="A544" s="3" t="s">
        <v>686</v>
      </c>
      <c r="B544" s="3" t="s">
        <v>607</v>
      </c>
      <c r="C544" s="3" t="s">
        <v>241</v>
      </c>
      <c r="D544" s="4">
        <f t="shared" ca="1" si="7"/>
        <v>45514</v>
      </c>
      <c r="E544" s="3" t="s">
        <v>27</v>
      </c>
    </row>
    <row r="545" spans="1:5" x14ac:dyDescent="0.3">
      <c r="A545" s="3" t="s">
        <v>687</v>
      </c>
      <c r="B545" s="3" t="s">
        <v>25</v>
      </c>
      <c r="C545" s="3" t="s">
        <v>688</v>
      </c>
      <c r="D545" s="4">
        <f t="shared" ca="1" si="7"/>
        <v>45514</v>
      </c>
      <c r="E545" s="3" t="s">
        <v>39</v>
      </c>
    </row>
    <row r="546" spans="1:5" x14ac:dyDescent="0.3">
      <c r="A546" s="3" t="s">
        <v>104</v>
      </c>
      <c r="B546" s="3" t="s">
        <v>58</v>
      </c>
      <c r="C546" s="3" t="s">
        <v>515</v>
      </c>
      <c r="D546" s="4">
        <f t="shared" ca="1" si="7"/>
        <v>45514</v>
      </c>
      <c r="E546" s="3" t="s">
        <v>35</v>
      </c>
    </row>
    <row r="547" spans="1:5" x14ac:dyDescent="0.3">
      <c r="A547" s="3" t="s">
        <v>461</v>
      </c>
      <c r="B547" s="3" t="s">
        <v>270</v>
      </c>
      <c r="C547" s="3" t="s">
        <v>689</v>
      </c>
      <c r="D547" s="4">
        <f t="shared" ca="1" si="7"/>
        <v>45514</v>
      </c>
      <c r="E547" s="3" t="s">
        <v>27</v>
      </c>
    </row>
    <row r="548" spans="1:5" x14ac:dyDescent="0.3">
      <c r="A548" s="3" t="s">
        <v>154</v>
      </c>
      <c r="B548" s="3" t="s">
        <v>87</v>
      </c>
      <c r="C548" s="3" t="s">
        <v>690</v>
      </c>
      <c r="D548" s="4">
        <f t="shared" ca="1" si="7"/>
        <v>45514</v>
      </c>
      <c r="E548" s="3" t="s">
        <v>60</v>
      </c>
    </row>
    <row r="549" spans="1:5" x14ac:dyDescent="0.3">
      <c r="A549" s="3" t="s">
        <v>259</v>
      </c>
      <c r="B549" s="3" t="s">
        <v>47</v>
      </c>
      <c r="C549" s="3" t="s">
        <v>260</v>
      </c>
      <c r="D549" s="4">
        <f t="shared" ca="1" si="7"/>
        <v>45514</v>
      </c>
      <c r="E549" s="3" t="s">
        <v>39</v>
      </c>
    </row>
    <row r="550" spans="1:5" x14ac:dyDescent="0.3">
      <c r="A550" s="3" t="s">
        <v>71</v>
      </c>
      <c r="B550" s="3" t="s">
        <v>50</v>
      </c>
      <c r="C550" s="3" t="s">
        <v>691</v>
      </c>
      <c r="D550" s="4">
        <f t="shared" ca="1" si="7"/>
        <v>45514</v>
      </c>
      <c r="E550" s="3" t="s">
        <v>31</v>
      </c>
    </row>
    <row r="551" spans="1:5" x14ac:dyDescent="0.3">
      <c r="A551" s="3" t="s">
        <v>139</v>
      </c>
      <c r="B551" s="3" t="s">
        <v>140</v>
      </c>
      <c r="C551" s="3" t="s">
        <v>141</v>
      </c>
      <c r="D551" s="4">
        <f t="shared" ca="1" si="7"/>
        <v>45514</v>
      </c>
      <c r="E551" s="3" t="s">
        <v>31</v>
      </c>
    </row>
    <row r="552" spans="1:5" x14ac:dyDescent="0.3">
      <c r="A552" s="3" t="s">
        <v>692</v>
      </c>
      <c r="B552" s="3" t="s">
        <v>193</v>
      </c>
      <c r="C552" s="3" t="s">
        <v>693</v>
      </c>
      <c r="D552" s="4">
        <f t="shared" ca="1" si="7"/>
        <v>45514</v>
      </c>
      <c r="E552" s="3" t="s">
        <v>31</v>
      </c>
    </row>
    <row r="553" spans="1:5" x14ac:dyDescent="0.3">
      <c r="A553" s="3" t="s">
        <v>112</v>
      </c>
      <c r="B553" s="3" t="s">
        <v>65</v>
      </c>
      <c r="C553" s="3" t="s">
        <v>113</v>
      </c>
      <c r="D553" s="4">
        <f t="shared" ca="1" si="7"/>
        <v>45514</v>
      </c>
      <c r="E553" s="3" t="s">
        <v>27</v>
      </c>
    </row>
    <row r="554" spans="1:5" x14ac:dyDescent="0.3">
      <c r="A554" s="3" t="s">
        <v>470</v>
      </c>
      <c r="B554" s="3" t="s">
        <v>173</v>
      </c>
      <c r="C554" s="3" t="s">
        <v>471</v>
      </c>
      <c r="D554" s="4">
        <f t="shared" ca="1" si="7"/>
        <v>45514</v>
      </c>
      <c r="E554" s="3" t="s">
        <v>56</v>
      </c>
    </row>
    <row r="555" spans="1:5" x14ac:dyDescent="0.3">
      <c r="A555" s="3" t="s">
        <v>406</v>
      </c>
      <c r="B555" s="3" t="s">
        <v>44</v>
      </c>
      <c r="C555" s="3" t="s">
        <v>340</v>
      </c>
      <c r="D555" s="4">
        <f t="shared" ca="1" si="7"/>
        <v>45514</v>
      </c>
      <c r="E555" s="3" t="s">
        <v>60</v>
      </c>
    </row>
    <row r="556" spans="1:5" x14ac:dyDescent="0.3">
      <c r="A556" s="3" t="s">
        <v>567</v>
      </c>
      <c r="B556" s="3" t="s">
        <v>150</v>
      </c>
      <c r="C556" s="3" t="s">
        <v>568</v>
      </c>
      <c r="D556" s="4">
        <f t="shared" ca="1" si="7"/>
        <v>45514</v>
      </c>
      <c r="E556" s="3" t="s">
        <v>60</v>
      </c>
    </row>
    <row r="557" spans="1:5" x14ac:dyDescent="0.3">
      <c r="A557" s="3" t="s">
        <v>535</v>
      </c>
      <c r="B557" s="3" t="s">
        <v>58</v>
      </c>
      <c r="C557" s="3" t="s">
        <v>536</v>
      </c>
      <c r="D557" s="4">
        <f t="shared" ca="1" si="7"/>
        <v>45514</v>
      </c>
      <c r="E557" s="3" t="s">
        <v>27</v>
      </c>
    </row>
    <row r="558" spans="1:5" x14ac:dyDescent="0.3">
      <c r="A558" s="3" t="s">
        <v>694</v>
      </c>
      <c r="B558" s="3" t="s">
        <v>695</v>
      </c>
      <c r="C558" s="3" t="s">
        <v>554</v>
      </c>
      <c r="D558" s="4">
        <f t="shared" ca="1" si="7"/>
        <v>45514</v>
      </c>
      <c r="E558" s="3" t="s">
        <v>60</v>
      </c>
    </row>
    <row r="559" spans="1:5" x14ac:dyDescent="0.3">
      <c r="A559" s="3" t="s">
        <v>696</v>
      </c>
      <c r="B559" s="3" t="s">
        <v>74</v>
      </c>
      <c r="C559" s="3" t="s">
        <v>697</v>
      </c>
      <c r="D559" s="4">
        <f t="shared" ca="1" si="7"/>
        <v>45514</v>
      </c>
      <c r="E559" s="3" t="s">
        <v>60</v>
      </c>
    </row>
    <row r="560" spans="1:5" x14ac:dyDescent="0.3">
      <c r="A560" s="3" t="s">
        <v>97</v>
      </c>
      <c r="B560" s="3" t="s">
        <v>98</v>
      </c>
      <c r="C560" s="3" t="s">
        <v>99</v>
      </c>
      <c r="D560" s="4">
        <f t="shared" ca="1" si="7"/>
        <v>45514</v>
      </c>
      <c r="E560" s="3" t="s">
        <v>39</v>
      </c>
    </row>
    <row r="561" spans="1:5" x14ac:dyDescent="0.3">
      <c r="A561" s="3" t="s">
        <v>433</v>
      </c>
      <c r="B561" s="3" t="s">
        <v>65</v>
      </c>
      <c r="C561" s="3" t="s">
        <v>434</v>
      </c>
      <c r="D561" s="4">
        <f t="shared" ca="1" si="7"/>
        <v>45514</v>
      </c>
      <c r="E561" s="3" t="s">
        <v>39</v>
      </c>
    </row>
    <row r="562" spans="1:5" x14ac:dyDescent="0.3">
      <c r="A562" s="3" t="s">
        <v>698</v>
      </c>
      <c r="B562" s="3" t="s">
        <v>275</v>
      </c>
      <c r="C562" s="3" t="s">
        <v>699</v>
      </c>
      <c r="D562" s="4">
        <f t="shared" ca="1" si="7"/>
        <v>45514</v>
      </c>
      <c r="E562" s="3" t="s">
        <v>27</v>
      </c>
    </row>
    <row r="563" spans="1:5" x14ac:dyDescent="0.3">
      <c r="A563" s="3" t="s">
        <v>573</v>
      </c>
      <c r="B563" s="3" t="s">
        <v>74</v>
      </c>
      <c r="C563" s="3" t="s">
        <v>659</v>
      </c>
      <c r="D563" s="4">
        <f t="shared" ca="1" si="7"/>
        <v>45514</v>
      </c>
      <c r="E563" s="3" t="s">
        <v>31</v>
      </c>
    </row>
    <row r="564" spans="1:5" x14ac:dyDescent="0.3">
      <c r="A564" s="3" t="s">
        <v>547</v>
      </c>
      <c r="B564" s="3" t="s">
        <v>47</v>
      </c>
      <c r="C564" s="3" t="s">
        <v>548</v>
      </c>
      <c r="D564" s="4">
        <f t="shared" ca="1" si="7"/>
        <v>45514</v>
      </c>
      <c r="E564" s="3" t="s">
        <v>56</v>
      </c>
    </row>
    <row r="565" spans="1:5" x14ac:dyDescent="0.3">
      <c r="A565" s="3" t="s">
        <v>325</v>
      </c>
      <c r="B565" s="3" t="s">
        <v>326</v>
      </c>
      <c r="C565" s="3" t="s">
        <v>327</v>
      </c>
      <c r="D565" s="4">
        <f t="shared" ca="1" si="7"/>
        <v>45514</v>
      </c>
      <c r="E565" s="3" t="s">
        <v>39</v>
      </c>
    </row>
    <row r="566" spans="1:5" x14ac:dyDescent="0.3">
      <c r="A566" s="3" t="s">
        <v>124</v>
      </c>
      <c r="B566" s="3" t="s">
        <v>50</v>
      </c>
      <c r="C566" s="3" t="s">
        <v>231</v>
      </c>
      <c r="D566" s="4">
        <f t="shared" ca="1" si="7"/>
        <v>45514</v>
      </c>
      <c r="E566" s="3" t="s">
        <v>39</v>
      </c>
    </row>
    <row r="567" spans="1:5" x14ac:dyDescent="0.3">
      <c r="A567" s="3" t="s">
        <v>61</v>
      </c>
      <c r="B567" s="3" t="s">
        <v>333</v>
      </c>
      <c r="C567" s="3" t="s">
        <v>352</v>
      </c>
      <c r="D567" s="4">
        <f t="shared" ref="D567:D644" ca="1" si="8">TODAY()-493</f>
        <v>45544</v>
      </c>
      <c r="E567" s="3" t="s">
        <v>31</v>
      </c>
    </row>
    <row r="568" spans="1:5" x14ac:dyDescent="0.3">
      <c r="A568" s="3" t="s">
        <v>700</v>
      </c>
      <c r="B568" s="3" t="s">
        <v>162</v>
      </c>
      <c r="C568" s="3" t="s">
        <v>701</v>
      </c>
      <c r="D568" s="4">
        <f t="shared" ca="1" si="8"/>
        <v>45544</v>
      </c>
      <c r="E568" s="3" t="s">
        <v>35</v>
      </c>
    </row>
    <row r="569" spans="1:5" x14ac:dyDescent="0.3">
      <c r="A569" s="3" t="s">
        <v>512</v>
      </c>
      <c r="B569" s="3" t="s">
        <v>47</v>
      </c>
      <c r="C569" s="3" t="s">
        <v>513</v>
      </c>
      <c r="D569" s="4">
        <f t="shared" ca="1" si="8"/>
        <v>45544</v>
      </c>
      <c r="E569" s="3" t="s">
        <v>60</v>
      </c>
    </row>
    <row r="570" spans="1:5" x14ac:dyDescent="0.3">
      <c r="A570" s="3" t="s">
        <v>256</v>
      </c>
      <c r="B570" s="3" t="s">
        <v>312</v>
      </c>
      <c r="C570" s="3" t="s">
        <v>469</v>
      </c>
      <c r="D570" s="4">
        <f t="shared" ca="1" si="8"/>
        <v>45544</v>
      </c>
      <c r="E570" s="3" t="s">
        <v>60</v>
      </c>
    </row>
    <row r="571" spans="1:5" x14ac:dyDescent="0.3">
      <c r="A571" s="3" t="s">
        <v>653</v>
      </c>
      <c r="B571" s="3" t="s">
        <v>58</v>
      </c>
      <c r="C571" s="3" t="s">
        <v>654</v>
      </c>
      <c r="D571" s="4">
        <f t="shared" ca="1" si="8"/>
        <v>45544</v>
      </c>
      <c r="E571" s="3" t="s">
        <v>60</v>
      </c>
    </row>
    <row r="572" spans="1:5" x14ac:dyDescent="0.3">
      <c r="A572" s="3" t="s">
        <v>213</v>
      </c>
      <c r="B572" s="3" t="s">
        <v>87</v>
      </c>
      <c r="C572" s="3" t="s">
        <v>214</v>
      </c>
      <c r="D572" s="4">
        <f t="shared" ca="1" si="8"/>
        <v>45544</v>
      </c>
      <c r="E572" s="3" t="s">
        <v>27</v>
      </c>
    </row>
    <row r="573" spans="1:5" x14ac:dyDescent="0.3">
      <c r="A573" s="3" t="s">
        <v>487</v>
      </c>
      <c r="B573" s="3" t="s">
        <v>140</v>
      </c>
      <c r="C573" s="3" t="s">
        <v>488</v>
      </c>
      <c r="D573" s="4">
        <f t="shared" ca="1" si="8"/>
        <v>45544</v>
      </c>
      <c r="E573" s="3" t="s">
        <v>60</v>
      </c>
    </row>
    <row r="574" spans="1:5" x14ac:dyDescent="0.3">
      <c r="A574" s="3" t="s">
        <v>517</v>
      </c>
      <c r="B574" s="3" t="s">
        <v>518</v>
      </c>
      <c r="C574" s="3" t="s">
        <v>519</v>
      </c>
      <c r="D574" s="4">
        <f t="shared" ca="1" si="8"/>
        <v>45544</v>
      </c>
      <c r="E574" s="3" t="s">
        <v>31</v>
      </c>
    </row>
    <row r="575" spans="1:5" x14ac:dyDescent="0.3">
      <c r="A575" s="3" t="s">
        <v>267</v>
      </c>
      <c r="B575" s="3" t="s">
        <v>65</v>
      </c>
      <c r="C575" s="3" t="s">
        <v>268</v>
      </c>
      <c r="D575" s="4">
        <f t="shared" ca="1" si="8"/>
        <v>45544</v>
      </c>
      <c r="E575" s="3" t="s">
        <v>60</v>
      </c>
    </row>
    <row r="576" spans="1:5" x14ac:dyDescent="0.3">
      <c r="A576" s="3" t="s">
        <v>139</v>
      </c>
      <c r="B576" s="3" t="s">
        <v>140</v>
      </c>
      <c r="C576" s="3" t="s">
        <v>141</v>
      </c>
      <c r="D576" s="4">
        <f t="shared" ca="1" si="8"/>
        <v>45544</v>
      </c>
      <c r="E576" s="3" t="s">
        <v>31</v>
      </c>
    </row>
    <row r="577" spans="1:5" x14ac:dyDescent="0.3">
      <c r="A577" s="3" t="s">
        <v>244</v>
      </c>
      <c r="B577" s="3" t="s">
        <v>245</v>
      </c>
      <c r="C577" s="3" t="s">
        <v>246</v>
      </c>
      <c r="D577" s="4">
        <f t="shared" ca="1" si="8"/>
        <v>45544</v>
      </c>
      <c r="E577" s="3" t="s">
        <v>35</v>
      </c>
    </row>
    <row r="578" spans="1:5" x14ac:dyDescent="0.3">
      <c r="A578" s="3" t="s">
        <v>495</v>
      </c>
      <c r="B578" s="3" t="s">
        <v>37</v>
      </c>
      <c r="C578" s="3" t="s">
        <v>496</v>
      </c>
      <c r="D578" s="4">
        <f t="shared" ca="1" si="8"/>
        <v>45544</v>
      </c>
      <c r="E578" s="3" t="s">
        <v>39</v>
      </c>
    </row>
    <row r="579" spans="1:5" x14ac:dyDescent="0.3">
      <c r="A579" s="3" t="s">
        <v>109</v>
      </c>
      <c r="B579" s="3" t="s">
        <v>110</v>
      </c>
      <c r="C579" s="3" t="s">
        <v>111</v>
      </c>
      <c r="D579" s="4">
        <f t="shared" ca="1" si="8"/>
        <v>45544</v>
      </c>
      <c r="E579" s="3" t="s">
        <v>31</v>
      </c>
    </row>
    <row r="580" spans="1:5" x14ac:dyDescent="0.3">
      <c r="A580" s="3" t="s">
        <v>203</v>
      </c>
      <c r="B580" s="3" t="s">
        <v>150</v>
      </c>
      <c r="C580" s="3" t="s">
        <v>166</v>
      </c>
      <c r="D580" s="4">
        <f t="shared" ca="1" si="8"/>
        <v>45544</v>
      </c>
      <c r="E580" s="3" t="s">
        <v>39</v>
      </c>
    </row>
    <row r="581" spans="1:5" x14ac:dyDescent="0.3">
      <c r="A581" s="3" t="s">
        <v>702</v>
      </c>
      <c r="B581" s="3" t="s">
        <v>58</v>
      </c>
      <c r="C581" s="3" t="s">
        <v>703</v>
      </c>
      <c r="D581" s="4">
        <f t="shared" ca="1" si="8"/>
        <v>45544</v>
      </c>
      <c r="E581" s="3" t="s">
        <v>39</v>
      </c>
    </row>
    <row r="582" spans="1:5" x14ac:dyDescent="0.3">
      <c r="A582" s="3" t="s">
        <v>448</v>
      </c>
      <c r="B582" s="3" t="s">
        <v>74</v>
      </c>
      <c r="C582" s="3" t="s">
        <v>449</v>
      </c>
      <c r="D582" s="4">
        <f t="shared" ca="1" si="8"/>
        <v>45544</v>
      </c>
      <c r="E582" s="3" t="s">
        <v>35</v>
      </c>
    </row>
    <row r="583" spans="1:5" x14ac:dyDescent="0.3">
      <c r="A583" s="3" t="s">
        <v>24</v>
      </c>
      <c r="B583" s="3" t="s">
        <v>25</v>
      </c>
      <c r="C583" s="3" t="s">
        <v>82</v>
      </c>
      <c r="D583" s="4">
        <f t="shared" ca="1" si="8"/>
        <v>45544</v>
      </c>
      <c r="E583" s="3" t="s">
        <v>39</v>
      </c>
    </row>
    <row r="584" spans="1:5" x14ac:dyDescent="0.3">
      <c r="A584" s="3" t="s">
        <v>120</v>
      </c>
      <c r="B584" s="3" t="s">
        <v>121</v>
      </c>
      <c r="C584" s="3" t="s">
        <v>122</v>
      </c>
      <c r="D584" s="4">
        <f t="shared" ca="1" si="8"/>
        <v>45544</v>
      </c>
      <c r="E584" s="3" t="s">
        <v>39</v>
      </c>
    </row>
    <row r="585" spans="1:5" x14ac:dyDescent="0.3">
      <c r="A585" s="3" t="s">
        <v>388</v>
      </c>
      <c r="B585" s="3" t="s">
        <v>33</v>
      </c>
      <c r="C585" s="3" t="s">
        <v>514</v>
      </c>
      <c r="D585" s="4">
        <f t="shared" ca="1" si="8"/>
        <v>45544</v>
      </c>
      <c r="E585" s="3" t="s">
        <v>60</v>
      </c>
    </row>
    <row r="586" spans="1:5" x14ac:dyDescent="0.3">
      <c r="A586" s="3" t="s">
        <v>221</v>
      </c>
      <c r="B586" s="3" t="s">
        <v>65</v>
      </c>
      <c r="C586" s="3" t="s">
        <v>222</v>
      </c>
      <c r="D586" s="4">
        <f t="shared" ca="1" si="8"/>
        <v>45544</v>
      </c>
      <c r="E586" s="3" t="s">
        <v>35</v>
      </c>
    </row>
    <row r="587" spans="1:5" x14ac:dyDescent="0.3">
      <c r="A587" s="3" t="s">
        <v>535</v>
      </c>
      <c r="B587" s="3" t="s">
        <v>58</v>
      </c>
      <c r="C587" s="3" t="s">
        <v>536</v>
      </c>
      <c r="D587" s="4">
        <f t="shared" ca="1" si="8"/>
        <v>45544</v>
      </c>
      <c r="E587" s="3" t="s">
        <v>27</v>
      </c>
    </row>
    <row r="588" spans="1:5" x14ac:dyDescent="0.3">
      <c r="A588" s="3" t="s">
        <v>687</v>
      </c>
      <c r="B588" s="3" t="s">
        <v>25</v>
      </c>
      <c r="C588" s="3" t="s">
        <v>688</v>
      </c>
      <c r="D588" s="4">
        <f t="shared" ca="1" si="8"/>
        <v>45544</v>
      </c>
      <c r="E588" s="3" t="s">
        <v>39</v>
      </c>
    </row>
    <row r="589" spans="1:5" x14ac:dyDescent="0.3">
      <c r="A589" s="3" t="s">
        <v>704</v>
      </c>
      <c r="B589" s="3" t="s">
        <v>165</v>
      </c>
      <c r="C589" s="3" t="s">
        <v>705</v>
      </c>
      <c r="D589" s="4">
        <f t="shared" ca="1" si="8"/>
        <v>45544</v>
      </c>
      <c r="E589" s="3" t="s">
        <v>35</v>
      </c>
    </row>
    <row r="590" spans="1:5" x14ac:dyDescent="0.3">
      <c r="A590" s="3" t="s">
        <v>154</v>
      </c>
      <c r="B590" s="3" t="s">
        <v>71</v>
      </c>
      <c r="C590" s="3" t="s">
        <v>155</v>
      </c>
      <c r="D590" s="4">
        <f t="shared" ca="1" si="8"/>
        <v>45544</v>
      </c>
      <c r="E590" s="3" t="s">
        <v>60</v>
      </c>
    </row>
    <row r="591" spans="1:5" x14ac:dyDescent="0.3">
      <c r="A591" s="3" t="s">
        <v>562</v>
      </c>
      <c r="B591" s="3" t="s">
        <v>523</v>
      </c>
      <c r="C591" s="3" t="s">
        <v>563</v>
      </c>
      <c r="D591" s="4">
        <f t="shared" ca="1" si="8"/>
        <v>45544</v>
      </c>
      <c r="E591" s="3" t="s">
        <v>56</v>
      </c>
    </row>
    <row r="592" spans="1:5" x14ac:dyDescent="0.3">
      <c r="A592" s="3" t="s">
        <v>706</v>
      </c>
      <c r="B592" s="3" t="s">
        <v>133</v>
      </c>
      <c r="C592" s="3" t="s">
        <v>707</v>
      </c>
      <c r="D592" s="4">
        <f t="shared" ca="1" si="8"/>
        <v>45544</v>
      </c>
      <c r="E592" s="3" t="s">
        <v>35</v>
      </c>
    </row>
    <row r="593" spans="1:5" x14ac:dyDescent="0.3">
      <c r="A593" s="3" t="s">
        <v>708</v>
      </c>
      <c r="B593" s="3" t="s">
        <v>58</v>
      </c>
      <c r="C593" s="3" t="s">
        <v>709</v>
      </c>
      <c r="D593" s="4">
        <f t="shared" ca="1" si="8"/>
        <v>45544</v>
      </c>
      <c r="E593" s="3" t="s">
        <v>35</v>
      </c>
    </row>
    <row r="594" spans="1:5" x14ac:dyDescent="0.3">
      <c r="A594" s="3" t="s">
        <v>664</v>
      </c>
      <c r="B594" s="3" t="s">
        <v>162</v>
      </c>
      <c r="C594" s="3" t="s">
        <v>665</v>
      </c>
      <c r="D594" s="4">
        <f t="shared" ca="1" si="8"/>
        <v>45544</v>
      </c>
      <c r="E594" s="3" t="s">
        <v>39</v>
      </c>
    </row>
    <row r="595" spans="1:5" x14ac:dyDescent="0.3">
      <c r="A595" s="3" t="s">
        <v>288</v>
      </c>
      <c r="B595" s="3" t="s">
        <v>211</v>
      </c>
      <c r="C595" s="3" t="s">
        <v>390</v>
      </c>
      <c r="D595" s="4">
        <f t="shared" ca="1" si="8"/>
        <v>45544</v>
      </c>
      <c r="E595" s="3" t="s">
        <v>35</v>
      </c>
    </row>
    <row r="596" spans="1:5" x14ac:dyDescent="0.3">
      <c r="A596" s="3" t="s">
        <v>104</v>
      </c>
      <c r="B596" s="3" t="s">
        <v>47</v>
      </c>
      <c r="C596" s="3" t="s">
        <v>105</v>
      </c>
      <c r="D596" s="4">
        <f t="shared" ca="1" si="8"/>
        <v>45544</v>
      </c>
      <c r="E596" s="3" t="s">
        <v>39</v>
      </c>
    </row>
    <row r="597" spans="1:5" x14ac:dyDescent="0.3">
      <c r="A597" s="3" t="s">
        <v>288</v>
      </c>
      <c r="B597" s="3" t="s">
        <v>50</v>
      </c>
      <c r="C597" s="3" t="s">
        <v>289</v>
      </c>
      <c r="D597" s="4">
        <f t="shared" ca="1" si="8"/>
        <v>45544</v>
      </c>
      <c r="E597" s="3" t="s">
        <v>35</v>
      </c>
    </row>
    <row r="598" spans="1:5" x14ac:dyDescent="0.3">
      <c r="A598" s="3" t="s">
        <v>269</v>
      </c>
      <c r="B598" s="3" t="s">
        <v>270</v>
      </c>
      <c r="C598" s="3" t="s">
        <v>241</v>
      </c>
      <c r="D598" s="4">
        <f t="shared" ca="1" si="8"/>
        <v>45544</v>
      </c>
      <c r="E598" s="3" t="s">
        <v>60</v>
      </c>
    </row>
    <row r="599" spans="1:5" x14ac:dyDescent="0.3">
      <c r="A599" s="3" t="s">
        <v>573</v>
      </c>
      <c r="B599" s="3" t="s">
        <v>47</v>
      </c>
      <c r="C599" s="3" t="s">
        <v>574</v>
      </c>
      <c r="D599" s="4">
        <f t="shared" ca="1" si="8"/>
        <v>45544</v>
      </c>
      <c r="E599" s="3" t="s">
        <v>27</v>
      </c>
    </row>
    <row r="600" spans="1:5" x14ac:dyDescent="0.3">
      <c r="A600" s="3" t="s">
        <v>236</v>
      </c>
      <c r="B600" s="3" t="s">
        <v>65</v>
      </c>
      <c r="C600" s="3" t="s">
        <v>237</v>
      </c>
      <c r="D600" s="4">
        <f t="shared" ca="1" si="8"/>
        <v>45544</v>
      </c>
      <c r="E600" s="3" t="s">
        <v>56</v>
      </c>
    </row>
    <row r="601" spans="1:5" x14ac:dyDescent="0.3">
      <c r="A601" s="3" t="s">
        <v>104</v>
      </c>
      <c r="B601" s="3" t="s">
        <v>58</v>
      </c>
      <c r="C601" s="3" t="s">
        <v>515</v>
      </c>
      <c r="D601" s="4">
        <f t="shared" ca="1" si="8"/>
        <v>45544</v>
      </c>
      <c r="E601" s="3" t="s">
        <v>35</v>
      </c>
    </row>
    <row r="602" spans="1:5" x14ac:dyDescent="0.3">
      <c r="A602" s="3" t="s">
        <v>228</v>
      </c>
      <c r="B602" s="3" t="s">
        <v>118</v>
      </c>
      <c r="C602" s="3" t="s">
        <v>229</v>
      </c>
      <c r="D602" s="4">
        <f t="shared" ca="1" si="8"/>
        <v>45544</v>
      </c>
      <c r="E602" s="3" t="s">
        <v>31</v>
      </c>
    </row>
    <row r="603" spans="1:5" x14ac:dyDescent="0.3">
      <c r="A603" s="3" t="s">
        <v>627</v>
      </c>
      <c r="B603" s="3" t="s">
        <v>87</v>
      </c>
      <c r="C603" s="3" t="s">
        <v>628</v>
      </c>
      <c r="D603" s="4">
        <f t="shared" ca="1" si="8"/>
        <v>45544</v>
      </c>
      <c r="E603" s="3" t="s">
        <v>39</v>
      </c>
    </row>
    <row r="604" spans="1:5" x14ac:dyDescent="0.3">
      <c r="A604" s="3" t="s">
        <v>710</v>
      </c>
      <c r="B604" s="3" t="s">
        <v>193</v>
      </c>
      <c r="C604" s="3" t="s">
        <v>200</v>
      </c>
      <c r="D604" s="4">
        <f t="shared" ca="1" si="8"/>
        <v>45544</v>
      </c>
      <c r="E604" s="3" t="s">
        <v>39</v>
      </c>
    </row>
    <row r="605" spans="1:5" x14ac:dyDescent="0.3">
      <c r="A605" s="3" t="s">
        <v>86</v>
      </c>
      <c r="B605" s="3" t="s">
        <v>87</v>
      </c>
      <c r="C605" s="3" t="s">
        <v>88</v>
      </c>
      <c r="D605" s="4">
        <f t="shared" ca="1" si="8"/>
        <v>45544</v>
      </c>
      <c r="E605" s="3" t="s">
        <v>60</v>
      </c>
    </row>
    <row r="606" spans="1:5" x14ac:dyDescent="0.3">
      <c r="A606" s="3" t="s">
        <v>377</v>
      </c>
      <c r="B606" s="3" t="s">
        <v>65</v>
      </c>
      <c r="C606" s="3" t="s">
        <v>654</v>
      </c>
      <c r="D606" s="4">
        <f t="shared" ca="1" si="8"/>
        <v>45544</v>
      </c>
      <c r="E606" s="3" t="s">
        <v>60</v>
      </c>
    </row>
    <row r="607" spans="1:5" x14ac:dyDescent="0.3">
      <c r="A607" s="3" t="s">
        <v>694</v>
      </c>
      <c r="B607" s="3" t="s">
        <v>695</v>
      </c>
      <c r="C607" s="3" t="s">
        <v>554</v>
      </c>
      <c r="D607" s="4">
        <f t="shared" ca="1" si="8"/>
        <v>45544</v>
      </c>
      <c r="E607" s="3" t="s">
        <v>60</v>
      </c>
    </row>
    <row r="608" spans="1:5" x14ac:dyDescent="0.3">
      <c r="A608" s="3" t="s">
        <v>135</v>
      </c>
      <c r="B608" s="3" t="s">
        <v>25</v>
      </c>
      <c r="C608" s="3" t="s">
        <v>136</v>
      </c>
      <c r="D608" s="4">
        <f t="shared" ca="1" si="8"/>
        <v>45544</v>
      </c>
      <c r="E608" s="3" t="s">
        <v>60</v>
      </c>
    </row>
    <row r="609" spans="1:5" x14ac:dyDescent="0.3">
      <c r="A609" s="3" t="s">
        <v>234</v>
      </c>
      <c r="B609" s="3" t="s">
        <v>78</v>
      </c>
      <c r="C609" s="3" t="s">
        <v>711</v>
      </c>
      <c r="D609" s="4">
        <f t="shared" ca="1" si="8"/>
        <v>45544</v>
      </c>
      <c r="E609" s="3" t="s">
        <v>31</v>
      </c>
    </row>
    <row r="610" spans="1:5" x14ac:dyDescent="0.3">
      <c r="A610" s="3" t="s">
        <v>636</v>
      </c>
      <c r="B610" s="3" t="s">
        <v>71</v>
      </c>
      <c r="C610" s="3" t="s">
        <v>200</v>
      </c>
      <c r="D610" s="4">
        <f t="shared" ca="1" si="8"/>
        <v>45544</v>
      </c>
      <c r="E610" s="3" t="s">
        <v>60</v>
      </c>
    </row>
    <row r="611" spans="1:5" x14ac:dyDescent="0.3">
      <c r="A611" s="3" t="s">
        <v>510</v>
      </c>
      <c r="B611" s="3" t="s">
        <v>87</v>
      </c>
      <c r="C611" s="3" t="s">
        <v>511</v>
      </c>
      <c r="D611" s="4">
        <f t="shared" ca="1" si="8"/>
        <v>45544</v>
      </c>
      <c r="E611" s="3" t="s">
        <v>35</v>
      </c>
    </row>
    <row r="612" spans="1:5" x14ac:dyDescent="0.3">
      <c r="A612" s="3" t="s">
        <v>339</v>
      </c>
      <c r="B612" s="3" t="s">
        <v>87</v>
      </c>
      <c r="C612" s="3" t="s">
        <v>340</v>
      </c>
      <c r="D612" s="4">
        <f t="shared" ca="1" si="8"/>
        <v>45544</v>
      </c>
      <c r="E612" s="3" t="s">
        <v>35</v>
      </c>
    </row>
    <row r="613" spans="1:5" x14ac:dyDescent="0.3">
      <c r="A613" s="3" t="s">
        <v>281</v>
      </c>
      <c r="B613" s="3" t="s">
        <v>37</v>
      </c>
      <c r="C613" s="3" t="s">
        <v>505</v>
      </c>
      <c r="D613" s="4">
        <f t="shared" ca="1" si="8"/>
        <v>45544</v>
      </c>
      <c r="E613" s="3" t="s">
        <v>27</v>
      </c>
    </row>
    <row r="614" spans="1:5" x14ac:dyDescent="0.3">
      <c r="A614" s="3" t="s">
        <v>499</v>
      </c>
      <c r="B614" s="3" t="s">
        <v>165</v>
      </c>
      <c r="C614" s="3" t="s">
        <v>500</v>
      </c>
      <c r="D614" s="4">
        <f t="shared" ca="1" si="8"/>
        <v>45544</v>
      </c>
      <c r="E614" s="3" t="s">
        <v>27</v>
      </c>
    </row>
    <row r="615" spans="1:5" x14ac:dyDescent="0.3">
      <c r="A615" s="3" t="s">
        <v>137</v>
      </c>
      <c r="B615" s="3" t="s">
        <v>87</v>
      </c>
      <c r="C615" s="3" t="s">
        <v>138</v>
      </c>
      <c r="D615" s="4">
        <f t="shared" ca="1" si="8"/>
        <v>45544</v>
      </c>
      <c r="E615" s="3" t="s">
        <v>56</v>
      </c>
    </row>
    <row r="616" spans="1:5" x14ac:dyDescent="0.3">
      <c r="A616" s="3" t="s">
        <v>346</v>
      </c>
      <c r="B616" s="3" t="s">
        <v>193</v>
      </c>
      <c r="C616" s="3" t="s">
        <v>347</v>
      </c>
      <c r="D616" s="4">
        <f t="shared" ca="1" si="8"/>
        <v>45544</v>
      </c>
      <c r="E616" s="3" t="s">
        <v>39</v>
      </c>
    </row>
    <row r="617" spans="1:5" x14ac:dyDescent="0.3">
      <c r="A617" s="3" t="s">
        <v>553</v>
      </c>
      <c r="B617" s="3" t="s">
        <v>50</v>
      </c>
      <c r="C617" s="3" t="s">
        <v>554</v>
      </c>
      <c r="D617" s="4">
        <f t="shared" ca="1" si="8"/>
        <v>45544</v>
      </c>
      <c r="E617" s="3" t="s">
        <v>56</v>
      </c>
    </row>
    <row r="618" spans="1:5" x14ac:dyDescent="0.3">
      <c r="A618" s="3" t="s">
        <v>414</v>
      </c>
      <c r="B618" s="3" t="s">
        <v>65</v>
      </c>
      <c r="C618" s="3" t="s">
        <v>415</v>
      </c>
      <c r="D618" s="4">
        <f t="shared" ca="1" si="8"/>
        <v>45544</v>
      </c>
      <c r="E618" s="3" t="s">
        <v>35</v>
      </c>
    </row>
    <row r="619" spans="1:5" x14ac:dyDescent="0.3">
      <c r="A619" s="3" t="s">
        <v>290</v>
      </c>
      <c r="B619" s="3" t="s">
        <v>58</v>
      </c>
      <c r="C619" s="3" t="s">
        <v>291</v>
      </c>
      <c r="D619" s="4">
        <f t="shared" ca="1" si="8"/>
        <v>45544</v>
      </c>
      <c r="E619" s="3" t="s">
        <v>39</v>
      </c>
    </row>
    <row r="620" spans="1:5" x14ac:dyDescent="0.3">
      <c r="A620" s="3" t="s">
        <v>457</v>
      </c>
      <c r="B620" s="3" t="s">
        <v>298</v>
      </c>
      <c r="C620" s="3" t="s">
        <v>458</v>
      </c>
      <c r="D620" s="4">
        <f t="shared" ca="1" si="8"/>
        <v>45544</v>
      </c>
      <c r="E620" s="3" t="s">
        <v>35</v>
      </c>
    </row>
    <row r="621" spans="1:5" x14ac:dyDescent="0.3">
      <c r="A621" s="3" t="s">
        <v>104</v>
      </c>
      <c r="B621" s="3" t="s">
        <v>25</v>
      </c>
      <c r="C621" s="3" t="s">
        <v>583</v>
      </c>
      <c r="D621" s="4">
        <f t="shared" ca="1" si="8"/>
        <v>45544</v>
      </c>
      <c r="E621" s="3" t="s">
        <v>27</v>
      </c>
    </row>
    <row r="622" spans="1:5" x14ac:dyDescent="0.3">
      <c r="A622" s="3" t="s">
        <v>154</v>
      </c>
      <c r="B622" s="3" t="s">
        <v>71</v>
      </c>
      <c r="C622" s="3" t="s">
        <v>155</v>
      </c>
      <c r="D622" s="4">
        <f t="shared" ca="1" si="8"/>
        <v>45544</v>
      </c>
      <c r="E622" s="3" t="s">
        <v>60</v>
      </c>
    </row>
    <row r="623" spans="1:5" x14ac:dyDescent="0.3">
      <c r="A623" s="3" t="s">
        <v>400</v>
      </c>
      <c r="B623" s="3" t="s">
        <v>58</v>
      </c>
      <c r="C623" s="3" t="s">
        <v>472</v>
      </c>
      <c r="D623" s="4">
        <f t="shared" ca="1" si="8"/>
        <v>45544</v>
      </c>
      <c r="E623" s="3" t="s">
        <v>27</v>
      </c>
    </row>
    <row r="624" spans="1:5" x14ac:dyDescent="0.3">
      <c r="A624" s="3" t="s">
        <v>412</v>
      </c>
      <c r="B624" s="3" t="s">
        <v>65</v>
      </c>
      <c r="C624" s="3" t="s">
        <v>413</v>
      </c>
      <c r="D624" s="4">
        <f t="shared" ca="1" si="8"/>
        <v>45544</v>
      </c>
      <c r="E624" s="3" t="s">
        <v>39</v>
      </c>
    </row>
    <row r="625" spans="1:5" x14ac:dyDescent="0.3">
      <c r="A625" s="3" t="s">
        <v>712</v>
      </c>
      <c r="B625" s="3" t="s">
        <v>44</v>
      </c>
      <c r="C625" s="3" t="s">
        <v>713</v>
      </c>
      <c r="D625" s="4">
        <f t="shared" ca="1" si="8"/>
        <v>45544</v>
      </c>
      <c r="E625" s="3" t="s">
        <v>39</v>
      </c>
    </row>
    <row r="626" spans="1:5" x14ac:dyDescent="0.3">
      <c r="A626" s="3" t="s">
        <v>616</v>
      </c>
      <c r="B626" s="3" t="s">
        <v>617</v>
      </c>
      <c r="C626" s="3" t="s">
        <v>618</v>
      </c>
      <c r="D626" s="4">
        <f t="shared" ca="1" si="8"/>
        <v>45544</v>
      </c>
      <c r="E626" s="3" t="s">
        <v>39</v>
      </c>
    </row>
    <row r="627" spans="1:5" x14ac:dyDescent="0.3">
      <c r="A627" s="3" t="s">
        <v>531</v>
      </c>
      <c r="B627" s="3" t="s">
        <v>162</v>
      </c>
      <c r="C627" s="3" t="s">
        <v>714</v>
      </c>
      <c r="D627" s="4">
        <f t="shared" ca="1" si="8"/>
        <v>45544</v>
      </c>
      <c r="E627" s="3" t="s">
        <v>39</v>
      </c>
    </row>
    <row r="628" spans="1:5" x14ac:dyDescent="0.3">
      <c r="A628" s="3" t="s">
        <v>339</v>
      </c>
      <c r="B628" s="3" t="s">
        <v>87</v>
      </c>
      <c r="C628" s="3" t="s">
        <v>340</v>
      </c>
      <c r="D628" s="4">
        <f t="shared" ca="1" si="8"/>
        <v>45544</v>
      </c>
      <c r="E628" s="3" t="s">
        <v>35</v>
      </c>
    </row>
    <row r="629" spans="1:5" x14ac:dyDescent="0.3">
      <c r="A629" s="3" t="s">
        <v>619</v>
      </c>
      <c r="B629" s="3" t="s">
        <v>298</v>
      </c>
      <c r="C629" s="3" t="s">
        <v>620</v>
      </c>
      <c r="D629" s="4">
        <f t="shared" ca="1" si="8"/>
        <v>45544</v>
      </c>
      <c r="E629" s="3" t="s">
        <v>60</v>
      </c>
    </row>
    <row r="630" spans="1:5" x14ac:dyDescent="0.3">
      <c r="A630" s="3" t="s">
        <v>234</v>
      </c>
      <c r="B630" s="3" t="s">
        <v>87</v>
      </c>
      <c r="C630" s="3" t="s">
        <v>235</v>
      </c>
      <c r="D630" s="4">
        <f t="shared" ca="1" si="8"/>
        <v>45544</v>
      </c>
      <c r="E630" s="3" t="s">
        <v>35</v>
      </c>
    </row>
    <row r="631" spans="1:5" x14ac:dyDescent="0.3">
      <c r="A631" s="3" t="s">
        <v>361</v>
      </c>
      <c r="B631" s="3" t="s">
        <v>65</v>
      </c>
      <c r="C631" s="3" t="s">
        <v>715</v>
      </c>
      <c r="D631" s="4">
        <f t="shared" ca="1" si="8"/>
        <v>45544</v>
      </c>
      <c r="E631" s="3" t="s">
        <v>39</v>
      </c>
    </row>
    <row r="632" spans="1:5" x14ac:dyDescent="0.3">
      <c r="A632" s="3" t="s">
        <v>527</v>
      </c>
      <c r="B632" s="3" t="s">
        <v>118</v>
      </c>
      <c r="C632" s="3" t="s">
        <v>528</v>
      </c>
      <c r="D632" s="4">
        <f t="shared" ca="1" si="8"/>
        <v>45544</v>
      </c>
      <c r="E632" s="3" t="s">
        <v>31</v>
      </c>
    </row>
    <row r="633" spans="1:5" x14ac:dyDescent="0.3">
      <c r="A633" s="3" t="s">
        <v>634</v>
      </c>
      <c r="B633" s="3" t="s">
        <v>71</v>
      </c>
      <c r="C633" s="3" t="s">
        <v>635</v>
      </c>
      <c r="D633" s="4">
        <f t="shared" ca="1" si="8"/>
        <v>45544</v>
      </c>
      <c r="E633" s="3" t="s">
        <v>56</v>
      </c>
    </row>
    <row r="634" spans="1:5" x14ac:dyDescent="0.3">
      <c r="A634" s="3" t="s">
        <v>716</v>
      </c>
      <c r="B634" s="3" t="s">
        <v>717</v>
      </c>
      <c r="C634" s="3" t="s">
        <v>718</v>
      </c>
      <c r="D634" s="4">
        <f t="shared" ca="1" si="8"/>
        <v>45544</v>
      </c>
      <c r="E634" s="3" t="s">
        <v>60</v>
      </c>
    </row>
    <row r="635" spans="1:5" x14ac:dyDescent="0.3">
      <c r="A635" s="3" t="s">
        <v>479</v>
      </c>
      <c r="B635" s="3" t="s">
        <v>140</v>
      </c>
      <c r="C635" s="3" t="s">
        <v>480</v>
      </c>
      <c r="D635" s="4">
        <f t="shared" ca="1" si="8"/>
        <v>45544</v>
      </c>
      <c r="E635" s="3" t="s">
        <v>60</v>
      </c>
    </row>
    <row r="636" spans="1:5" x14ac:dyDescent="0.3">
      <c r="A636" s="3" t="s">
        <v>215</v>
      </c>
      <c r="B636" s="3" t="s">
        <v>25</v>
      </c>
      <c r="C636" s="3" t="s">
        <v>216</v>
      </c>
      <c r="D636" s="4">
        <f t="shared" ca="1" si="8"/>
        <v>45544</v>
      </c>
      <c r="E636" s="3" t="s">
        <v>56</v>
      </c>
    </row>
    <row r="637" spans="1:5" x14ac:dyDescent="0.3">
      <c r="A637" s="3" t="s">
        <v>230</v>
      </c>
      <c r="B637" s="3" t="s">
        <v>118</v>
      </c>
      <c r="C637" s="3" t="s">
        <v>119</v>
      </c>
      <c r="D637" s="4">
        <f t="shared" ca="1" si="8"/>
        <v>45544</v>
      </c>
      <c r="E637" s="3" t="s">
        <v>56</v>
      </c>
    </row>
    <row r="638" spans="1:5" x14ac:dyDescent="0.3">
      <c r="A638" s="3" t="s">
        <v>600</v>
      </c>
      <c r="B638" s="3" t="s">
        <v>71</v>
      </c>
      <c r="C638" s="3" t="s">
        <v>601</v>
      </c>
      <c r="D638" s="4">
        <f t="shared" ca="1" si="8"/>
        <v>45544</v>
      </c>
      <c r="E638" s="3" t="s">
        <v>56</v>
      </c>
    </row>
    <row r="639" spans="1:5" x14ac:dyDescent="0.3">
      <c r="A639" s="3" t="s">
        <v>147</v>
      </c>
      <c r="B639" s="3" t="s">
        <v>65</v>
      </c>
      <c r="C639" s="3" t="s">
        <v>148</v>
      </c>
      <c r="D639" s="4">
        <f t="shared" ca="1" si="8"/>
        <v>45544</v>
      </c>
      <c r="E639" s="3" t="s">
        <v>56</v>
      </c>
    </row>
    <row r="640" spans="1:5" x14ac:dyDescent="0.3">
      <c r="A640" s="3" t="s">
        <v>549</v>
      </c>
      <c r="B640" s="3" t="s">
        <v>550</v>
      </c>
      <c r="C640" s="3" t="s">
        <v>551</v>
      </c>
      <c r="D640" s="4">
        <f t="shared" ca="1" si="8"/>
        <v>45544</v>
      </c>
      <c r="E640" s="3" t="s">
        <v>60</v>
      </c>
    </row>
    <row r="641" spans="1:5" x14ac:dyDescent="0.3">
      <c r="A641" s="3" t="s">
        <v>531</v>
      </c>
      <c r="B641" s="3" t="s">
        <v>193</v>
      </c>
      <c r="C641" s="3" t="s">
        <v>532</v>
      </c>
      <c r="D641" s="4">
        <f t="shared" ca="1" si="8"/>
        <v>45544</v>
      </c>
      <c r="E641" s="3" t="s">
        <v>39</v>
      </c>
    </row>
    <row r="642" spans="1:5" x14ac:dyDescent="0.3">
      <c r="A642" s="3" t="s">
        <v>441</v>
      </c>
      <c r="B642" s="3" t="s">
        <v>442</v>
      </c>
      <c r="C642" s="3" t="s">
        <v>350</v>
      </c>
      <c r="D642" s="4">
        <f t="shared" ca="1" si="8"/>
        <v>45544</v>
      </c>
      <c r="E642" s="3" t="s">
        <v>39</v>
      </c>
    </row>
    <row r="643" spans="1:5" x14ac:dyDescent="0.3">
      <c r="A643" s="3" t="s">
        <v>692</v>
      </c>
      <c r="B643" s="3" t="s">
        <v>193</v>
      </c>
      <c r="C643" s="3" t="s">
        <v>693</v>
      </c>
      <c r="D643" s="4">
        <f t="shared" ca="1" si="8"/>
        <v>45544</v>
      </c>
      <c r="E643" s="3" t="s">
        <v>31</v>
      </c>
    </row>
    <row r="644" spans="1:5" x14ac:dyDescent="0.3">
      <c r="A644" s="3" t="s">
        <v>259</v>
      </c>
      <c r="B644" s="3" t="s">
        <v>47</v>
      </c>
      <c r="C644" s="3" t="s">
        <v>260</v>
      </c>
      <c r="D644" s="4">
        <f t="shared" ca="1" si="8"/>
        <v>45544</v>
      </c>
      <c r="E644" s="3" t="s">
        <v>39</v>
      </c>
    </row>
    <row r="645" spans="1:5" x14ac:dyDescent="0.3">
      <c r="A645" s="3" t="s">
        <v>522</v>
      </c>
      <c r="B645" s="3" t="s">
        <v>523</v>
      </c>
      <c r="C645" s="3" t="s">
        <v>524</v>
      </c>
      <c r="D645" s="4">
        <f t="shared" ref="D645:D726" ca="1" si="9">TODAY()-462</f>
        <v>45575</v>
      </c>
      <c r="E645" s="3" t="s">
        <v>35</v>
      </c>
    </row>
    <row r="646" spans="1:5" x14ac:dyDescent="0.3">
      <c r="A646" s="3" t="s">
        <v>588</v>
      </c>
      <c r="B646" s="3" t="s">
        <v>74</v>
      </c>
      <c r="C646" s="3" t="s">
        <v>216</v>
      </c>
      <c r="D646" s="4">
        <f t="shared" ca="1" si="9"/>
        <v>45575</v>
      </c>
      <c r="E646" s="3" t="s">
        <v>35</v>
      </c>
    </row>
    <row r="647" spans="1:5" x14ac:dyDescent="0.3">
      <c r="A647" s="3" t="s">
        <v>607</v>
      </c>
      <c r="B647" s="3" t="s">
        <v>284</v>
      </c>
      <c r="C647" s="3" t="s">
        <v>608</v>
      </c>
      <c r="D647" s="4">
        <f t="shared" ca="1" si="9"/>
        <v>45575</v>
      </c>
      <c r="E647" s="3" t="s">
        <v>39</v>
      </c>
    </row>
    <row r="648" spans="1:5" x14ac:dyDescent="0.3">
      <c r="A648" s="3" t="s">
        <v>719</v>
      </c>
      <c r="B648" s="3" t="s">
        <v>193</v>
      </c>
      <c r="C648" s="3" t="s">
        <v>720</v>
      </c>
      <c r="D648" s="4">
        <f t="shared" ca="1" si="9"/>
        <v>45575</v>
      </c>
      <c r="E648" s="3" t="s">
        <v>56</v>
      </c>
    </row>
    <row r="649" spans="1:5" x14ac:dyDescent="0.3">
      <c r="A649" s="3" t="s">
        <v>375</v>
      </c>
      <c r="B649" s="3" t="s">
        <v>50</v>
      </c>
      <c r="C649" s="3" t="s">
        <v>411</v>
      </c>
      <c r="D649" s="4">
        <f t="shared" ca="1" si="9"/>
        <v>45575</v>
      </c>
      <c r="E649" s="3" t="s">
        <v>31</v>
      </c>
    </row>
    <row r="650" spans="1:5" x14ac:dyDescent="0.3">
      <c r="A650" s="3" t="s">
        <v>296</v>
      </c>
      <c r="B650" s="3" t="s">
        <v>193</v>
      </c>
      <c r="C650" s="3" t="s">
        <v>516</v>
      </c>
      <c r="D650" s="4">
        <f t="shared" ca="1" si="9"/>
        <v>45575</v>
      </c>
      <c r="E650" s="3" t="s">
        <v>60</v>
      </c>
    </row>
    <row r="651" spans="1:5" x14ac:dyDescent="0.3">
      <c r="A651" s="3" t="s">
        <v>721</v>
      </c>
      <c r="B651" s="3" t="s">
        <v>71</v>
      </c>
      <c r="C651" s="3" t="s">
        <v>722</v>
      </c>
      <c r="D651" s="4">
        <f t="shared" ca="1" si="9"/>
        <v>45575</v>
      </c>
      <c r="E651" s="3" t="s">
        <v>60</v>
      </c>
    </row>
    <row r="652" spans="1:5" x14ac:dyDescent="0.3">
      <c r="A652" s="3" t="s">
        <v>482</v>
      </c>
      <c r="B652" s="3" t="s">
        <v>58</v>
      </c>
      <c r="C652" s="3" t="s">
        <v>485</v>
      </c>
      <c r="D652" s="4">
        <f t="shared" ca="1" si="9"/>
        <v>45575</v>
      </c>
      <c r="E652" s="3" t="s">
        <v>27</v>
      </c>
    </row>
    <row r="653" spans="1:5" x14ac:dyDescent="0.3">
      <c r="A653" s="3" t="s">
        <v>723</v>
      </c>
      <c r="B653" s="3" t="s">
        <v>331</v>
      </c>
      <c r="C653" s="3" t="s">
        <v>724</v>
      </c>
      <c r="D653" s="4">
        <f t="shared" ca="1" si="9"/>
        <v>45575</v>
      </c>
      <c r="E653" s="3" t="s">
        <v>60</v>
      </c>
    </row>
    <row r="654" spans="1:5" x14ac:dyDescent="0.3">
      <c r="A654" s="3" t="s">
        <v>673</v>
      </c>
      <c r="B654" s="3" t="s">
        <v>442</v>
      </c>
      <c r="C654" s="3" t="s">
        <v>674</v>
      </c>
      <c r="D654" s="4">
        <f t="shared" ca="1" si="9"/>
        <v>45575</v>
      </c>
      <c r="E654" s="3" t="s">
        <v>27</v>
      </c>
    </row>
    <row r="655" spans="1:5" x14ac:dyDescent="0.3">
      <c r="A655" s="3" t="s">
        <v>452</v>
      </c>
      <c r="B655" s="3" t="s">
        <v>453</v>
      </c>
      <c r="C655" s="3" t="s">
        <v>454</v>
      </c>
      <c r="D655" s="4">
        <f t="shared" ca="1" si="9"/>
        <v>45575</v>
      </c>
      <c r="E655" s="3" t="s">
        <v>35</v>
      </c>
    </row>
    <row r="656" spans="1:5" x14ac:dyDescent="0.3">
      <c r="A656" s="3" t="s">
        <v>335</v>
      </c>
      <c r="B656" s="3" t="s">
        <v>118</v>
      </c>
      <c r="C656" s="3" t="s">
        <v>432</v>
      </c>
      <c r="D656" s="4">
        <f t="shared" ca="1" si="9"/>
        <v>45575</v>
      </c>
      <c r="E656" s="3" t="s">
        <v>60</v>
      </c>
    </row>
    <row r="657" spans="1:5" x14ac:dyDescent="0.3">
      <c r="A657" s="3" t="s">
        <v>457</v>
      </c>
      <c r="B657" s="3" t="s">
        <v>298</v>
      </c>
      <c r="C657" s="3" t="s">
        <v>458</v>
      </c>
      <c r="D657" s="4">
        <f t="shared" ca="1" si="9"/>
        <v>45575</v>
      </c>
      <c r="E657" s="3" t="s">
        <v>35</v>
      </c>
    </row>
    <row r="658" spans="1:5" x14ac:dyDescent="0.3">
      <c r="A658" s="3" t="s">
        <v>321</v>
      </c>
      <c r="B658" s="3" t="s">
        <v>71</v>
      </c>
      <c r="C658" s="3" t="s">
        <v>322</v>
      </c>
      <c r="D658" s="4">
        <f t="shared" ca="1" si="9"/>
        <v>45575</v>
      </c>
      <c r="E658" s="3" t="s">
        <v>39</v>
      </c>
    </row>
    <row r="659" spans="1:5" x14ac:dyDescent="0.3">
      <c r="A659" s="3" t="s">
        <v>32</v>
      </c>
      <c r="B659" s="3" t="s">
        <v>33</v>
      </c>
      <c r="C659" s="3" t="s">
        <v>34</v>
      </c>
      <c r="D659" s="4">
        <f t="shared" ca="1" si="9"/>
        <v>45575</v>
      </c>
      <c r="E659" s="3" t="s">
        <v>35</v>
      </c>
    </row>
    <row r="660" spans="1:5" x14ac:dyDescent="0.3">
      <c r="A660" s="3" t="s">
        <v>725</v>
      </c>
      <c r="B660" s="3" t="s">
        <v>37</v>
      </c>
      <c r="C660" s="3" t="s">
        <v>726</v>
      </c>
      <c r="D660" s="4">
        <f t="shared" ca="1" si="9"/>
        <v>45575</v>
      </c>
      <c r="E660" s="3" t="s">
        <v>31</v>
      </c>
    </row>
    <row r="661" spans="1:5" x14ac:dyDescent="0.3">
      <c r="A661" s="3" t="s">
        <v>49</v>
      </c>
      <c r="B661" s="3" t="s">
        <v>50</v>
      </c>
      <c r="C661" s="3" t="s">
        <v>51</v>
      </c>
      <c r="D661" s="4">
        <f t="shared" ca="1" si="9"/>
        <v>45575</v>
      </c>
      <c r="E661" s="3" t="s">
        <v>31</v>
      </c>
    </row>
    <row r="662" spans="1:5" x14ac:dyDescent="0.3">
      <c r="A662" s="3" t="s">
        <v>727</v>
      </c>
      <c r="B662" s="3" t="s">
        <v>50</v>
      </c>
      <c r="C662" s="3" t="s">
        <v>728</v>
      </c>
      <c r="D662" s="4">
        <f t="shared" ca="1" si="9"/>
        <v>45575</v>
      </c>
      <c r="E662" s="3" t="s">
        <v>60</v>
      </c>
    </row>
    <row r="663" spans="1:5" x14ac:dyDescent="0.3">
      <c r="A663" s="3" t="s">
        <v>288</v>
      </c>
      <c r="B663" s="3" t="s">
        <v>50</v>
      </c>
      <c r="C663" s="3" t="s">
        <v>289</v>
      </c>
      <c r="D663" s="4">
        <f t="shared" ca="1" si="9"/>
        <v>45575</v>
      </c>
      <c r="E663" s="3" t="s">
        <v>35</v>
      </c>
    </row>
    <row r="664" spans="1:5" x14ac:dyDescent="0.3">
      <c r="A664" s="3" t="s">
        <v>154</v>
      </c>
      <c r="B664" s="3" t="s">
        <v>87</v>
      </c>
      <c r="C664" s="3" t="s">
        <v>690</v>
      </c>
      <c r="D664" s="4">
        <f t="shared" ca="1" si="9"/>
        <v>45575</v>
      </c>
      <c r="E664" s="3" t="s">
        <v>60</v>
      </c>
    </row>
    <row r="665" spans="1:5" x14ac:dyDescent="0.3">
      <c r="A665" s="3" t="s">
        <v>217</v>
      </c>
      <c r="B665" s="3" t="s">
        <v>87</v>
      </c>
      <c r="C665" s="3" t="s">
        <v>218</v>
      </c>
      <c r="D665" s="4">
        <f t="shared" ca="1" si="9"/>
        <v>45575</v>
      </c>
      <c r="E665" s="3" t="s">
        <v>31</v>
      </c>
    </row>
    <row r="666" spans="1:5" x14ac:dyDescent="0.3">
      <c r="A666" s="3" t="s">
        <v>156</v>
      </c>
      <c r="B666" s="3" t="s">
        <v>157</v>
      </c>
      <c r="C666" s="3" t="s">
        <v>158</v>
      </c>
      <c r="D666" s="4">
        <f t="shared" ca="1" si="9"/>
        <v>45575</v>
      </c>
      <c r="E666" s="3" t="s">
        <v>60</v>
      </c>
    </row>
    <row r="667" spans="1:5" x14ac:dyDescent="0.3">
      <c r="A667" s="3" t="s">
        <v>100</v>
      </c>
      <c r="B667" s="3" t="s">
        <v>37</v>
      </c>
      <c r="C667" s="3" t="s">
        <v>101</v>
      </c>
      <c r="D667" s="4">
        <f t="shared" ca="1" si="9"/>
        <v>45575</v>
      </c>
      <c r="E667" s="3" t="s">
        <v>39</v>
      </c>
    </row>
    <row r="668" spans="1:5" x14ac:dyDescent="0.3">
      <c r="A668" s="3" t="s">
        <v>448</v>
      </c>
      <c r="B668" s="3" t="s">
        <v>74</v>
      </c>
      <c r="C668" s="3" t="s">
        <v>449</v>
      </c>
      <c r="D668" s="4">
        <f t="shared" ca="1" si="9"/>
        <v>45575</v>
      </c>
      <c r="E668" s="3" t="s">
        <v>35</v>
      </c>
    </row>
    <row r="669" spans="1:5" x14ac:dyDescent="0.3">
      <c r="A669" s="3" t="s">
        <v>213</v>
      </c>
      <c r="B669" s="3" t="s">
        <v>87</v>
      </c>
      <c r="C669" s="3" t="s">
        <v>214</v>
      </c>
      <c r="D669" s="4">
        <f t="shared" ca="1" si="9"/>
        <v>45575</v>
      </c>
      <c r="E669" s="3" t="s">
        <v>27</v>
      </c>
    </row>
    <row r="670" spans="1:5" x14ac:dyDescent="0.3">
      <c r="A670" s="3" t="s">
        <v>729</v>
      </c>
      <c r="B670" s="3" t="s">
        <v>58</v>
      </c>
      <c r="C670" s="3" t="s">
        <v>730</v>
      </c>
      <c r="D670" s="4">
        <f t="shared" ca="1" si="9"/>
        <v>45575</v>
      </c>
      <c r="E670" s="3" t="s">
        <v>35</v>
      </c>
    </row>
    <row r="671" spans="1:5" x14ac:dyDescent="0.3">
      <c r="A671" s="3" t="s">
        <v>393</v>
      </c>
      <c r="B671" s="3" t="s">
        <v>74</v>
      </c>
      <c r="C671" s="3" t="s">
        <v>394</v>
      </c>
      <c r="D671" s="4">
        <f t="shared" ca="1" si="9"/>
        <v>45575</v>
      </c>
      <c r="E671" s="3" t="s">
        <v>56</v>
      </c>
    </row>
    <row r="672" spans="1:5" x14ac:dyDescent="0.3">
      <c r="A672" s="3" t="s">
        <v>422</v>
      </c>
      <c r="B672" s="3" t="s">
        <v>423</v>
      </c>
      <c r="C672" s="3" t="s">
        <v>424</v>
      </c>
      <c r="D672" s="4">
        <f t="shared" ca="1" si="9"/>
        <v>45575</v>
      </c>
      <c r="E672" s="3" t="s">
        <v>60</v>
      </c>
    </row>
    <row r="673" spans="1:5" x14ac:dyDescent="0.3">
      <c r="A673" s="3" t="s">
        <v>297</v>
      </c>
      <c r="B673" s="3" t="s">
        <v>298</v>
      </c>
      <c r="C673" s="3" t="s">
        <v>285</v>
      </c>
      <c r="D673" s="4">
        <f t="shared" ca="1" si="9"/>
        <v>45575</v>
      </c>
      <c r="E673" s="3" t="s">
        <v>56</v>
      </c>
    </row>
    <row r="674" spans="1:5" x14ac:dyDescent="0.3">
      <c r="A674" s="3" t="s">
        <v>604</v>
      </c>
      <c r="B674" s="3" t="s">
        <v>50</v>
      </c>
      <c r="C674" s="3" t="s">
        <v>652</v>
      </c>
      <c r="D674" s="4">
        <f t="shared" ca="1" si="9"/>
        <v>45575</v>
      </c>
      <c r="E674" s="3" t="s">
        <v>60</v>
      </c>
    </row>
    <row r="675" spans="1:5" x14ac:dyDescent="0.3">
      <c r="A675" s="3" t="s">
        <v>702</v>
      </c>
      <c r="B675" s="3" t="s">
        <v>58</v>
      </c>
      <c r="C675" s="3" t="s">
        <v>703</v>
      </c>
      <c r="D675" s="4">
        <f t="shared" ca="1" si="9"/>
        <v>45575</v>
      </c>
      <c r="E675" s="3" t="s">
        <v>39</v>
      </c>
    </row>
    <row r="676" spans="1:5" x14ac:dyDescent="0.3">
      <c r="A676" s="3" t="s">
        <v>154</v>
      </c>
      <c r="B676" s="3" t="s">
        <v>87</v>
      </c>
      <c r="C676" s="3" t="s">
        <v>690</v>
      </c>
      <c r="D676" s="4">
        <f t="shared" ca="1" si="9"/>
        <v>45575</v>
      </c>
      <c r="E676" s="3" t="s">
        <v>60</v>
      </c>
    </row>
    <row r="677" spans="1:5" x14ac:dyDescent="0.3">
      <c r="A677" s="3" t="s">
        <v>224</v>
      </c>
      <c r="B677" s="3" t="s">
        <v>193</v>
      </c>
      <c r="C677" s="3" t="s">
        <v>225</v>
      </c>
      <c r="D677" s="4">
        <f t="shared" ca="1" si="9"/>
        <v>45575</v>
      </c>
      <c r="E677" s="3" t="s">
        <v>56</v>
      </c>
    </row>
    <row r="678" spans="1:5" x14ac:dyDescent="0.3">
      <c r="A678" s="3" t="s">
        <v>731</v>
      </c>
      <c r="B678" s="3" t="s">
        <v>93</v>
      </c>
      <c r="C678" s="3" t="s">
        <v>732</v>
      </c>
      <c r="D678" s="4">
        <f t="shared" ca="1" si="9"/>
        <v>45575</v>
      </c>
      <c r="E678" s="3" t="s">
        <v>60</v>
      </c>
    </row>
    <row r="679" spans="1:5" x14ac:dyDescent="0.3">
      <c r="A679" s="3" t="s">
        <v>97</v>
      </c>
      <c r="B679" s="3" t="s">
        <v>98</v>
      </c>
      <c r="C679" s="3" t="s">
        <v>99</v>
      </c>
      <c r="D679" s="4">
        <f t="shared" ca="1" si="9"/>
        <v>45575</v>
      </c>
      <c r="E679" s="3" t="s">
        <v>39</v>
      </c>
    </row>
    <row r="680" spans="1:5" x14ac:dyDescent="0.3">
      <c r="A680" s="3" t="s">
        <v>43</v>
      </c>
      <c r="B680" s="3" t="s">
        <v>44</v>
      </c>
      <c r="C680" s="3" t="s">
        <v>45</v>
      </c>
      <c r="D680" s="4">
        <f t="shared" ca="1" si="9"/>
        <v>45575</v>
      </c>
      <c r="E680" s="3" t="s">
        <v>35</v>
      </c>
    </row>
    <row r="681" spans="1:5" x14ac:dyDescent="0.3">
      <c r="A681" s="3" t="s">
        <v>299</v>
      </c>
      <c r="B681" s="3" t="s">
        <v>33</v>
      </c>
      <c r="C681" s="3" t="s">
        <v>300</v>
      </c>
      <c r="D681" s="4">
        <f t="shared" ca="1" si="9"/>
        <v>45575</v>
      </c>
      <c r="E681" s="3" t="s">
        <v>60</v>
      </c>
    </row>
    <row r="682" spans="1:5" x14ac:dyDescent="0.3">
      <c r="A682" s="3" t="s">
        <v>721</v>
      </c>
      <c r="B682" s="3" t="s">
        <v>71</v>
      </c>
      <c r="C682" s="3" t="s">
        <v>722</v>
      </c>
      <c r="D682" s="4">
        <f t="shared" ca="1" si="9"/>
        <v>45575</v>
      </c>
      <c r="E682" s="3" t="s">
        <v>60</v>
      </c>
    </row>
    <row r="683" spans="1:5" x14ac:dyDescent="0.3">
      <c r="A683" s="3" t="s">
        <v>632</v>
      </c>
      <c r="B683" s="3" t="s">
        <v>368</v>
      </c>
      <c r="C683" s="3" t="s">
        <v>633</v>
      </c>
      <c r="D683" s="4">
        <f t="shared" ca="1" si="9"/>
        <v>45575</v>
      </c>
      <c r="E683" s="3" t="s">
        <v>60</v>
      </c>
    </row>
    <row r="684" spans="1:5" x14ac:dyDescent="0.3">
      <c r="A684" s="3" t="s">
        <v>443</v>
      </c>
      <c r="B684" s="3" t="s">
        <v>368</v>
      </c>
      <c r="C684" s="3" t="s">
        <v>444</v>
      </c>
      <c r="D684" s="4">
        <f t="shared" ca="1" si="9"/>
        <v>45575</v>
      </c>
      <c r="E684" s="3" t="s">
        <v>35</v>
      </c>
    </row>
    <row r="685" spans="1:5" x14ac:dyDescent="0.3">
      <c r="A685" s="3" t="s">
        <v>712</v>
      </c>
      <c r="B685" s="3" t="s">
        <v>44</v>
      </c>
      <c r="C685" s="3" t="s">
        <v>713</v>
      </c>
      <c r="D685" s="4">
        <f t="shared" ca="1" si="9"/>
        <v>45575</v>
      </c>
      <c r="E685" s="3" t="s">
        <v>39</v>
      </c>
    </row>
    <row r="686" spans="1:5" x14ac:dyDescent="0.3">
      <c r="A686" s="3" t="s">
        <v>657</v>
      </c>
      <c r="B686" s="3" t="s">
        <v>65</v>
      </c>
      <c r="C686" s="3" t="s">
        <v>658</v>
      </c>
      <c r="D686" s="4">
        <f t="shared" ca="1" si="9"/>
        <v>45575</v>
      </c>
      <c r="E686" s="3" t="s">
        <v>27</v>
      </c>
    </row>
    <row r="687" spans="1:5" x14ac:dyDescent="0.3">
      <c r="A687" s="3" t="s">
        <v>461</v>
      </c>
      <c r="B687" s="3" t="s">
        <v>270</v>
      </c>
      <c r="C687" s="3" t="s">
        <v>689</v>
      </c>
      <c r="D687" s="4">
        <f t="shared" ca="1" si="9"/>
        <v>45575</v>
      </c>
      <c r="E687" s="3" t="s">
        <v>27</v>
      </c>
    </row>
    <row r="688" spans="1:5" x14ac:dyDescent="0.3">
      <c r="A688" s="3" t="s">
        <v>100</v>
      </c>
      <c r="B688" s="3" t="s">
        <v>37</v>
      </c>
      <c r="C688" s="3" t="s">
        <v>101</v>
      </c>
      <c r="D688" s="4">
        <f t="shared" ca="1" si="9"/>
        <v>45575</v>
      </c>
      <c r="E688" s="3" t="s">
        <v>39</v>
      </c>
    </row>
    <row r="689" spans="1:5" x14ac:dyDescent="0.3">
      <c r="A689" s="3" t="s">
        <v>539</v>
      </c>
      <c r="B689" s="3" t="s">
        <v>25</v>
      </c>
      <c r="C689" s="3" t="s">
        <v>540</v>
      </c>
      <c r="D689" s="4">
        <f t="shared" ca="1" si="9"/>
        <v>45575</v>
      </c>
      <c r="E689" s="3" t="s">
        <v>39</v>
      </c>
    </row>
    <row r="690" spans="1:5" x14ac:dyDescent="0.3">
      <c r="A690" s="3" t="s">
        <v>112</v>
      </c>
      <c r="B690" s="3" t="s">
        <v>65</v>
      </c>
      <c r="C690" s="3" t="s">
        <v>113</v>
      </c>
      <c r="D690" s="4">
        <f t="shared" ca="1" si="9"/>
        <v>45575</v>
      </c>
      <c r="E690" s="3" t="s">
        <v>27</v>
      </c>
    </row>
    <row r="691" spans="1:5" x14ac:dyDescent="0.3">
      <c r="A691" s="3" t="s">
        <v>184</v>
      </c>
      <c r="B691" s="3" t="s">
        <v>47</v>
      </c>
      <c r="C691" s="3" t="s">
        <v>185</v>
      </c>
      <c r="D691" s="4">
        <f t="shared" ca="1" si="9"/>
        <v>45575</v>
      </c>
      <c r="E691" s="3" t="s">
        <v>35</v>
      </c>
    </row>
    <row r="692" spans="1:5" x14ac:dyDescent="0.3">
      <c r="A692" s="3" t="s">
        <v>402</v>
      </c>
      <c r="B692" s="3" t="s">
        <v>62</v>
      </c>
      <c r="C692" s="3" t="s">
        <v>403</v>
      </c>
      <c r="D692" s="4">
        <f t="shared" ca="1" si="9"/>
        <v>45575</v>
      </c>
      <c r="E692" s="3" t="s">
        <v>39</v>
      </c>
    </row>
    <row r="693" spans="1:5" x14ac:dyDescent="0.3">
      <c r="A693" s="3" t="s">
        <v>335</v>
      </c>
      <c r="B693" s="3" t="s">
        <v>118</v>
      </c>
      <c r="C693" s="3" t="s">
        <v>432</v>
      </c>
      <c r="D693" s="4">
        <f t="shared" ca="1" si="9"/>
        <v>45575</v>
      </c>
      <c r="E693" s="3" t="s">
        <v>60</v>
      </c>
    </row>
    <row r="694" spans="1:5" x14ac:dyDescent="0.3">
      <c r="A694" s="3" t="s">
        <v>733</v>
      </c>
      <c r="B694" s="3" t="s">
        <v>118</v>
      </c>
      <c r="C694" s="3" t="s">
        <v>649</v>
      </c>
      <c r="D694" s="4">
        <f t="shared" ca="1" si="9"/>
        <v>45575</v>
      </c>
      <c r="E694" s="3" t="s">
        <v>31</v>
      </c>
    </row>
    <row r="695" spans="1:5" x14ac:dyDescent="0.3">
      <c r="A695" s="3" t="s">
        <v>662</v>
      </c>
      <c r="B695" s="3" t="s">
        <v>65</v>
      </c>
      <c r="C695" s="3" t="s">
        <v>663</v>
      </c>
      <c r="D695" s="4">
        <f t="shared" ca="1" si="9"/>
        <v>45575</v>
      </c>
      <c r="E695" s="3" t="s">
        <v>35</v>
      </c>
    </row>
    <row r="696" spans="1:5" x14ac:dyDescent="0.3">
      <c r="A696" s="3" t="s">
        <v>506</v>
      </c>
      <c r="B696" s="3" t="s">
        <v>157</v>
      </c>
      <c r="C696" s="3" t="s">
        <v>507</v>
      </c>
      <c r="D696" s="4">
        <f t="shared" ca="1" si="9"/>
        <v>45575</v>
      </c>
      <c r="E696" s="3" t="s">
        <v>56</v>
      </c>
    </row>
    <row r="697" spans="1:5" x14ac:dyDescent="0.3">
      <c r="A697" s="3" t="s">
        <v>734</v>
      </c>
      <c r="B697" s="3" t="s">
        <v>47</v>
      </c>
      <c r="C697" s="3" t="s">
        <v>735</v>
      </c>
      <c r="D697" s="4">
        <f t="shared" ca="1" si="9"/>
        <v>45575</v>
      </c>
      <c r="E697" s="3" t="s">
        <v>31</v>
      </c>
    </row>
    <row r="698" spans="1:5" x14ac:dyDescent="0.3">
      <c r="A698" s="3" t="s">
        <v>156</v>
      </c>
      <c r="B698" s="3" t="s">
        <v>157</v>
      </c>
      <c r="C698" s="3" t="s">
        <v>158</v>
      </c>
      <c r="D698" s="4">
        <f t="shared" ca="1" si="9"/>
        <v>45575</v>
      </c>
      <c r="E698" s="3" t="s">
        <v>60</v>
      </c>
    </row>
    <row r="699" spans="1:5" x14ac:dyDescent="0.3">
      <c r="A699" s="3" t="s">
        <v>161</v>
      </c>
      <c r="B699" s="3" t="s">
        <v>162</v>
      </c>
      <c r="C699" s="3" t="s">
        <v>163</v>
      </c>
      <c r="D699" s="4">
        <f t="shared" ca="1" si="9"/>
        <v>45575</v>
      </c>
      <c r="E699" s="3" t="s">
        <v>35</v>
      </c>
    </row>
    <row r="700" spans="1:5" x14ac:dyDescent="0.3">
      <c r="A700" s="3" t="s">
        <v>46</v>
      </c>
      <c r="B700" s="3" t="s">
        <v>47</v>
      </c>
      <c r="C700" s="3" t="s">
        <v>48</v>
      </c>
      <c r="D700" s="4">
        <f t="shared" ca="1" si="9"/>
        <v>45575</v>
      </c>
      <c r="E700" s="3" t="s">
        <v>27</v>
      </c>
    </row>
    <row r="701" spans="1:5" x14ac:dyDescent="0.3">
      <c r="A701" s="3" t="s">
        <v>104</v>
      </c>
      <c r="B701" s="3" t="s">
        <v>25</v>
      </c>
      <c r="C701" s="3" t="s">
        <v>583</v>
      </c>
      <c r="D701" s="4">
        <f t="shared" ca="1" si="9"/>
        <v>45575</v>
      </c>
      <c r="E701" s="3" t="s">
        <v>27</v>
      </c>
    </row>
    <row r="702" spans="1:5" x14ac:dyDescent="0.3">
      <c r="A702" s="3" t="s">
        <v>215</v>
      </c>
      <c r="B702" s="3" t="s">
        <v>25</v>
      </c>
      <c r="C702" s="3" t="s">
        <v>216</v>
      </c>
      <c r="D702" s="4">
        <f t="shared" ca="1" si="9"/>
        <v>45575</v>
      </c>
      <c r="E702" s="3" t="s">
        <v>56</v>
      </c>
    </row>
    <row r="703" spans="1:5" x14ac:dyDescent="0.3">
      <c r="A703" s="3" t="s">
        <v>388</v>
      </c>
      <c r="B703" s="3" t="s">
        <v>33</v>
      </c>
      <c r="C703" s="3" t="s">
        <v>514</v>
      </c>
      <c r="D703" s="4">
        <f t="shared" ca="1" si="9"/>
        <v>45575</v>
      </c>
      <c r="E703" s="3" t="s">
        <v>60</v>
      </c>
    </row>
    <row r="704" spans="1:5" x14ac:dyDescent="0.3">
      <c r="A704" s="3" t="s">
        <v>680</v>
      </c>
      <c r="B704" s="3" t="s">
        <v>74</v>
      </c>
      <c r="C704" s="3" t="s">
        <v>681</v>
      </c>
      <c r="D704" s="4">
        <f t="shared" ca="1" si="9"/>
        <v>45575</v>
      </c>
      <c r="E704" s="3" t="s">
        <v>39</v>
      </c>
    </row>
    <row r="705" spans="1:5" x14ac:dyDescent="0.3">
      <c r="A705" s="3" t="s">
        <v>671</v>
      </c>
      <c r="B705" s="3" t="s">
        <v>118</v>
      </c>
      <c r="C705" s="3" t="s">
        <v>672</v>
      </c>
      <c r="D705" s="4">
        <f t="shared" ca="1" si="9"/>
        <v>45575</v>
      </c>
      <c r="E705" s="3" t="s">
        <v>60</v>
      </c>
    </row>
    <row r="706" spans="1:5" x14ac:dyDescent="0.3">
      <c r="A706" s="3" t="s">
        <v>607</v>
      </c>
      <c r="B706" s="3" t="s">
        <v>504</v>
      </c>
      <c r="C706" s="3" t="s">
        <v>262</v>
      </c>
      <c r="D706" s="4">
        <f t="shared" ca="1" si="9"/>
        <v>45575</v>
      </c>
      <c r="E706" s="3" t="s">
        <v>39</v>
      </c>
    </row>
    <row r="707" spans="1:5" x14ac:dyDescent="0.3">
      <c r="A707" s="3" t="s">
        <v>234</v>
      </c>
      <c r="B707" s="3" t="s">
        <v>87</v>
      </c>
      <c r="C707" s="3" t="s">
        <v>235</v>
      </c>
      <c r="D707" s="4">
        <f t="shared" ca="1" si="9"/>
        <v>45575</v>
      </c>
      <c r="E707" s="3" t="s">
        <v>35</v>
      </c>
    </row>
    <row r="708" spans="1:5" x14ac:dyDescent="0.3">
      <c r="A708" s="3" t="s">
        <v>400</v>
      </c>
      <c r="B708" s="3" t="s">
        <v>37</v>
      </c>
      <c r="C708" s="3" t="s">
        <v>401</v>
      </c>
      <c r="D708" s="4">
        <f t="shared" ca="1" si="9"/>
        <v>45575</v>
      </c>
      <c r="E708" s="3" t="s">
        <v>35</v>
      </c>
    </row>
    <row r="709" spans="1:5" x14ac:dyDescent="0.3">
      <c r="A709" s="3" t="s">
        <v>491</v>
      </c>
      <c r="B709" s="3" t="s">
        <v>62</v>
      </c>
      <c r="C709" s="3" t="s">
        <v>492</v>
      </c>
      <c r="D709" s="4">
        <f t="shared" ca="1" si="9"/>
        <v>45575</v>
      </c>
      <c r="E709" s="3" t="s">
        <v>35</v>
      </c>
    </row>
    <row r="710" spans="1:5" x14ac:dyDescent="0.3">
      <c r="A710" s="3" t="s">
        <v>736</v>
      </c>
      <c r="B710" s="3" t="s">
        <v>331</v>
      </c>
      <c r="C710" s="3" t="s">
        <v>737</v>
      </c>
      <c r="D710" s="4">
        <f t="shared" ca="1" si="9"/>
        <v>45575</v>
      </c>
      <c r="E710" s="3" t="s">
        <v>39</v>
      </c>
    </row>
    <row r="711" spans="1:5" x14ac:dyDescent="0.3">
      <c r="A711" s="3" t="s">
        <v>682</v>
      </c>
      <c r="B711" s="3" t="s">
        <v>245</v>
      </c>
      <c r="C711" s="3" t="s">
        <v>683</v>
      </c>
      <c r="D711" s="4">
        <f t="shared" ca="1" si="9"/>
        <v>45575</v>
      </c>
      <c r="E711" s="3" t="s">
        <v>60</v>
      </c>
    </row>
    <row r="712" spans="1:5" x14ac:dyDescent="0.3">
      <c r="A712" s="3" t="s">
        <v>596</v>
      </c>
      <c r="B712" s="3" t="s">
        <v>157</v>
      </c>
      <c r="C712" s="3" t="s">
        <v>285</v>
      </c>
      <c r="D712" s="4">
        <f t="shared" ca="1" si="9"/>
        <v>45575</v>
      </c>
      <c r="E712" s="3" t="s">
        <v>39</v>
      </c>
    </row>
    <row r="713" spans="1:5" x14ac:dyDescent="0.3">
      <c r="A713" s="3" t="s">
        <v>377</v>
      </c>
      <c r="B713" s="3" t="s">
        <v>65</v>
      </c>
      <c r="C713" s="3" t="s">
        <v>654</v>
      </c>
      <c r="D713" s="4">
        <f t="shared" ca="1" si="9"/>
        <v>45575</v>
      </c>
      <c r="E713" s="3" t="s">
        <v>60</v>
      </c>
    </row>
    <row r="714" spans="1:5" x14ac:dyDescent="0.3">
      <c r="A714" s="3" t="s">
        <v>195</v>
      </c>
      <c r="B714" s="3" t="s">
        <v>157</v>
      </c>
      <c r="C714" s="3" t="s">
        <v>196</v>
      </c>
      <c r="D714" s="4">
        <f t="shared" ca="1" si="9"/>
        <v>45575</v>
      </c>
      <c r="E714" s="3" t="s">
        <v>56</v>
      </c>
    </row>
    <row r="715" spans="1:5" x14ac:dyDescent="0.3">
      <c r="A715" s="3" t="s">
        <v>420</v>
      </c>
      <c r="B715" s="3" t="s">
        <v>193</v>
      </c>
      <c r="C715" s="3" t="s">
        <v>421</v>
      </c>
      <c r="D715" s="4">
        <f t="shared" ca="1" si="9"/>
        <v>45575</v>
      </c>
      <c r="E715" s="3" t="s">
        <v>60</v>
      </c>
    </row>
    <row r="716" spans="1:5" x14ac:dyDescent="0.3">
      <c r="A716" s="3" t="s">
        <v>67</v>
      </c>
      <c r="B716" s="3" t="s">
        <v>68</v>
      </c>
      <c r="C716" s="3" t="s">
        <v>69</v>
      </c>
      <c r="D716" s="4">
        <f t="shared" ca="1" si="9"/>
        <v>45575</v>
      </c>
      <c r="E716" s="3" t="s">
        <v>31</v>
      </c>
    </row>
    <row r="717" spans="1:5" x14ac:dyDescent="0.3">
      <c r="A717" s="3" t="s">
        <v>510</v>
      </c>
      <c r="B717" s="3" t="s">
        <v>87</v>
      </c>
      <c r="C717" s="3" t="s">
        <v>511</v>
      </c>
      <c r="D717" s="4">
        <f t="shared" ca="1" si="9"/>
        <v>45575</v>
      </c>
      <c r="E717" s="3" t="s">
        <v>35</v>
      </c>
    </row>
    <row r="718" spans="1:5" x14ac:dyDescent="0.3">
      <c r="A718" s="3" t="s">
        <v>482</v>
      </c>
      <c r="B718" s="3" t="s">
        <v>58</v>
      </c>
      <c r="C718" s="3" t="s">
        <v>485</v>
      </c>
      <c r="D718" s="4">
        <f t="shared" ca="1" si="9"/>
        <v>45575</v>
      </c>
      <c r="E718" s="3" t="s">
        <v>27</v>
      </c>
    </row>
    <row r="719" spans="1:5" x14ac:dyDescent="0.3">
      <c r="A719" s="3" t="s">
        <v>49</v>
      </c>
      <c r="B719" s="3" t="s">
        <v>50</v>
      </c>
      <c r="C719" s="3" t="s">
        <v>51</v>
      </c>
      <c r="D719" s="4">
        <f t="shared" ca="1" si="9"/>
        <v>45575</v>
      </c>
      <c r="E719" s="3" t="s">
        <v>31</v>
      </c>
    </row>
    <row r="720" spans="1:5" x14ac:dyDescent="0.3">
      <c r="A720" s="3" t="s">
        <v>28</v>
      </c>
      <c r="B720" s="3" t="s">
        <v>29</v>
      </c>
      <c r="C720" s="3" t="s">
        <v>30</v>
      </c>
      <c r="D720" s="4">
        <f t="shared" ca="1" si="9"/>
        <v>45575</v>
      </c>
      <c r="E720" s="3" t="s">
        <v>31</v>
      </c>
    </row>
    <row r="721" spans="1:5" x14ac:dyDescent="0.3">
      <c r="A721" s="3" t="s">
        <v>738</v>
      </c>
      <c r="B721" s="3" t="s">
        <v>74</v>
      </c>
      <c r="C721" s="3" t="s">
        <v>739</v>
      </c>
      <c r="D721" s="4">
        <f t="shared" ca="1" si="9"/>
        <v>45575</v>
      </c>
      <c r="E721" s="3" t="s">
        <v>31</v>
      </c>
    </row>
    <row r="722" spans="1:5" x14ac:dyDescent="0.3">
      <c r="A722" s="3" t="s">
        <v>593</v>
      </c>
      <c r="B722" s="3" t="s">
        <v>50</v>
      </c>
      <c r="C722" s="3" t="s">
        <v>594</v>
      </c>
      <c r="D722" s="4">
        <f t="shared" ca="1" si="9"/>
        <v>45575</v>
      </c>
      <c r="E722" s="3" t="s">
        <v>35</v>
      </c>
    </row>
    <row r="723" spans="1:5" x14ac:dyDescent="0.3">
      <c r="A723" s="3" t="s">
        <v>702</v>
      </c>
      <c r="B723" s="3" t="s">
        <v>58</v>
      </c>
      <c r="C723" s="3" t="s">
        <v>703</v>
      </c>
      <c r="D723" s="4">
        <f t="shared" ca="1" si="9"/>
        <v>45575</v>
      </c>
      <c r="E723" s="3" t="s">
        <v>39</v>
      </c>
    </row>
    <row r="724" spans="1:5" x14ac:dyDescent="0.3">
      <c r="A724" s="3" t="s">
        <v>666</v>
      </c>
      <c r="B724" s="3" t="s">
        <v>74</v>
      </c>
      <c r="C724" s="3" t="s">
        <v>667</v>
      </c>
      <c r="D724" s="4">
        <f t="shared" ca="1" si="9"/>
        <v>45575</v>
      </c>
      <c r="E724" s="3" t="s">
        <v>60</v>
      </c>
    </row>
    <row r="725" spans="1:5" x14ac:dyDescent="0.3">
      <c r="A725" s="3" t="s">
        <v>459</v>
      </c>
      <c r="B725" s="3" t="s">
        <v>25</v>
      </c>
      <c r="C725" s="3" t="s">
        <v>460</v>
      </c>
      <c r="D725" s="4">
        <f t="shared" ca="1" si="9"/>
        <v>45575</v>
      </c>
      <c r="E725" s="3" t="s">
        <v>39</v>
      </c>
    </row>
    <row r="726" spans="1:5" x14ac:dyDescent="0.3">
      <c r="A726" s="3" t="s">
        <v>263</v>
      </c>
      <c r="B726" s="3" t="s">
        <v>178</v>
      </c>
      <c r="C726" s="3" t="s">
        <v>264</v>
      </c>
      <c r="D726" s="4">
        <f t="shared" ca="1" si="9"/>
        <v>45575</v>
      </c>
      <c r="E726" s="3" t="s">
        <v>60</v>
      </c>
    </row>
    <row r="727" spans="1:5" x14ac:dyDescent="0.3">
      <c r="A727" s="3" t="s">
        <v>172</v>
      </c>
      <c r="B727" s="3" t="s">
        <v>173</v>
      </c>
      <c r="C727" s="3" t="s">
        <v>174</v>
      </c>
      <c r="D727" s="4">
        <f t="shared" ref="D727:D812" ca="1" si="10">TODAY()-431</f>
        <v>45606</v>
      </c>
      <c r="E727" s="3" t="s">
        <v>39</v>
      </c>
    </row>
    <row r="728" spans="1:5" x14ac:dyDescent="0.3">
      <c r="A728" s="3" t="s">
        <v>348</v>
      </c>
      <c r="B728" s="3" t="s">
        <v>245</v>
      </c>
      <c r="C728" s="3" t="s">
        <v>151</v>
      </c>
      <c r="D728" s="4">
        <f t="shared" ca="1" si="10"/>
        <v>45606</v>
      </c>
      <c r="E728" s="3" t="s">
        <v>60</v>
      </c>
    </row>
    <row r="729" spans="1:5" x14ac:dyDescent="0.3">
      <c r="A729" s="3" t="s">
        <v>306</v>
      </c>
      <c r="B729" s="3" t="s">
        <v>307</v>
      </c>
      <c r="C729" s="3" t="s">
        <v>308</v>
      </c>
      <c r="D729" s="4">
        <f t="shared" ca="1" si="10"/>
        <v>45606</v>
      </c>
      <c r="E729" s="3" t="s">
        <v>31</v>
      </c>
    </row>
    <row r="730" spans="1:5" x14ac:dyDescent="0.3">
      <c r="A730" s="3" t="s">
        <v>226</v>
      </c>
      <c r="B730" s="3" t="s">
        <v>124</v>
      </c>
      <c r="C730" s="3" t="s">
        <v>227</v>
      </c>
      <c r="D730" s="4">
        <f t="shared" ca="1" si="10"/>
        <v>45606</v>
      </c>
      <c r="E730" s="3" t="s">
        <v>39</v>
      </c>
    </row>
    <row r="731" spans="1:5" x14ac:dyDescent="0.3">
      <c r="A731" s="3" t="s">
        <v>740</v>
      </c>
      <c r="B731" s="3" t="s">
        <v>93</v>
      </c>
      <c r="C731" s="3" t="s">
        <v>741</v>
      </c>
      <c r="D731" s="4">
        <f t="shared" ca="1" si="10"/>
        <v>45606</v>
      </c>
      <c r="E731" s="3" t="s">
        <v>60</v>
      </c>
    </row>
    <row r="732" spans="1:5" x14ac:dyDescent="0.3">
      <c r="A732" s="3" t="s">
        <v>729</v>
      </c>
      <c r="B732" s="3" t="s">
        <v>58</v>
      </c>
      <c r="C732" s="3" t="s">
        <v>730</v>
      </c>
      <c r="D732" s="4">
        <f t="shared" ca="1" si="10"/>
        <v>45606</v>
      </c>
      <c r="E732" s="3" t="s">
        <v>35</v>
      </c>
    </row>
    <row r="733" spans="1:5" x14ac:dyDescent="0.3">
      <c r="A733" s="3" t="s">
        <v>549</v>
      </c>
      <c r="B733" s="3" t="s">
        <v>550</v>
      </c>
      <c r="C733" s="3" t="s">
        <v>551</v>
      </c>
      <c r="D733" s="4">
        <f t="shared" ca="1" si="10"/>
        <v>45606</v>
      </c>
      <c r="E733" s="3" t="s">
        <v>60</v>
      </c>
    </row>
    <row r="734" spans="1:5" x14ac:dyDescent="0.3">
      <c r="A734" s="3" t="s">
        <v>646</v>
      </c>
      <c r="B734" s="3" t="s">
        <v>212</v>
      </c>
      <c r="C734" s="3" t="s">
        <v>647</v>
      </c>
      <c r="D734" s="4">
        <f t="shared" ca="1" si="10"/>
        <v>45606</v>
      </c>
      <c r="E734" s="3" t="s">
        <v>39</v>
      </c>
    </row>
    <row r="735" spans="1:5" x14ac:dyDescent="0.3">
      <c r="A735" s="3" t="s">
        <v>387</v>
      </c>
      <c r="B735" s="3" t="s">
        <v>25</v>
      </c>
      <c r="C735" s="3" t="s">
        <v>108</v>
      </c>
      <c r="D735" s="4">
        <f t="shared" ca="1" si="10"/>
        <v>45606</v>
      </c>
      <c r="E735" s="3" t="s">
        <v>60</v>
      </c>
    </row>
    <row r="736" spans="1:5" x14ac:dyDescent="0.3">
      <c r="A736" s="3" t="s">
        <v>154</v>
      </c>
      <c r="B736" s="3" t="s">
        <v>87</v>
      </c>
      <c r="C736" s="3" t="s">
        <v>690</v>
      </c>
      <c r="D736" s="4">
        <f t="shared" ca="1" si="10"/>
        <v>45606</v>
      </c>
      <c r="E736" s="3" t="s">
        <v>60</v>
      </c>
    </row>
    <row r="737" spans="1:5" x14ac:dyDescent="0.3">
      <c r="A737" s="3" t="s">
        <v>109</v>
      </c>
      <c r="B737" s="3" t="s">
        <v>110</v>
      </c>
      <c r="C737" s="3" t="s">
        <v>111</v>
      </c>
      <c r="D737" s="4">
        <f t="shared" ca="1" si="10"/>
        <v>45606</v>
      </c>
      <c r="E737" s="3" t="s">
        <v>31</v>
      </c>
    </row>
    <row r="738" spans="1:5" x14ac:dyDescent="0.3">
      <c r="A738" s="3" t="s">
        <v>414</v>
      </c>
      <c r="B738" s="3" t="s">
        <v>65</v>
      </c>
      <c r="C738" s="3" t="s">
        <v>415</v>
      </c>
      <c r="D738" s="4">
        <f t="shared" ca="1" si="10"/>
        <v>45606</v>
      </c>
      <c r="E738" s="3" t="s">
        <v>35</v>
      </c>
    </row>
    <row r="739" spans="1:5" x14ac:dyDescent="0.3">
      <c r="A739" s="3" t="s">
        <v>332</v>
      </c>
      <c r="B739" s="3" t="s">
        <v>333</v>
      </c>
      <c r="C739" s="3" t="s">
        <v>334</v>
      </c>
      <c r="D739" s="4">
        <f t="shared" ca="1" si="10"/>
        <v>45606</v>
      </c>
      <c r="E739" s="3" t="s">
        <v>60</v>
      </c>
    </row>
    <row r="740" spans="1:5" x14ac:dyDescent="0.3">
      <c r="A740" s="3" t="s">
        <v>602</v>
      </c>
      <c r="B740" s="3" t="s">
        <v>326</v>
      </c>
      <c r="C740" s="3" t="s">
        <v>603</v>
      </c>
      <c r="D740" s="4">
        <f t="shared" ca="1" si="10"/>
        <v>45606</v>
      </c>
      <c r="E740" s="3" t="s">
        <v>31</v>
      </c>
    </row>
    <row r="741" spans="1:5" x14ac:dyDescent="0.3">
      <c r="A741" s="3" t="s">
        <v>686</v>
      </c>
      <c r="B741" s="3" t="s">
        <v>607</v>
      </c>
      <c r="C741" s="3" t="s">
        <v>241</v>
      </c>
      <c r="D741" s="4">
        <f t="shared" ca="1" si="10"/>
        <v>45606</v>
      </c>
      <c r="E741" s="3" t="s">
        <v>27</v>
      </c>
    </row>
    <row r="742" spans="1:5" x14ac:dyDescent="0.3">
      <c r="A742" s="3" t="s">
        <v>314</v>
      </c>
      <c r="B742" s="3" t="s">
        <v>62</v>
      </c>
      <c r="C742" s="3" t="s">
        <v>315</v>
      </c>
      <c r="D742" s="4">
        <f t="shared" ca="1" si="10"/>
        <v>45606</v>
      </c>
      <c r="E742" s="3" t="s">
        <v>31</v>
      </c>
    </row>
    <row r="743" spans="1:5" x14ac:dyDescent="0.3">
      <c r="A743" s="3" t="s">
        <v>696</v>
      </c>
      <c r="B743" s="3" t="s">
        <v>74</v>
      </c>
      <c r="C743" s="3" t="s">
        <v>697</v>
      </c>
      <c r="D743" s="4">
        <f t="shared" ca="1" si="10"/>
        <v>45606</v>
      </c>
      <c r="E743" s="3" t="s">
        <v>60</v>
      </c>
    </row>
    <row r="744" spans="1:5" x14ac:dyDescent="0.3">
      <c r="A744" s="3" t="s">
        <v>52</v>
      </c>
      <c r="B744" s="3" t="s">
        <v>33</v>
      </c>
      <c r="C744" s="3" t="s">
        <v>53</v>
      </c>
      <c r="D744" s="4">
        <f t="shared" ca="1" si="10"/>
        <v>45606</v>
      </c>
      <c r="E744" s="3" t="s">
        <v>39</v>
      </c>
    </row>
    <row r="745" spans="1:5" x14ac:dyDescent="0.3">
      <c r="A745" s="3" t="s">
        <v>660</v>
      </c>
      <c r="B745" s="3" t="s">
        <v>211</v>
      </c>
      <c r="C745" s="3" t="s">
        <v>661</v>
      </c>
      <c r="D745" s="4">
        <f t="shared" ca="1" si="10"/>
        <v>45606</v>
      </c>
      <c r="E745" s="3" t="s">
        <v>56</v>
      </c>
    </row>
    <row r="746" spans="1:5" x14ac:dyDescent="0.3">
      <c r="A746" s="3" t="s">
        <v>102</v>
      </c>
      <c r="B746" s="3" t="s">
        <v>93</v>
      </c>
      <c r="C746" s="3" t="s">
        <v>116</v>
      </c>
      <c r="D746" s="4">
        <f t="shared" ca="1" si="10"/>
        <v>45606</v>
      </c>
      <c r="E746" s="3" t="s">
        <v>35</v>
      </c>
    </row>
    <row r="747" spans="1:5" x14ac:dyDescent="0.3">
      <c r="A747" s="3" t="s">
        <v>102</v>
      </c>
      <c r="B747" s="3" t="s">
        <v>25</v>
      </c>
      <c r="C747" s="3" t="s">
        <v>742</v>
      </c>
      <c r="D747" s="4">
        <f t="shared" ca="1" si="10"/>
        <v>45606</v>
      </c>
      <c r="E747" s="3" t="s">
        <v>31</v>
      </c>
    </row>
    <row r="748" spans="1:5" x14ac:dyDescent="0.3">
      <c r="A748" s="3" t="s">
        <v>716</v>
      </c>
      <c r="B748" s="3" t="s">
        <v>717</v>
      </c>
      <c r="C748" s="3" t="s">
        <v>718</v>
      </c>
      <c r="D748" s="4">
        <f t="shared" ca="1" si="10"/>
        <v>45606</v>
      </c>
      <c r="E748" s="3" t="s">
        <v>60</v>
      </c>
    </row>
    <row r="749" spans="1:5" x14ac:dyDescent="0.3">
      <c r="A749" s="3" t="s">
        <v>219</v>
      </c>
      <c r="B749" s="3" t="s">
        <v>157</v>
      </c>
      <c r="C749" s="3" t="s">
        <v>220</v>
      </c>
      <c r="D749" s="4">
        <f t="shared" ca="1" si="10"/>
        <v>45606</v>
      </c>
      <c r="E749" s="3" t="s">
        <v>31</v>
      </c>
    </row>
    <row r="750" spans="1:5" x14ac:dyDescent="0.3">
      <c r="A750" s="3" t="s">
        <v>244</v>
      </c>
      <c r="B750" s="3" t="s">
        <v>245</v>
      </c>
      <c r="C750" s="3" t="s">
        <v>246</v>
      </c>
      <c r="D750" s="4">
        <f t="shared" ca="1" si="10"/>
        <v>45606</v>
      </c>
      <c r="E750" s="3" t="s">
        <v>35</v>
      </c>
    </row>
    <row r="751" spans="1:5" x14ac:dyDescent="0.3">
      <c r="A751" s="3" t="s">
        <v>398</v>
      </c>
      <c r="B751" s="3" t="s">
        <v>93</v>
      </c>
      <c r="C751" s="3" t="s">
        <v>399</v>
      </c>
      <c r="D751" s="4">
        <f t="shared" ca="1" si="10"/>
        <v>45606</v>
      </c>
      <c r="E751" s="3" t="s">
        <v>39</v>
      </c>
    </row>
    <row r="752" spans="1:5" x14ac:dyDescent="0.3">
      <c r="A752" s="3" t="s">
        <v>743</v>
      </c>
      <c r="B752" s="3" t="s">
        <v>124</v>
      </c>
      <c r="C752" s="3" t="s">
        <v>744</v>
      </c>
      <c r="D752" s="4">
        <f t="shared" ca="1" si="10"/>
        <v>45606</v>
      </c>
      <c r="E752" s="3" t="s">
        <v>60</v>
      </c>
    </row>
    <row r="753" spans="1:5" x14ac:dyDescent="0.3">
      <c r="A753" s="3" t="s">
        <v>745</v>
      </c>
      <c r="B753" s="3" t="s">
        <v>58</v>
      </c>
      <c r="C753" s="3" t="s">
        <v>334</v>
      </c>
      <c r="D753" s="4">
        <f t="shared" ca="1" si="10"/>
        <v>45606</v>
      </c>
      <c r="E753" s="3" t="s">
        <v>27</v>
      </c>
    </row>
    <row r="754" spans="1:5" x14ac:dyDescent="0.3">
      <c r="A754" s="3" t="s">
        <v>252</v>
      </c>
      <c r="B754" s="3" t="s">
        <v>50</v>
      </c>
      <c r="C754" s="3" t="s">
        <v>253</v>
      </c>
      <c r="D754" s="4">
        <f t="shared" ca="1" si="10"/>
        <v>45606</v>
      </c>
      <c r="E754" s="3" t="s">
        <v>39</v>
      </c>
    </row>
    <row r="755" spans="1:5" x14ac:dyDescent="0.3">
      <c r="A755" s="3" t="s">
        <v>746</v>
      </c>
      <c r="B755" s="3" t="s">
        <v>25</v>
      </c>
      <c r="C755" s="3" t="s">
        <v>747</v>
      </c>
      <c r="D755" s="4">
        <f t="shared" ca="1" si="10"/>
        <v>45606</v>
      </c>
      <c r="E755" s="3" t="s">
        <v>60</v>
      </c>
    </row>
    <row r="756" spans="1:5" x14ac:dyDescent="0.3">
      <c r="A756" s="3" t="s">
        <v>349</v>
      </c>
      <c r="B756" s="3" t="s">
        <v>326</v>
      </c>
      <c r="C756" s="3" t="s">
        <v>350</v>
      </c>
      <c r="D756" s="4">
        <f t="shared" ca="1" si="10"/>
        <v>45606</v>
      </c>
      <c r="E756" s="3" t="s">
        <v>60</v>
      </c>
    </row>
    <row r="757" spans="1:5" x14ac:dyDescent="0.3">
      <c r="A757" s="3" t="s">
        <v>343</v>
      </c>
      <c r="B757" s="3" t="s">
        <v>157</v>
      </c>
      <c r="C757" s="3" t="s">
        <v>344</v>
      </c>
      <c r="D757" s="4">
        <f t="shared" ca="1" si="10"/>
        <v>45606</v>
      </c>
      <c r="E757" s="3" t="s">
        <v>27</v>
      </c>
    </row>
    <row r="758" spans="1:5" x14ac:dyDescent="0.3">
      <c r="A758" s="3" t="s">
        <v>279</v>
      </c>
      <c r="B758" s="3" t="s">
        <v>275</v>
      </c>
      <c r="C758" s="3" t="s">
        <v>280</v>
      </c>
      <c r="D758" s="4">
        <f t="shared" ca="1" si="10"/>
        <v>45606</v>
      </c>
      <c r="E758" s="3" t="s">
        <v>39</v>
      </c>
    </row>
    <row r="759" spans="1:5" x14ac:dyDescent="0.3">
      <c r="A759" s="3" t="s">
        <v>339</v>
      </c>
      <c r="B759" s="3" t="s">
        <v>44</v>
      </c>
      <c r="C759" s="3" t="s">
        <v>460</v>
      </c>
      <c r="D759" s="4">
        <f t="shared" ca="1" si="10"/>
        <v>45606</v>
      </c>
      <c r="E759" s="3" t="s">
        <v>35</v>
      </c>
    </row>
    <row r="760" spans="1:5" x14ac:dyDescent="0.3">
      <c r="A760" s="3" t="s">
        <v>629</v>
      </c>
      <c r="B760" s="3" t="s">
        <v>93</v>
      </c>
      <c r="C760" s="3" t="s">
        <v>630</v>
      </c>
      <c r="D760" s="4">
        <f t="shared" ca="1" si="10"/>
        <v>45606</v>
      </c>
      <c r="E760" s="3" t="s">
        <v>35</v>
      </c>
    </row>
    <row r="761" spans="1:5" x14ac:dyDescent="0.3">
      <c r="A761" s="3" t="s">
        <v>441</v>
      </c>
      <c r="B761" s="3" t="s">
        <v>442</v>
      </c>
      <c r="C761" s="3" t="s">
        <v>350</v>
      </c>
      <c r="D761" s="4">
        <f t="shared" ca="1" si="10"/>
        <v>45606</v>
      </c>
      <c r="E761" s="3" t="s">
        <v>39</v>
      </c>
    </row>
    <row r="762" spans="1:5" x14ac:dyDescent="0.3">
      <c r="A762" s="3" t="s">
        <v>748</v>
      </c>
      <c r="B762" s="3" t="s">
        <v>193</v>
      </c>
      <c r="C762" s="3" t="s">
        <v>749</v>
      </c>
      <c r="D762" s="4">
        <f t="shared" ca="1" si="10"/>
        <v>45606</v>
      </c>
      <c r="E762" s="3" t="s">
        <v>56</v>
      </c>
    </row>
    <row r="763" spans="1:5" x14ac:dyDescent="0.3">
      <c r="A763" s="3" t="s">
        <v>164</v>
      </c>
      <c r="B763" s="3" t="s">
        <v>165</v>
      </c>
      <c r="C763" s="3" t="s">
        <v>166</v>
      </c>
      <c r="D763" s="4">
        <f t="shared" ca="1" si="10"/>
        <v>45606</v>
      </c>
      <c r="E763" s="3" t="s">
        <v>31</v>
      </c>
    </row>
    <row r="764" spans="1:5" x14ac:dyDescent="0.3">
      <c r="A764" s="3" t="s">
        <v>144</v>
      </c>
      <c r="B764" s="3" t="s">
        <v>145</v>
      </c>
      <c r="C764" s="3" t="s">
        <v>146</v>
      </c>
      <c r="D764" s="4">
        <f t="shared" ca="1" si="10"/>
        <v>45606</v>
      </c>
      <c r="E764" s="3" t="s">
        <v>27</v>
      </c>
    </row>
    <row r="765" spans="1:5" x14ac:dyDescent="0.3">
      <c r="A765" s="3" t="s">
        <v>750</v>
      </c>
      <c r="B765" s="3" t="s">
        <v>33</v>
      </c>
      <c r="C765" s="3" t="s">
        <v>751</v>
      </c>
      <c r="D765" s="4">
        <f t="shared" ca="1" si="10"/>
        <v>45606</v>
      </c>
      <c r="E765" s="3" t="s">
        <v>31</v>
      </c>
    </row>
    <row r="766" spans="1:5" x14ac:dyDescent="0.3">
      <c r="A766" s="3" t="s">
        <v>281</v>
      </c>
      <c r="B766" s="3" t="s">
        <v>37</v>
      </c>
      <c r="C766" s="3" t="s">
        <v>505</v>
      </c>
      <c r="D766" s="4">
        <f t="shared" ca="1" si="10"/>
        <v>45606</v>
      </c>
      <c r="E766" s="3" t="s">
        <v>27</v>
      </c>
    </row>
    <row r="767" spans="1:5" x14ac:dyDescent="0.3">
      <c r="A767" s="3" t="s">
        <v>545</v>
      </c>
      <c r="B767" s="3" t="s">
        <v>331</v>
      </c>
      <c r="C767" s="3" t="s">
        <v>546</v>
      </c>
      <c r="D767" s="4">
        <f t="shared" ca="1" si="10"/>
        <v>45606</v>
      </c>
      <c r="E767" s="3" t="s">
        <v>56</v>
      </c>
    </row>
    <row r="768" spans="1:5" x14ac:dyDescent="0.3">
      <c r="A768" s="3" t="s">
        <v>596</v>
      </c>
      <c r="B768" s="3" t="s">
        <v>157</v>
      </c>
      <c r="C768" s="3" t="s">
        <v>285</v>
      </c>
      <c r="D768" s="4">
        <f t="shared" ca="1" si="10"/>
        <v>45606</v>
      </c>
      <c r="E768" s="3" t="s">
        <v>39</v>
      </c>
    </row>
    <row r="769" spans="1:5" x14ac:dyDescent="0.3">
      <c r="A769" s="3" t="s">
        <v>716</v>
      </c>
      <c r="B769" s="3" t="s">
        <v>717</v>
      </c>
      <c r="C769" s="3" t="s">
        <v>718</v>
      </c>
      <c r="D769" s="4">
        <f t="shared" ca="1" si="10"/>
        <v>45606</v>
      </c>
      <c r="E769" s="3" t="s">
        <v>60</v>
      </c>
    </row>
    <row r="770" spans="1:5" x14ac:dyDescent="0.3">
      <c r="A770" s="3" t="s">
        <v>205</v>
      </c>
      <c r="B770" s="3" t="s">
        <v>65</v>
      </c>
      <c r="C770" s="3" t="s">
        <v>206</v>
      </c>
      <c r="D770" s="4">
        <f t="shared" ca="1" si="10"/>
        <v>45606</v>
      </c>
      <c r="E770" s="3" t="s">
        <v>39</v>
      </c>
    </row>
    <row r="771" spans="1:5" x14ac:dyDescent="0.3">
      <c r="A771" s="3" t="s">
        <v>383</v>
      </c>
      <c r="B771" s="3" t="s">
        <v>33</v>
      </c>
      <c r="C771" s="3" t="s">
        <v>384</v>
      </c>
      <c r="D771" s="4">
        <f t="shared" ca="1" si="10"/>
        <v>45606</v>
      </c>
      <c r="E771" s="3" t="s">
        <v>60</v>
      </c>
    </row>
    <row r="772" spans="1:5" x14ac:dyDescent="0.3">
      <c r="A772" s="3" t="s">
        <v>752</v>
      </c>
      <c r="B772" s="3" t="s">
        <v>245</v>
      </c>
      <c r="C772" s="3" t="s">
        <v>753</v>
      </c>
      <c r="D772" s="4">
        <f t="shared" ca="1" si="10"/>
        <v>45606</v>
      </c>
      <c r="E772" s="3" t="s">
        <v>35</v>
      </c>
    </row>
    <row r="773" spans="1:5" x14ac:dyDescent="0.3">
      <c r="A773" s="3" t="s">
        <v>383</v>
      </c>
      <c r="B773" s="3" t="s">
        <v>33</v>
      </c>
      <c r="C773" s="3" t="s">
        <v>384</v>
      </c>
      <c r="D773" s="4">
        <f t="shared" ca="1" si="10"/>
        <v>45606</v>
      </c>
      <c r="E773" s="3" t="s">
        <v>60</v>
      </c>
    </row>
    <row r="774" spans="1:5" x14ac:dyDescent="0.3">
      <c r="A774" s="3" t="s">
        <v>106</v>
      </c>
      <c r="B774" s="3" t="s">
        <v>107</v>
      </c>
      <c r="C774" s="3" t="s">
        <v>108</v>
      </c>
      <c r="D774" s="4">
        <f t="shared" ca="1" si="10"/>
        <v>45606</v>
      </c>
      <c r="E774" s="3" t="s">
        <v>31</v>
      </c>
    </row>
    <row r="775" spans="1:5" x14ac:dyDescent="0.3">
      <c r="A775" s="3" t="s">
        <v>311</v>
      </c>
      <c r="B775" s="3" t="s">
        <v>74</v>
      </c>
      <c r="C775" s="3" t="s">
        <v>754</v>
      </c>
      <c r="D775" s="4">
        <f t="shared" ca="1" si="10"/>
        <v>45606</v>
      </c>
      <c r="E775" s="3" t="s">
        <v>27</v>
      </c>
    </row>
    <row r="776" spans="1:5" x14ac:dyDescent="0.3">
      <c r="A776" s="3" t="s">
        <v>40</v>
      </c>
      <c r="B776" s="3" t="s">
        <v>41</v>
      </c>
      <c r="C776" s="3" t="s">
        <v>42</v>
      </c>
      <c r="D776" s="4">
        <f t="shared" ca="1" si="10"/>
        <v>45606</v>
      </c>
      <c r="E776" s="3" t="s">
        <v>39</v>
      </c>
    </row>
    <row r="777" spans="1:5" x14ac:dyDescent="0.3">
      <c r="A777" s="3" t="s">
        <v>653</v>
      </c>
      <c r="B777" s="3" t="s">
        <v>58</v>
      </c>
      <c r="C777" s="3" t="s">
        <v>654</v>
      </c>
      <c r="D777" s="4">
        <f t="shared" ca="1" si="10"/>
        <v>45606</v>
      </c>
      <c r="E777" s="3" t="s">
        <v>60</v>
      </c>
    </row>
    <row r="778" spans="1:5" x14ac:dyDescent="0.3">
      <c r="A778" s="3" t="s">
        <v>199</v>
      </c>
      <c r="B778" s="3" t="s">
        <v>157</v>
      </c>
      <c r="C778" s="3" t="s">
        <v>200</v>
      </c>
      <c r="D778" s="4">
        <f t="shared" ca="1" si="10"/>
        <v>45606</v>
      </c>
      <c r="E778" s="3" t="s">
        <v>60</v>
      </c>
    </row>
    <row r="779" spans="1:5" x14ac:dyDescent="0.3">
      <c r="A779" s="3" t="s">
        <v>625</v>
      </c>
      <c r="B779" s="3" t="s">
        <v>74</v>
      </c>
      <c r="C779" s="3" t="s">
        <v>626</v>
      </c>
      <c r="D779" s="4">
        <f t="shared" ca="1" si="10"/>
        <v>45606</v>
      </c>
      <c r="E779" s="3" t="s">
        <v>39</v>
      </c>
    </row>
    <row r="780" spans="1:5" x14ac:dyDescent="0.3">
      <c r="A780" s="3" t="s">
        <v>209</v>
      </c>
      <c r="B780" s="3" t="s">
        <v>193</v>
      </c>
      <c r="C780" s="3" t="s">
        <v>210</v>
      </c>
      <c r="D780" s="4">
        <f t="shared" ca="1" si="10"/>
        <v>45606</v>
      </c>
      <c r="E780" s="3" t="s">
        <v>60</v>
      </c>
    </row>
    <row r="781" spans="1:5" x14ac:dyDescent="0.3">
      <c r="A781" s="3" t="s">
        <v>192</v>
      </c>
      <c r="B781" s="3" t="s">
        <v>193</v>
      </c>
      <c r="C781" s="3" t="s">
        <v>755</v>
      </c>
      <c r="D781" s="4">
        <f t="shared" ca="1" si="10"/>
        <v>45606</v>
      </c>
      <c r="E781" s="3" t="s">
        <v>39</v>
      </c>
    </row>
    <row r="782" spans="1:5" x14ac:dyDescent="0.3">
      <c r="A782" s="3" t="s">
        <v>314</v>
      </c>
      <c r="B782" s="3" t="s">
        <v>351</v>
      </c>
      <c r="C782" s="3" t="s">
        <v>352</v>
      </c>
      <c r="D782" s="4">
        <f t="shared" ca="1" si="10"/>
        <v>45606</v>
      </c>
      <c r="E782" s="3" t="s">
        <v>56</v>
      </c>
    </row>
    <row r="783" spans="1:5" x14ac:dyDescent="0.3">
      <c r="A783" s="3" t="s">
        <v>609</v>
      </c>
      <c r="B783" s="3" t="s">
        <v>307</v>
      </c>
      <c r="C783" s="3" t="s">
        <v>610</v>
      </c>
      <c r="D783" s="4">
        <f t="shared" ca="1" si="10"/>
        <v>45606</v>
      </c>
      <c r="E783" s="3" t="s">
        <v>60</v>
      </c>
    </row>
    <row r="784" spans="1:5" x14ac:dyDescent="0.3">
      <c r="A784" s="3" t="s">
        <v>230</v>
      </c>
      <c r="B784" s="3" t="s">
        <v>118</v>
      </c>
      <c r="C784" s="3" t="s">
        <v>119</v>
      </c>
      <c r="D784" s="4">
        <f t="shared" ca="1" si="10"/>
        <v>45606</v>
      </c>
      <c r="E784" s="3" t="s">
        <v>56</v>
      </c>
    </row>
    <row r="785" spans="1:5" x14ac:dyDescent="0.3">
      <c r="A785" s="3" t="s">
        <v>314</v>
      </c>
      <c r="B785" s="3" t="s">
        <v>62</v>
      </c>
      <c r="C785" s="3" t="s">
        <v>315</v>
      </c>
      <c r="D785" s="4">
        <f t="shared" ca="1" si="10"/>
        <v>45606</v>
      </c>
      <c r="E785" s="3" t="s">
        <v>31</v>
      </c>
    </row>
    <row r="786" spans="1:5" x14ac:dyDescent="0.3">
      <c r="A786" s="3" t="s">
        <v>609</v>
      </c>
      <c r="B786" s="3" t="s">
        <v>307</v>
      </c>
      <c r="C786" s="3" t="s">
        <v>610</v>
      </c>
      <c r="D786" s="4">
        <f t="shared" ca="1" si="10"/>
        <v>45606</v>
      </c>
      <c r="E786" s="3" t="s">
        <v>60</v>
      </c>
    </row>
    <row r="787" spans="1:5" x14ac:dyDescent="0.3">
      <c r="A787" s="3" t="s">
        <v>256</v>
      </c>
      <c r="B787" s="3" t="s">
        <v>312</v>
      </c>
      <c r="C787" s="3" t="s">
        <v>469</v>
      </c>
      <c r="D787" s="4">
        <f t="shared" ca="1" si="10"/>
        <v>45606</v>
      </c>
      <c r="E787" s="3" t="s">
        <v>60</v>
      </c>
    </row>
    <row r="788" spans="1:5" x14ac:dyDescent="0.3">
      <c r="A788" s="3" t="s">
        <v>619</v>
      </c>
      <c r="B788" s="3" t="s">
        <v>298</v>
      </c>
      <c r="C788" s="3" t="s">
        <v>620</v>
      </c>
      <c r="D788" s="4">
        <f t="shared" ca="1" si="10"/>
        <v>45606</v>
      </c>
      <c r="E788" s="3" t="s">
        <v>60</v>
      </c>
    </row>
    <row r="789" spans="1:5" x14ac:dyDescent="0.3">
      <c r="A789" s="3" t="s">
        <v>89</v>
      </c>
      <c r="B789" s="3" t="s">
        <v>90</v>
      </c>
      <c r="C789" s="3" t="s">
        <v>91</v>
      </c>
      <c r="D789" s="4">
        <f t="shared" ca="1" si="10"/>
        <v>45606</v>
      </c>
      <c r="E789" s="3" t="s">
        <v>35</v>
      </c>
    </row>
    <row r="790" spans="1:5" x14ac:dyDescent="0.3">
      <c r="A790" s="3" t="s">
        <v>177</v>
      </c>
      <c r="B790" s="3" t="s">
        <v>178</v>
      </c>
      <c r="C790" s="3" t="s">
        <v>179</v>
      </c>
      <c r="D790" s="4">
        <f t="shared" ca="1" si="10"/>
        <v>45606</v>
      </c>
      <c r="E790" s="3" t="s">
        <v>39</v>
      </c>
    </row>
    <row r="791" spans="1:5" x14ac:dyDescent="0.3">
      <c r="A791" s="3" t="s">
        <v>192</v>
      </c>
      <c r="B791" s="3" t="s">
        <v>193</v>
      </c>
      <c r="C791" s="3" t="s">
        <v>755</v>
      </c>
      <c r="D791" s="4">
        <f t="shared" ca="1" si="10"/>
        <v>45606</v>
      </c>
      <c r="E791" s="3" t="s">
        <v>39</v>
      </c>
    </row>
    <row r="792" spans="1:5" x14ac:dyDescent="0.3">
      <c r="A792" s="3" t="s">
        <v>355</v>
      </c>
      <c r="B792" s="3" t="s">
        <v>356</v>
      </c>
      <c r="C792" s="3" t="s">
        <v>357</v>
      </c>
      <c r="D792" s="4">
        <f t="shared" ca="1" si="10"/>
        <v>45606</v>
      </c>
      <c r="E792" s="3" t="s">
        <v>56</v>
      </c>
    </row>
    <row r="793" spans="1:5" x14ac:dyDescent="0.3">
      <c r="A793" s="3" t="s">
        <v>604</v>
      </c>
      <c r="B793" s="3" t="s">
        <v>50</v>
      </c>
      <c r="C793" s="3" t="s">
        <v>652</v>
      </c>
      <c r="D793" s="4">
        <f t="shared" ca="1" si="10"/>
        <v>45606</v>
      </c>
      <c r="E793" s="3" t="s">
        <v>60</v>
      </c>
    </row>
    <row r="794" spans="1:5" x14ac:dyDescent="0.3">
      <c r="A794" s="3" t="s">
        <v>40</v>
      </c>
      <c r="B794" s="3" t="s">
        <v>162</v>
      </c>
      <c r="C794" s="3" t="s">
        <v>427</v>
      </c>
      <c r="D794" s="4">
        <f t="shared" ca="1" si="10"/>
        <v>45606</v>
      </c>
      <c r="E794" s="3" t="s">
        <v>56</v>
      </c>
    </row>
    <row r="795" spans="1:5" x14ac:dyDescent="0.3">
      <c r="A795" s="3" t="s">
        <v>578</v>
      </c>
      <c r="B795" s="3" t="s">
        <v>579</v>
      </c>
      <c r="C795" s="3" t="s">
        <v>580</v>
      </c>
      <c r="D795" s="4">
        <f t="shared" ca="1" si="10"/>
        <v>45606</v>
      </c>
      <c r="E795" s="3" t="s">
        <v>60</v>
      </c>
    </row>
    <row r="796" spans="1:5" x14ac:dyDescent="0.3">
      <c r="A796" s="3" t="s">
        <v>49</v>
      </c>
      <c r="B796" s="3" t="s">
        <v>50</v>
      </c>
      <c r="C796" s="3" t="s">
        <v>51</v>
      </c>
      <c r="D796" s="4">
        <f t="shared" ca="1" si="10"/>
        <v>45606</v>
      </c>
      <c r="E796" s="3" t="s">
        <v>31</v>
      </c>
    </row>
    <row r="797" spans="1:5" x14ac:dyDescent="0.3">
      <c r="A797" s="3" t="s">
        <v>398</v>
      </c>
      <c r="B797" s="3" t="s">
        <v>93</v>
      </c>
      <c r="C797" s="3" t="s">
        <v>399</v>
      </c>
      <c r="D797" s="4">
        <f t="shared" ca="1" si="10"/>
        <v>45606</v>
      </c>
      <c r="E797" s="3" t="s">
        <v>39</v>
      </c>
    </row>
    <row r="798" spans="1:5" x14ac:dyDescent="0.3">
      <c r="A798" s="3" t="s">
        <v>756</v>
      </c>
      <c r="B798" s="3" t="s">
        <v>93</v>
      </c>
      <c r="C798" s="3" t="s">
        <v>757</v>
      </c>
      <c r="D798" s="4">
        <f t="shared" ca="1" si="10"/>
        <v>45606</v>
      </c>
      <c r="E798" s="3" t="s">
        <v>56</v>
      </c>
    </row>
    <row r="799" spans="1:5" x14ac:dyDescent="0.3">
      <c r="A799" s="3" t="s">
        <v>704</v>
      </c>
      <c r="B799" s="3" t="s">
        <v>165</v>
      </c>
      <c r="C799" s="3" t="s">
        <v>705</v>
      </c>
      <c r="D799" s="4">
        <f t="shared" ca="1" si="10"/>
        <v>45606</v>
      </c>
      <c r="E799" s="3" t="s">
        <v>35</v>
      </c>
    </row>
    <row r="800" spans="1:5" x14ac:dyDescent="0.3">
      <c r="A800" s="3" t="s">
        <v>525</v>
      </c>
      <c r="B800" s="3" t="s">
        <v>326</v>
      </c>
      <c r="C800" s="3" t="s">
        <v>526</v>
      </c>
      <c r="D800" s="4">
        <f t="shared" ca="1" si="10"/>
        <v>45606</v>
      </c>
      <c r="E800" s="3" t="s">
        <v>39</v>
      </c>
    </row>
    <row r="801" spans="1:5" x14ac:dyDescent="0.3">
      <c r="A801" s="3" t="s">
        <v>197</v>
      </c>
      <c r="B801" s="3" t="s">
        <v>37</v>
      </c>
      <c r="C801" s="3" t="s">
        <v>198</v>
      </c>
      <c r="D801" s="4">
        <f t="shared" ca="1" si="10"/>
        <v>45606</v>
      </c>
      <c r="E801" s="3" t="s">
        <v>60</v>
      </c>
    </row>
    <row r="802" spans="1:5" x14ac:dyDescent="0.3">
      <c r="A802" s="3" t="s">
        <v>493</v>
      </c>
      <c r="B802" s="3" t="s">
        <v>118</v>
      </c>
      <c r="C802" s="3" t="s">
        <v>494</v>
      </c>
      <c r="D802" s="4">
        <f t="shared" ca="1" si="10"/>
        <v>45606</v>
      </c>
      <c r="E802" s="3" t="s">
        <v>56</v>
      </c>
    </row>
    <row r="803" spans="1:5" x14ac:dyDescent="0.3">
      <c r="A803" s="3" t="s">
        <v>175</v>
      </c>
      <c r="B803" s="3" t="s">
        <v>47</v>
      </c>
      <c r="C803" s="3" t="s">
        <v>376</v>
      </c>
      <c r="D803" s="4">
        <f t="shared" ca="1" si="10"/>
        <v>45606</v>
      </c>
      <c r="E803" s="3" t="s">
        <v>31</v>
      </c>
    </row>
    <row r="804" spans="1:5" x14ac:dyDescent="0.3">
      <c r="A804" s="3" t="s">
        <v>314</v>
      </c>
      <c r="B804" s="3" t="s">
        <v>62</v>
      </c>
      <c r="C804" s="3" t="s">
        <v>315</v>
      </c>
      <c r="D804" s="4">
        <f t="shared" ca="1" si="10"/>
        <v>45606</v>
      </c>
      <c r="E804" s="3" t="s">
        <v>31</v>
      </c>
    </row>
    <row r="805" spans="1:5" x14ac:dyDescent="0.3">
      <c r="A805" s="3" t="s">
        <v>508</v>
      </c>
      <c r="B805" s="3" t="s">
        <v>98</v>
      </c>
      <c r="C805" s="3" t="s">
        <v>509</v>
      </c>
      <c r="D805" s="4">
        <f t="shared" ca="1" si="10"/>
        <v>45606</v>
      </c>
      <c r="E805" s="3" t="s">
        <v>39</v>
      </c>
    </row>
    <row r="806" spans="1:5" x14ac:dyDescent="0.3">
      <c r="A806" s="3" t="s">
        <v>348</v>
      </c>
      <c r="B806" s="3" t="s">
        <v>245</v>
      </c>
      <c r="C806" s="3" t="s">
        <v>151</v>
      </c>
      <c r="D806" s="4">
        <f t="shared" ca="1" si="10"/>
        <v>45606</v>
      </c>
      <c r="E806" s="3" t="s">
        <v>60</v>
      </c>
    </row>
    <row r="807" spans="1:5" x14ac:dyDescent="0.3">
      <c r="A807" s="3" t="s">
        <v>573</v>
      </c>
      <c r="B807" s="3" t="s">
        <v>47</v>
      </c>
      <c r="C807" s="3" t="s">
        <v>574</v>
      </c>
      <c r="D807" s="4">
        <f t="shared" ca="1" si="10"/>
        <v>45606</v>
      </c>
      <c r="E807" s="3" t="s">
        <v>27</v>
      </c>
    </row>
    <row r="808" spans="1:5" x14ac:dyDescent="0.3">
      <c r="A808" s="3" t="s">
        <v>461</v>
      </c>
      <c r="B808" s="3" t="s">
        <v>270</v>
      </c>
      <c r="C808" s="3" t="s">
        <v>689</v>
      </c>
      <c r="D808" s="4">
        <f t="shared" ca="1" si="10"/>
        <v>45606</v>
      </c>
      <c r="E808" s="3" t="s">
        <v>27</v>
      </c>
    </row>
    <row r="809" spans="1:5" x14ac:dyDescent="0.3">
      <c r="A809" s="3" t="s">
        <v>557</v>
      </c>
      <c r="B809" s="3" t="s">
        <v>87</v>
      </c>
      <c r="C809" s="3" t="s">
        <v>558</v>
      </c>
      <c r="D809" s="4">
        <f t="shared" ca="1" si="10"/>
        <v>45606</v>
      </c>
      <c r="E809" s="3" t="s">
        <v>39</v>
      </c>
    </row>
    <row r="810" spans="1:5" x14ac:dyDescent="0.3">
      <c r="A810" s="3" t="s">
        <v>650</v>
      </c>
      <c r="B810" s="3" t="s">
        <v>245</v>
      </c>
      <c r="C810" s="3" t="s">
        <v>651</v>
      </c>
      <c r="D810" s="4">
        <f t="shared" ca="1" si="10"/>
        <v>45606</v>
      </c>
      <c r="E810" s="3" t="s">
        <v>35</v>
      </c>
    </row>
    <row r="811" spans="1:5" x14ac:dyDescent="0.3">
      <c r="A811" s="3" t="s">
        <v>575</v>
      </c>
      <c r="B811" s="3" t="s">
        <v>93</v>
      </c>
      <c r="C811" s="3" t="s">
        <v>119</v>
      </c>
      <c r="D811" s="4">
        <f t="shared" ca="1" si="10"/>
        <v>45606</v>
      </c>
      <c r="E811" s="3" t="s">
        <v>27</v>
      </c>
    </row>
    <row r="812" spans="1:5" x14ac:dyDescent="0.3">
      <c r="A812" s="3" t="s">
        <v>271</v>
      </c>
      <c r="B812" s="3" t="s">
        <v>272</v>
      </c>
      <c r="C812" s="3" t="s">
        <v>273</v>
      </c>
      <c r="D812" s="4">
        <f t="shared" ca="1" si="10"/>
        <v>45606</v>
      </c>
      <c r="E812" s="3" t="s">
        <v>39</v>
      </c>
    </row>
    <row r="813" spans="1:5" x14ac:dyDescent="0.3">
      <c r="A813" s="3" t="s">
        <v>370</v>
      </c>
      <c r="B813" s="3" t="s">
        <v>71</v>
      </c>
      <c r="C813" s="3" t="s">
        <v>371</v>
      </c>
      <c r="D813" s="4">
        <f t="shared" ref="D813:D899" ca="1" si="11">TODAY()-402</f>
        <v>45635</v>
      </c>
      <c r="E813" s="3" t="s">
        <v>60</v>
      </c>
    </row>
    <row r="814" spans="1:5" x14ac:dyDescent="0.3">
      <c r="A814" s="3" t="s">
        <v>100</v>
      </c>
      <c r="B814" s="3" t="s">
        <v>37</v>
      </c>
      <c r="C814" s="3" t="s">
        <v>101</v>
      </c>
      <c r="D814" s="4">
        <f t="shared" ca="1" si="11"/>
        <v>45635</v>
      </c>
      <c r="E814" s="3" t="s">
        <v>39</v>
      </c>
    </row>
    <row r="815" spans="1:5" x14ac:dyDescent="0.3">
      <c r="A815" s="3" t="s">
        <v>263</v>
      </c>
      <c r="B815" s="3" t="s">
        <v>44</v>
      </c>
      <c r="C815" s="3" t="s">
        <v>431</v>
      </c>
      <c r="D815" s="4">
        <f t="shared" ca="1" si="11"/>
        <v>45635</v>
      </c>
      <c r="E815" s="3" t="s">
        <v>60</v>
      </c>
    </row>
    <row r="816" spans="1:5" x14ac:dyDescent="0.3">
      <c r="A816" s="3" t="s">
        <v>545</v>
      </c>
      <c r="B816" s="3" t="s">
        <v>331</v>
      </c>
      <c r="C816" s="3" t="s">
        <v>546</v>
      </c>
      <c r="D816" s="4">
        <f t="shared" ca="1" si="11"/>
        <v>45635</v>
      </c>
      <c r="E816" s="3" t="s">
        <v>56</v>
      </c>
    </row>
    <row r="817" spans="1:5" x14ac:dyDescent="0.3">
      <c r="A817" s="3" t="s">
        <v>279</v>
      </c>
      <c r="B817" s="3" t="s">
        <v>275</v>
      </c>
      <c r="C817" s="3" t="s">
        <v>280</v>
      </c>
      <c r="D817" s="4">
        <f t="shared" ca="1" si="11"/>
        <v>45635</v>
      </c>
      <c r="E817" s="3" t="s">
        <v>39</v>
      </c>
    </row>
    <row r="818" spans="1:5" x14ac:dyDescent="0.3">
      <c r="A818" s="3" t="s">
        <v>358</v>
      </c>
      <c r="B818" s="3" t="s">
        <v>359</v>
      </c>
      <c r="C818" s="3" t="s">
        <v>360</v>
      </c>
      <c r="D818" s="4">
        <f t="shared" ca="1" si="11"/>
        <v>45635</v>
      </c>
      <c r="E818" s="3" t="s">
        <v>56</v>
      </c>
    </row>
    <row r="819" spans="1:5" x14ac:dyDescent="0.3">
      <c r="A819" s="3" t="s">
        <v>489</v>
      </c>
      <c r="B819" s="3" t="s">
        <v>74</v>
      </c>
      <c r="C819" s="3" t="s">
        <v>490</v>
      </c>
      <c r="D819" s="4">
        <f t="shared" ca="1" si="11"/>
        <v>45635</v>
      </c>
      <c r="E819" s="3" t="s">
        <v>35</v>
      </c>
    </row>
    <row r="820" spans="1:5" x14ac:dyDescent="0.3">
      <c r="A820" s="3" t="s">
        <v>758</v>
      </c>
      <c r="B820" s="3" t="s">
        <v>759</v>
      </c>
      <c r="C820" s="3" t="s">
        <v>396</v>
      </c>
      <c r="D820" s="4">
        <f t="shared" ca="1" si="11"/>
        <v>45635</v>
      </c>
      <c r="E820" s="3" t="s">
        <v>39</v>
      </c>
    </row>
    <row r="821" spans="1:5" x14ac:dyDescent="0.3">
      <c r="A821" s="3" t="s">
        <v>114</v>
      </c>
      <c r="B821" s="3" t="s">
        <v>44</v>
      </c>
      <c r="C821" s="3" t="s">
        <v>115</v>
      </c>
      <c r="D821" s="4">
        <f t="shared" ca="1" si="11"/>
        <v>45635</v>
      </c>
      <c r="E821" s="3" t="s">
        <v>35</v>
      </c>
    </row>
    <row r="822" spans="1:5" x14ac:dyDescent="0.3">
      <c r="A822" s="3" t="s">
        <v>372</v>
      </c>
      <c r="B822" s="3" t="s">
        <v>145</v>
      </c>
      <c r="C822" s="3" t="s">
        <v>373</v>
      </c>
      <c r="D822" s="4">
        <f t="shared" ca="1" si="11"/>
        <v>45635</v>
      </c>
      <c r="E822" s="3" t="s">
        <v>39</v>
      </c>
    </row>
    <row r="823" spans="1:5" x14ac:dyDescent="0.3">
      <c r="A823" s="3" t="s">
        <v>400</v>
      </c>
      <c r="B823" s="3" t="s">
        <v>58</v>
      </c>
      <c r="C823" s="3" t="s">
        <v>472</v>
      </c>
      <c r="D823" s="4">
        <f t="shared" ca="1" si="11"/>
        <v>45635</v>
      </c>
      <c r="E823" s="3" t="s">
        <v>27</v>
      </c>
    </row>
    <row r="824" spans="1:5" x14ac:dyDescent="0.3">
      <c r="A824" s="3" t="s">
        <v>370</v>
      </c>
      <c r="B824" s="3" t="s">
        <v>71</v>
      </c>
      <c r="C824" s="3" t="s">
        <v>371</v>
      </c>
      <c r="D824" s="4">
        <f t="shared" ca="1" si="11"/>
        <v>45635</v>
      </c>
      <c r="E824" s="3" t="s">
        <v>60</v>
      </c>
    </row>
    <row r="825" spans="1:5" x14ac:dyDescent="0.3">
      <c r="A825" s="3" t="s">
        <v>301</v>
      </c>
      <c r="B825" s="3" t="s">
        <v>165</v>
      </c>
      <c r="C825" s="3" t="s">
        <v>302</v>
      </c>
      <c r="D825" s="4">
        <f t="shared" ca="1" si="11"/>
        <v>45635</v>
      </c>
      <c r="E825" s="3" t="s">
        <v>60</v>
      </c>
    </row>
    <row r="826" spans="1:5" x14ac:dyDescent="0.3">
      <c r="A826" s="3" t="s">
        <v>760</v>
      </c>
      <c r="B826" s="3" t="s">
        <v>50</v>
      </c>
      <c r="C826" s="3" t="s">
        <v>761</v>
      </c>
      <c r="D826" s="4">
        <f t="shared" ca="1" si="11"/>
        <v>45635</v>
      </c>
      <c r="E826" s="3" t="s">
        <v>31</v>
      </c>
    </row>
    <row r="827" spans="1:5" x14ac:dyDescent="0.3">
      <c r="A827" s="3" t="s">
        <v>238</v>
      </c>
      <c r="B827" s="3" t="s">
        <v>157</v>
      </c>
      <c r="C827" s="3" t="s">
        <v>239</v>
      </c>
      <c r="D827" s="4">
        <f t="shared" ca="1" si="11"/>
        <v>45635</v>
      </c>
      <c r="E827" s="3" t="s">
        <v>39</v>
      </c>
    </row>
    <row r="828" spans="1:5" x14ac:dyDescent="0.3">
      <c r="A828" s="3" t="s">
        <v>363</v>
      </c>
      <c r="B828" s="3" t="s">
        <v>71</v>
      </c>
      <c r="C828" s="3" t="s">
        <v>26</v>
      </c>
      <c r="D828" s="4">
        <f t="shared" ca="1" si="11"/>
        <v>45635</v>
      </c>
      <c r="E828" s="3" t="s">
        <v>56</v>
      </c>
    </row>
    <row r="829" spans="1:5" x14ac:dyDescent="0.3">
      <c r="A829" s="3" t="s">
        <v>721</v>
      </c>
      <c r="B829" s="3" t="s">
        <v>71</v>
      </c>
      <c r="C829" s="3" t="s">
        <v>722</v>
      </c>
      <c r="D829" s="4">
        <f t="shared" ca="1" si="11"/>
        <v>45635</v>
      </c>
      <c r="E829" s="3" t="s">
        <v>60</v>
      </c>
    </row>
    <row r="830" spans="1:5" x14ac:dyDescent="0.3">
      <c r="A830" s="3" t="s">
        <v>445</v>
      </c>
      <c r="B830" s="3" t="s">
        <v>446</v>
      </c>
      <c r="C830" s="3" t="s">
        <v>447</v>
      </c>
      <c r="D830" s="4">
        <f t="shared" ca="1" si="11"/>
        <v>45635</v>
      </c>
      <c r="E830" s="3" t="s">
        <v>60</v>
      </c>
    </row>
    <row r="831" spans="1:5" x14ac:dyDescent="0.3">
      <c r="A831" s="3" t="s">
        <v>762</v>
      </c>
      <c r="B831" s="3" t="s">
        <v>87</v>
      </c>
      <c r="C831" s="3" t="s">
        <v>763</v>
      </c>
      <c r="D831" s="4">
        <f t="shared" ca="1" si="11"/>
        <v>45635</v>
      </c>
      <c r="E831" s="3" t="s">
        <v>35</v>
      </c>
    </row>
    <row r="832" spans="1:5" x14ac:dyDescent="0.3">
      <c r="A832" s="3" t="s">
        <v>553</v>
      </c>
      <c r="B832" s="3" t="s">
        <v>50</v>
      </c>
      <c r="C832" s="3" t="s">
        <v>554</v>
      </c>
      <c r="D832" s="4">
        <f t="shared" ca="1" si="11"/>
        <v>45635</v>
      </c>
      <c r="E832" s="3" t="s">
        <v>56</v>
      </c>
    </row>
    <row r="833" spans="1:5" x14ac:dyDescent="0.3">
      <c r="A833" s="3" t="s">
        <v>595</v>
      </c>
      <c r="B833" s="3" t="s">
        <v>37</v>
      </c>
      <c r="C833" s="3" t="s">
        <v>216</v>
      </c>
      <c r="D833" s="4">
        <f t="shared" ca="1" si="11"/>
        <v>45635</v>
      </c>
      <c r="E833" s="3" t="s">
        <v>60</v>
      </c>
    </row>
    <row r="834" spans="1:5" x14ac:dyDescent="0.3">
      <c r="A834" s="3" t="s">
        <v>466</v>
      </c>
      <c r="B834" s="3" t="s">
        <v>65</v>
      </c>
      <c r="C834" s="3" t="s">
        <v>467</v>
      </c>
      <c r="D834" s="4">
        <f t="shared" ca="1" si="11"/>
        <v>45635</v>
      </c>
      <c r="E834" s="3" t="s">
        <v>56</v>
      </c>
    </row>
    <row r="835" spans="1:5" x14ac:dyDescent="0.3">
      <c r="A835" s="3" t="s">
        <v>184</v>
      </c>
      <c r="B835" s="3" t="s">
        <v>47</v>
      </c>
      <c r="C835" s="3" t="s">
        <v>185</v>
      </c>
      <c r="D835" s="4">
        <f t="shared" ca="1" si="11"/>
        <v>45635</v>
      </c>
      <c r="E835" s="3" t="s">
        <v>35</v>
      </c>
    </row>
    <row r="836" spans="1:5" x14ac:dyDescent="0.3">
      <c r="A836" s="3" t="s">
        <v>102</v>
      </c>
      <c r="B836" s="3" t="s">
        <v>37</v>
      </c>
      <c r="C836" s="3" t="s">
        <v>103</v>
      </c>
      <c r="D836" s="4">
        <f t="shared" ca="1" si="11"/>
        <v>45635</v>
      </c>
      <c r="E836" s="3" t="s">
        <v>35</v>
      </c>
    </row>
    <row r="837" spans="1:5" x14ac:dyDescent="0.3">
      <c r="A837" s="3" t="s">
        <v>567</v>
      </c>
      <c r="B837" s="3" t="s">
        <v>150</v>
      </c>
      <c r="C837" s="3" t="s">
        <v>568</v>
      </c>
      <c r="D837" s="4">
        <f t="shared" ca="1" si="11"/>
        <v>45635</v>
      </c>
      <c r="E837" s="3" t="s">
        <v>60</v>
      </c>
    </row>
    <row r="838" spans="1:5" x14ac:dyDescent="0.3">
      <c r="A838" s="3" t="s">
        <v>132</v>
      </c>
      <c r="B838" s="3" t="s">
        <v>133</v>
      </c>
      <c r="C838" s="3" t="s">
        <v>134</v>
      </c>
      <c r="D838" s="4">
        <f t="shared" ca="1" si="11"/>
        <v>45635</v>
      </c>
      <c r="E838" s="3" t="s">
        <v>60</v>
      </c>
    </row>
    <row r="839" spans="1:5" x14ac:dyDescent="0.3">
      <c r="A839" s="3" t="s">
        <v>109</v>
      </c>
      <c r="B839" s="3" t="s">
        <v>37</v>
      </c>
      <c r="C839" s="3" t="s">
        <v>606</v>
      </c>
      <c r="D839" s="4">
        <f t="shared" ca="1" si="11"/>
        <v>45635</v>
      </c>
      <c r="E839" s="3" t="s">
        <v>31</v>
      </c>
    </row>
    <row r="840" spans="1:5" x14ac:dyDescent="0.3">
      <c r="A840" s="3" t="s">
        <v>680</v>
      </c>
      <c r="B840" s="3" t="s">
        <v>74</v>
      </c>
      <c r="C840" s="3" t="s">
        <v>681</v>
      </c>
      <c r="D840" s="4">
        <f t="shared" ca="1" si="11"/>
        <v>45635</v>
      </c>
      <c r="E840" s="3" t="s">
        <v>39</v>
      </c>
    </row>
    <row r="841" spans="1:5" x14ac:dyDescent="0.3">
      <c r="A841" s="3" t="s">
        <v>625</v>
      </c>
      <c r="B841" s="3" t="s">
        <v>74</v>
      </c>
      <c r="C841" s="3" t="s">
        <v>626</v>
      </c>
      <c r="D841" s="4">
        <f t="shared" ca="1" si="11"/>
        <v>45635</v>
      </c>
      <c r="E841" s="3" t="s">
        <v>39</v>
      </c>
    </row>
    <row r="842" spans="1:5" x14ac:dyDescent="0.3">
      <c r="A842" s="3" t="s">
        <v>764</v>
      </c>
      <c r="B842" s="3" t="s">
        <v>356</v>
      </c>
      <c r="C842" s="3" t="s">
        <v>582</v>
      </c>
      <c r="D842" s="4">
        <f t="shared" ca="1" si="11"/>
        <v>45635</v>
      </c>
      <c r="E842" s="3" t="s">
        <v>39</v>
      </c>
    </row>
    <row r="843" spans="1:5" x14ac:dyDescent="0.3">
      <c r="A843" s="3" t="s">
        <v>223</v>
      </c>
      <c r="B843" s="3" t="s">
        <v>58</v>
      </c>
      <c r="C843" s="3" t="s">
        <v>153</v>
      </c>
      <c r="D843" s="4">
        <f t="shared" ca="1" si="11"/>
        <v>45635</v>
      </c>
      <c r="E843" s="3" t="s">
        <v>35</v>
      </c>
    </row>
    <row r="844" spans="1:5" x14ac:dyDescent="0.3">
      <c r="A844" s="3" t="s">
        <v>539</v>
      </c>
      <c r="B844" s="3" t="s">
        <v>25</v>
      </c>
      <c r="C844" s="3" t="s">
        <v>540</v>
      </c>
      <c r="D844" s="4">
        <f t="shared" ca="1" si="11"/>
        <v>45635</v>
      </c>
      <c r="E844" s="3" t="s">
        <v>39</v>
      </c>
    </row>
    <row r="845" spans="1:5" x14ac:dyDescent="0.3">
      <c r="A845" s="3" t="s">
        <v>576</v>
      </c>
      <c r="B845" s="3" t="s">
        <v>162</v>
      </c>
      <c r="C845" s="3" t="s">
        <v>765</v>
      </c>
      <c r="D845" s="4">
        <f t="shared" ca="1" si="11"/>
        <v>45635</v>
      </c>
      <c r="E845" s="3" t="s">
        <v>27</v>
      </c>
    </row>
    <row r="846" spans="1:5" x14ac:dyDescent="0.3">
      <c r="A846" s="3" t="s">
        <v>36</v>
      </c>
      <c r="B846" s="3" t="s">
        <v>37</v>
      </c>
      <c r="C846" s="3" t="s">
        <v>38</v>
      </c>
      <c r="D846" s="4">
        <f t="shared" ca="1" si="11"/>
        <v>45635</v>
      </c>
      <c r="E846" s="3" t="s">
        <v>39</v>
      </c>
    </row>
    <row r="847" spans="1:5" x14ac:dyDescent="0.3">
      <c r="A847" s="3" t="s">
        <v>766</v>
      </c>
      <c r="B847" s="3" t="s">
        <v>331</v>
      </c>
      <c r="C847" s="3" t="s">
        <v>767</v>
      </c>
      <c r="D847" s="4">
        <f t="shared" ca="1" si="11"/>
        <v>45635</v>
      </c>
      <c r="E847" s="3" t="s">
        <v>60</v>
      </c>
    </row>
    <row r="848" spans="1:5" x14ac:dyDescent="0.3">
      <c r="A848" s="3" t="s">
        <v>203</v>
      </c>
      <c r="B848" s="3" t="s">
        <v>150</v>
      </c>
      <c r="C848" s="3" t="s">
        <v>166</v>
      </c>
      <c r="D848" s="4">
        <f t="shared" ca="1" si="11"/>
        <v>45635</v>
      </c>
      <c r="E848" s="3" t="s">
        <v>39</v>
      </c>
    </row>
    <row r="849" spans="1:5" x14ac:dyDescent="0.3">
      <c r="A849" s="3" t="s">
        <v>443</v>
      </c>
      <c r="B849" s="3" t="s">
        <v>368</v>
      </c>
      <c r="C849" s="3" t="s">
        <v>444</v>
      </c>
      <c r="D849" s="4">
        <f t="shared" ca="1" si="11"/>
        <v>45635</v>
      </c>
      <c r="E849" s="3" t="s">
        <v>35</v>
      </c>
    </row>
    <row r="850" spans="1:5" x14ac:dyDescent="0.3">
      <c r="A850" s="3" t="s">
        <v>768</v>
      </c>
      <c r="B850" s="3" t="s">
        <v>58</v>
      </c>
      <c r="C850" s="3" t="s">
        <v>769</v>
      </c>
      <c r="D850" s="4">
        <f t="shared" ca="1" si="11"/>
        <v>45635</v>
      </c>
      <c r="E850" s="3" t="s">
        <v>31</v>
      </c>
    </row>
    <row r="851" spans="1:5" x14ac:dyDescent="0.3">
      <c r="A851" s="3" t="s">
        <v>330</v>
      </c>
      <c r="B851" s="3" t="s">
        <v>331</v>
      </c>
      <c r="C851" s="3" t="s">
        <v>233</v>
      </c>
      <c r="D851" s="4">
        <f t="shared" ca="1" si="11"/>
        <v>45635</v>
      </c>
      <c r="E851" s="3" t="s">
        <v>56</v>
      </c>
    </row>
    <row r="852" spans="1:5" x14ac:dyDescent="0.3">
      <c r="A852" s="3" t="s">
        <v>623</v>
      </c>
      <c r="B852" s="3" t="s">
        <v>74</v>
      </c>
      <c r="C852" s="3" t="s">
        <v>624</v>
      </c>
      <c r="D852" s="4">
        <f t="shared" ca="1" si="11"/>
        <v>45635</v>
      </c>
      <c r="E852" s="3" t="s">
        <v>35</v>
      </c>
    </row>
    <row r="853" spans="1:5" x14ac:dyDescent="0.3">
      <c r="A853" s="3" t="s">
        <v>448</v>
      </c>
      <c r="B853" s="3" t="s">
        <v>74</v>
      </c>
      <c r="C853" s="3" t="s">
        <v>449</v>
      </c>
      <c r="D853" s="4">
        <f t="shared" ca="1" si="11"/>
        <v>45635</v>
      </c>
      <c r="E853" s="3" t="s">
        <v>35</v>
      </c>
    </row>
    <row r="854" spans="1:5" x14ac:dyDescent="0.3">
      <c r="A854" s="3" t="s">
        <v>576</v>
      </c>
      <c r="B854" s="3" t="s">
        <v>162</v>
      </c>
      <c r="C854" s="3" t="s">
        <v>765</v>
      </c>
      <c r="D854" s="4">
        <f t="shared" ca="1" si="11"/>
        <v>45635</v>
      </c>
      <c r="E854" s="3" t="s">
        <v>27</v>
      </c>
    </row>
    <row r="855" spans="1:5" x14ac:dyDescent="0.3">
      <c r="A855" s="3" t="s">
        <v>770</v>
      </c>
      <c r="B855" s="3" t="s">
        <v>47</v>
      </c>
      <c r="C855" s="3" t="s">
        <v>771</v>
      </c>
      <c r="D855" s="4">
        <f t="shared" ca="1" si="11"/>
        <v>45635</v>
      </c>
      <c r="E855" s="3" t="s">
        <v>60</v>
      </c>
    </row>
    <row r="856" spans="1:5" x14ac:dyDescent="0.3">
      <c r="A856" s="3" t="s">
        <v>240</v>
      </c>
      <c r="B856" s="3" t="s">
        <v>124</v>
      </c>
      <c r="C856" s="3" t="s">
        <v>241</v>
      </c>
      <c r="D856" s="4">
        <f t="shared" ca="1" si="11"/>
        <v>45635</v>
      </c>
      <c r="E856" s="3" t="s">
        <v>35</v>
      </c>
    </row>
    <row r="857" spans="1:5" x14ac:dyDescent="0.3">
      <c r="A857" s="3" t="s">
        <v>217</v>
      </c>
      <c r="B857" s="3" t="s">
        <v>87</v>
      </c>
      <c r="C857" s="3" t="s">
        <v>218</v>
      </c>
      <c r="D857" s="4">
        <f t="shared" ca="1" si="11"/>
        <v>45635</v>
      </c>
      <c r="E857" s="3" t="s">
        <v>31</v>
      </c>
    </row>
    <row r="858" spans="1:5" x14ac:dyDescent="0.3">
      <c r="A858" s="3" t="s">
        <v>760</v>
      </c>
      <c r="B858" s="3" t="s">
        <v>50</v>
      </c>
      <c r="C858" s="3" t="s">
        <v>761</v>
      </c>
      <c r="D858" s="4">
        <f t="shared" ca="1" si="11"/>
        <v>45635</v>
      </c>
      <c r="E858" s="3" t="s">
        <v>31</v>
      </c>
    </row>
    <row r="859" spans="1:5" x14ac:dyDescent="0.3">
      <c r="A859" s="3" t="s">
        <v>637</v>
      </c>
      <c r="B859" s="3" t="s">
        <v>165</v>
      </c>
      <c r="C859" s="3" t="s">
        <v>638</v>
      </c>
      <c r="D859" s="4">
        <f t="shared" ca="1" si="11"/>
        <v>45635</v>
      </c>
      <c r="E859" s="3" t="s">
        <v>60</v>
      </c>
    </row>
    <row r="860" spans="1:5" x14ac:dyDescent="0.3">
      <c r="A860" s="3" t="s">
        <v>52</v>
      </c>
      <c r="B860" s="3" t="s">
        <v>37</v>
      </c>
      <c r="C860" s="3" t="s">
        <v>76</v>
      </c>
      <c r="D860" s="4">
        <f t="shared" ca="1" si="11"/>
        <v>45635</v>
      </c>
      <c r="E860" s="3" t="s">
        <v>35</v>
      </c>
    </row>
    <row r="861" spans="1:5" x14ac:dyDescent="0.3">
      <c r="A861" s="3" t="s">
        <v>197</v>
      </c>
      <c r="B861" s="3" t="s">
        <v>37</v>
      </c>
      <c r="C861" s="3" t="s">
        <v>198</v>
      </c>
      <c r="D861" s="4">
        <f t="shared" ca="1" si="11"/>
        <v>45635</v>
      </c>
      <c r="E861" s="3" t="s">
        <v>60</v>
      </c>
    </row>
    <row r="862" spans="1:5" x14ac:dyDescent="0.3">
      <c r="A862" s="3" t="s">
        <v>772</v>
      </c>
      <c r="B862" s="3" t="s">
        <v>50</v>
      </c>
      <c r="C862" s="3" t="s">
        <v>216</v>
      </c>
      <c r="D862" s="4">
        <f t="shared" ca="1" si="11"/>
        <v>45635</v>
      </c>
      <c r="E862" s="3" t="s">
        <v>56</v>
      </c>
    </row>
    <row r="863" spans="1:5" x14ac:dyDescent="0.3">
      <c r="A863" s="3" t="s">
        <v>455</v>
      </c>
      <c r="B863" s="3" t="s">
        <v>50</v>
      </c>
      <c r="C863" s="3" t="s">
        <v>456</v>
      </c>
      <c r="D863" s="4">
        <f t="shared" ca="1" si="11"/>
        <v>45635</v>
      </c>
      <c r="E863" s="3" t="s">
        <v>39</v>
      </c>
    </row>
    <row r="864" spans="1:5" x14ac:dyDescent="0.3">
      <c r="A864" s="3" t="s">
        <v>164</v>
      </c>
      <c r="B864" s="3" t="s">
        <v>165</v>
      </c>
      <c r="C864" s="3" t="s">
        <v>166</v>
      </c>
      <c r="D864" s="4">
        <f t="shared" ca="1" si="11"/>
        <v>45635</v>
      </c>
      <c r="E864" s="3" t="s">
        <v>31</v>
      </c>
    </row>
    <row r="865" spans="1:5" x14ac:dyDescent="0.3">
      <c r="A865" s="3" t="s">
        <v>161</v>
      </c>
      <c r="B865" s="3" t="s">
        <v>162</v>
      </c>
      <c r="C865" s="3" t="s">
        <v>163</v>
      </c>
      <c r="D865" s="4">
        <f t="shared" ca="1" si="11"/>
        <v>45635</v>
      </c>
      <c r="E865" s="3" t="s">
        <v>35</v>
      </c>
    </row>
    <row r="866" spans="1:5" x14ac:dyDescent="0.3">
      <c r="A866" s="3" t="s">
        <v>710</v>
      </c>
      <c r="B866" s="3" t="s">
        <v>193</v>
      </c>
      <c r="C866" s="3" t="s">
        <v>200</v>
      </c>
      <c r="D866" s="4">
        <f t="shared" ca="1" si="11"/>
        <v>45635</v>
      </c>
      <c r="E866" s="3" t="s">
        <v>39</v>
      </c>
    </row>
    <row r="867" spans="1:5" x14ac:dyDescent="0.3">
      <c r="A867" s="3" t="s">
        <v>204</v>
      </c>
      <c r="B867" s="3" t="s">
        <v>124</v>
      </c>
      <c r="C867" s="3" t="s">
        <v>134</v>
      </c>
      <c r="D867" s="4">
        <f t="shared" ca="1" si="11"/>
        <v>45635</v>
      </c>
      <c r="E867" s="3" t="s">
        <v>60</v>
      </c>
    </row>
    <row r="868" spans="1:5" x14ac:dyDescent="0.3">
      <c r="A868" s="3" t="s">
        <v>629</v>
      </c>
      <c r="B868" s="3" t="s">
        <v>93</v>
      </c>
      <c r="C868" s="3" t="s">
        <v>630</v>
      </c>
      <c r="D868" s="4">
        <f t="shared" ca="1" si="11"/>
        <v>45635</v>
      </c>
      <c r="E868" s="3" t="s">
        <v>35</v>
      </c>
    </row>
    <row r="869" spans="1:5" x14ac:dyDescent="0.3">
      <c r="A869" s="3" t="s">
        <v>619</v>
      </c>
      <c r="B869" s="3" t="s">
        <v>298</v>
      </c>
      <c r="C869" s="3" t="s">
        <v>620</v>
      </c>
      <c r="D869" s="4">
        <f t="shared" ca="1" si="11"/>
        <v>45635</v>
      </c>
      <c r="E869" s="3" t="s">
        <v>60</v>
      </c>
    </row>
    <row r="870" spans="1:5" x14ac:dyDescent="0.3">
      <c r="A870" s="3" t="s">
        <v>274</v>
      </c>
      <c r="B870" s="3" t="s">
        <v>275</v>
      </c>
      <c r="C870" s="3" t="s">
        <v>91</v>
      </c>
      <c r="D870" s="4">
        <f t="shared" ca="1" si="11"/>
        <v>45635</v>
      </c>
      <c r="E870" s="3" t="s">
        <v>39</v>
      </c>
    </row>
    <row r="871" spans="1:5" x14ac:dyDescent="0.3">
      <c r="A871" s="3" t="s">
        <v>256</v>
      </c>
      <c r="B871" s="3" t="s">
        <v>257</v>
      </c>
      <c r="C871" s="3" t="s">
        <v>258</v>
      </c>
      <c r="D871" s="4">
        <f t="shared" ca="1" si="11"/>
        <v>45635</v>
      </c>
      <c r="E871" s="3" t="s">
        <v>60</v>
      </c>
    </row>
    <row r="872" spans="1:5" x14ac:dyDescent="0.3">
      <c r="A872" s="3" t="s">
        <v>337</v>
      </c>
      <c r="B872" s="3" t="s">
        <v>65</v>
      </c>
      <c r="C872" s="3" t="s">
        <v>338</v>
      </c>
      <c r="D872" s="4">
        <f t="shared" ca="1" si="11"/>
        <v>45635</v>
      </c>
      <c r="E872" s="3" t="s">
        <v>56</v>
      </c>
    </row>
    <row r="873" spans="1:5" x14ac:dyDescent="0.3">
      <c r="A873" s="3" t="s">
        <v>773</v>
      </c>
      <c r="B873" s="3" t="s">
        <v>774</v>
      </c>
      <c r="C873" s="3" t="s">
        <v>718</v>
      </c>
      <c r="D873" s="4">
        <f t="shared" ca="1" si="11"/>
        <v>45635</v>
      </c>
      <c r="E873" s="3" t="s">
        <v>60</v>
      </c>
    </row>
    <row r="874" spans="1:5" x14ac:dyDescent="0.3">
      <c r="A874" s="3" t="s">
        <v>80</v>
      </c>
      <c r="B874" s="3" t="s">
        <v>62</v>
      </c>
      <c r="C874" s="3" t="s">
        <v>81</v>
      </c>
      <c r="D874" s="4">
        <f t="shared" ca="1" si="11"/>
        <v>45635</v>
      </c>
      <c r="E874" s="3" t="s">
        <v>39</v>
      </c>
    </row>
    <row r="875" spans="1:5" x14ac:dyDescent="0.3">
      <c r="A875" s="3" t="s">
        <v>653</v>
      </c>
      <c r="B875" s="3" t="s">
        <v>58</v>
      </c>
      <c r="C875" s="3" t="s">
        <v>654</v>
      </c>
      <c r="D875" s="4">
        <f t="shared" ca="1" si="11"/>
        <v>45635</v>
      </c>
      <c r="E875" s="3" t="s">
        <v>60</v>
      </c>
    </row>
    <row r="876" spans="1:5" x14ac:dyDescent="0.3">
      <c r="A876" s="3" t="s">
        <v>182</v>
      </c>
      <c r="B876" s="3" t="s">
        <v>124</v>
      </c>
      <c r="C876" s="3" t="s">
        <v>183</v>
      </c>
      <c r="D876" s="4">
        <f t="shared" ca="1" si="11"/>
        <v>45635</v>
      </c>
      <c r="E876" s="3" t="s">
        <v>56</v>
      </c>
    </row>
    <row r="877" spans="1:5" x14ac:dyDescent="0.3">
      <c r="A877" s="3" t="s">
        <v>265</v>
      </c>
      <c r="B877" s="3" t="s">
        <v>33</v>
      </c>
      <c r="C877" s="3" t="s">
        <v>266</v>
      </c>
      <c r="D877" s="4">
        <f t="shared" ca="1" si="11"/>
        <v>45635</v>
      </c>
      <c r="E877" s="3" t="s">
        <v>56</v>
      </c>
    </row>
    <row r="878" spans="1:5" x14ac:dyDescent="0.3">
      <c r="A878" s="3" t="s">
        <v>304</v>
      </c>
      <c r="B878" s="3" t="s">
        <v>47</v>
      </c>
      <c r="C878" s="3" t="s">
        <v>424</v>
      </c>
      <c r="D878" s="4">
        <f t="shared" ca="1" si="11"/>
        <v>45635</v>
      </c>
      <c r="E878" s="3" t="s">
        <v>27</v>
      </c>
    </row>
    <row r="879" spans="1:5" x14ac:dyDescent="0.3">
      <c r="A879" s="3" t="s">
        <v>281</v>
      </c>
      <c r="B879" s="3" t="s">
        <v>65</v>
      </c>
      <c r="C879" s="3" t="s">
        <v>48</v>
      </c>
      <c r="D879" s="4">
        <f t="shared" ca="1" si="11"/>
        <v>45635</v>
      </c>
      <c r="E879" s="3" t="s">
        <v>27</v>
      </c>
    </row>
    <row r="880" spans="1:5" x14ac:dyDescent="0.3">
      <c r="A880" s="3" t="s">
        <v>104</v>
      </c>
      <c r="B880" s="3" t="s">
        <v>58</v>
      </c>
      <c r="C880" s="3" t="s">
        <v>515</v>
      </c>
      <c r="D880" s="4">
        <f t="shared" ca="1" si="11"/>
        <v>45635</v>
      </c>
      <c r="E880" s="3" t="s">
        <v>35</v>
      </c>
    </row>
    <row r="881" spans="1:5" x14ac:dyDescent="0.3">
      <c r="A881" s="3" t="s">
        <v>650</v>
      </c>
      <c r="B881" s="3" t="s">
        <v>245</v>
      </c>
      <c r="C881" s="3" t="s">
        <v>651</v>
      </c>
      <c r="D881" s="4">
        <f t="shared" ca="1" si="11"/>
        <v>45635</v>
      </c>
      <c r="E881" s="3" t="s">
        <v>35</v>
      </c>
    </row>
    <row r="882" spans="1:5" x14ac:dyDescent="0.3">
      <c r="A882" s="3" t="s">
        <v>470</v>
      </c>
      <c r="B882" s="3" t="s">
        <v>173</v>
      </c>
      <c r="C882" s="3" t="s">
        <v>471</v>
      </c>
      <c r="D882" s="4">
        <f t="shared" ca="1" si="11"/>
        <v>45635</v>
      </c>
      <c r="E882" s="3" t="s">
        <v>56</v>
      </c>
    </row>
    <row r="883" spans="1:5" x14ac:dyDescent="0.3">
      <c r="A883" s="3" t="s">
        <v>461</v>
      </c>
      <c r="B883" s="3" t="s">
        <v>140</v>
      </c>
      <c r="C883" s="3" t="s">
        <v>431</v>
      </c>
      <c r="D883" s="4">
        <f t="shared" ca="1" si="11"/>
        <v>45635</v>
      </c>
      <c r="E883" s="3" t="s">
        <v>39</v>
      </c>
    </row>
    <row r="884" spans="1:5" x14ac:dyDescent="0.3">
      <c r="A884" s="3" t="s">
        <v>762</v>
      </c>
      <c r="B884" s="3" t="s">
        <v>87</v>
      </c>
      <c r="C884" s="3" t="s">
        <v>763</v>
      </c>
      <c r="D884" s="4">
        <f t="shared" ca="1" si="11"/>
        <v>45635</v>
      </c>
      <c r="E884" s="3" t="s">
        <v>35</v>
      </c>
    </row>
    <row r="885" spans="1:5" x14ac:dyDescent="0.3">
      <c r="A885" s="3" t="s">
        <v>491</v>
      </c>
      <c r="B885" s="3" t="s">
        <v>617</v>
      </c>
      <c r="C885" s="3" t="s">
        <v>775</v>
      </c>
      <c r="D885" s="4">
        <f t="shared" ca="1" si="11"/>
        <v>45635</v>
      </c>
      <c r="E885" s="3" t="s">
        <v>60</v>
      </c>
    </row>
    <row r="886" spans="1:5" x14ac:dyDescent="0.3">
      <c r="A886" s="3" t="s">
        <v>335</v>
      </c>
      <c r="B886" s="3" t="s">
        <v>118</v>
      </c>
      <c r="C886" s="3" t="s">
        <v>432</v>
      </c>
      <c r="D886" s="4">
        <f t="shared" ca="1" si="11"/>
        <v>45635</v>
      </c>
      <c r="E886" s="3" t="s">
        <v>60</v>
      </c>
    </row>
    <row r="887" spans="1:5" x14ac:dyDescent="0.3">
      <c r="A887" s="3" t="s">
        <v>182</v>
      </c>
      <c r="B887" s="3" t="s">
        <v>124</v>
      </c>
      <c r="C887" s="3" t="s">
        <v>183</v>
      </c>
      <c r="D887" s="4">
        <f t="shared" ca="1" si="11"/>
        <v>45635</v>
      </c>
      <c r="E887" s="3" t="s">
        <v>56</v>
      </c>
    </row>
    <row r="888" spans="1:5" x14ac:dyDescent="0.3">
      <c r="A888" s="3" t="s">
        <v>404</v>
      </c>
      <c r="B888" s="3" t="s">
        <v>118</v>
      </c>
      <c r="C888" s="3" t="s">
        <v>405</v>
      </c>
      <c r="D888" s="4">
        <f t="shared" ca="1" si="11"/>
        <v>45635</v>
      </c>
      <c r="E888" s="3" t="s">
        <v>56</v>
      </c>
    </row>
    <row r="889" spans="1:5" x14ac:dyDescent="0.3">
      <c r="A889" s="3" t="s">
        <v>760</v>
      </c>
      <c r="B889" s="3" t="s">
        <v>50</v>
      </c>
      <c r="C889" s="3" t="s">
        <v>761</v>
      </c>
      <c r="D889" s="4">
        <f t="shared" ca="1" si="11"/>
        <v>45635</v>
      </c>
      <c r="E889" s="3" t="s">
        <v>31</v>
      </c>
    </row>
    <row r="890" spans="1:5" x14ac:dyDescent="0.3">
      <c r="A890" s="3" t="s">
        <v>361</v>
      </c>
      <c r="B890" s="3" t="s">
        <v>65</v>
      </c>
      <c r="C890" s="3" t="s">
        <v>715</v>
      </c>
      <c r="D890" s="4">
        <f t="shared" ca="1" si="11"/>
        <v>45635</v>
      </c>
      <c r="E890" s="3" t="s">
        <v>39</v>
      </c>
    </row>
    <row r="891" spans="1:5" x14ac:dyDescent="0.3">
      <c r="A891" s="3" t="s">
        <v>416</v>
      </c>
      <c r="B891" s="3" t="s">
        <v>93</v>
      </c>
      <c r="C891" s="3" t="s">
        <v>417</v>
      </c>
      <c r="D891" s="4">
        <f t="shared" ca="1" si="11"/>
        <v>45635</v>
      </c>
      <c r="E891" s="3" t="s">
        <v>60</v>
      </c>
    </row>
    <row r="892" spans="1:5" x14ac:dyDescent="0.3">
      <c r="A892" s="3" t="s">
        <v>461</v>
      </c>
      <c r="B892" s="3" t="s">
        <v>270</v>
      </c>
      <c r="C892" s="3" t="s">
        <v>689</v>
      </c>
      <c r="D892" s="4">
        <f t="shared" ca="1" si="11"/>
        <v>45635</v>
      </c>
      <c r="E892" s="3" t="s">
        <v>27</v>
      </c>
    </row>
    <row r="893" spans="1:5" x14ac:dyDescent="0.3">
      <c r="A893" s="3" t="s">
        <v>567</v>
      </c>
      <c r="B893" s="3" t="s">
        <v>150</v>
      </c>
      <c r="C893" s="3" t="s">
        <v>568</v>
      </c>
      <c r="D893" s="4">
        <f t="shared" ca="1" si="11"/>
        <v>45635</v>
      </c>
      <c r="E893" s="3" t="s">
        <v>60</v>
      </c>
    </row>
    <row r="894" spans="1:5" x14ac:dyDescent="0.3">
      <c r="A894" s="3" t="s">
        <v>361</v>
      </c>
      <c r="B894" s="3" t="s">
        <v>65</v>
      </c>
      <c r="C894" s="3" t="s">
        <v>715</v>
      </c>
      <c r="D894" s="4">
        <f t="shared" ca="1" si="11"/>
        <v>45635</v>
      </c>
      <c r="E894" s="3" t="s">
        <v>39</v>
      </c>
    </row>
    <row r="895" spans="1:5" x14ac:dyDescent="0.3">
      <c r="A895" s="3" t="s">
        <v>385</v>
      </c>
      <c r="B895" s="3" t="s">
        <v>87</v>
      </c>
      <c r="C895" s="3" t="s">
        <v>386</v>
      </c>
      <c r="D895" s="4">
        <f t="shared" ca="1" si="11"/>
        <v>45635</v>
      </c>
      <c r="E895" s="3" t="s">
        <v>60</v>
      </c>
    </row>
    <row r="896" spans="1:5" x14ac:dyDescent="0.3">
      <c r="A896" s="3" t="s">
        <v>673</v>
      </c>
      <c r="B896" s="3" t="s">
        <v>442</v>
      </c>
      <c r="C896" s="3" t="s">
        <v>674</v>
      </c>
      <c r="D896" s="4">
        <f t="shared" ca="1" si="11"/>
        <v>45635</v>
      </c>
      <c r="E896" s="3" t="s">
        <v>27</v>
      </c>
    </row>
    <row r="897" spans="1:5" x14ac:dyDescent="0.3">
      <c r="A897" s="3" t="s">
        <v>123</v>
      </c>
      <c r="B897" s="3" t="s">
        <v>124</v>
      </c>
      <c r="C897" s="3" t="s">
        <v>125</v>
      </c>
      <c r="D897" s="4">
        <f t="shared" ca="1" si="11"/>
        <v>45635</v>
      </c>
      <c r="E897" s="3" t="s">
        <v>35</v>
      </c>
    </row>
    <row r="898" spans="1:5" x14ac:dyDescent="0.3">
      <c r="A898" s="3" t="s">
        <v>627</v>
      </c>
      <c r="B898" s="3" t="s">
        <v>87</v>
      </c>
      <c r="C898" s="3" t="s">
        <v>628</v>
      </c>
      <c r="D898" s="4">
        <f t="shared" ca="1" si="11"/>
        <v>45635</v>
      </c>
      <c r="E898" s="3" t="s">
        <v>39</v>
      </c>
    </row>
    <row r="899" spans="1:5" x14ac:dyDescent="0.3">
      <c r="A899" s="3" t="s">
        <v>750</v>
      </c>
      <c r="B899" s="3" t="s">
        <v>33</v>
      </c>
      <c r="C899" s="3" t="s">
        <v>751</v>
      </c>
      <c r="D899" s="4">
        <f t="shared" ca="1" si="11"/>
        <v>45635</v>
      </c>
      <c r="E899" s="3" t="s">
        <v>31</v>
      </c>
    </row>
    <row r="900" spans="1:5" x14ac:dyDescent="0.3">
      <c r="A900" s="3" t="s">
        <v>428</v>
      </c>
      <c r="B900" s="3" t="s">
        <v>87</v>
      </c>
      <c r="C900" s="3" t="s">
        <v>429</v>
      </c>
      <c r="D900" s="4">
        <f t="shared" ref="D900:D989" ca="1" si="12">TODAY()-371</f>
        <v>45666</v>
      </c>
      <c r="E900" s="3" t="s">
        <v>27</v>
      </c>
    </row>
    <row r="901" spans="1:5" x14ac:dyDescent="0.3">
      <c r="A901" s="3" t="s">
        <v>388</v>
      </c>
      <c r="B901" s="3" t="s">
        <v>157</v>
      </c>
      <c r="C901" s="3" t="s">
        <v>389</v>
      </c>
      <c r="D901" s="4">
        <f t="shared" ca="1" si="12"/>
        <v>45666</v>
      </c>
      <c r="E901" s="3" t="s">
        <v>56</v>
      </c>
    </row>
    <row r="902" spans="1:5" x14ac:dyDescent="0.3">
      <c r="A902" s="3" t="s">
        <v>385</v>
      </c>
      <c r="B902" s="3" t="s">
        <v>87</v>
      </c>
      <c r="C902" s="3" t="s">
        <v>386</v>
      </c>
      <c r="D902" s="4">
        <f t="shared" ca="1" si="12"/>
        <v>45666</v>
      </c>
      <c r="E902" s="3" t="s">
        <v>60</v>
      </c>
    </row>
    <row r="903" spans="1:5" x14ac:dyDescent="0.3">
      <c r="A903" s="3" t="s">
        <v>450</v>
      </c>
      <c r="B903" s="3" t="s">
        <v>326</v>
      </c>
      <c r="C903" s="3" t="s">
        <v>451</v>
      </c>
      <c r="D903" s="4">
        <f t="shared" ca="1" si="12"/>
        <v>45666</v>
      </c>
      <c r="E903" s="3" t="s">
        <v>35</v>
      </c>
    </row>
    <row r="904" spans="1:5" x14ac:dyDescent="0.3">
      <c r="A904" s="3" t="s">
        <v>517</v>
      </c>
      <c r="B904" s="3" t="s">
        <v>518</v>
      </c>
      <c r="C904" s="3" t="s">
        <v>519</v>
      </c>
      <c r="D904" s="4">
        <f t="shared" ca="1" si="12"/>
        <v>45666</v>
      </c>
      <c r="E904" s="3" t="s">
        <v>31</v>
      </c>
    </row>
    <row r="905" spans="1:5" x14ac:dyDescent="0.3">
      <c r="A905" s="3" t="s">
        <v>725</v>
      </c>
      <c r="B905" s="3" t="s">
        <v>37</v>
      </c>
      <c r="C905" s="3" t="s">
        <v>726</v>
      </c>
      <c r="D905" s="4">
        <f t="shared" ca="1" si="12"/>
        <v>45666</v>
      </c>
      <c r="E905" s="3" t="s">
        <v>31</v>
      </c>
    </row>
    <row r="906" spans="1:5" x14ac:dyDescent="0.3">
      <c r="A906" s="3" t="s">
        <v>586</v>
      </c>
      <c r="B906" s="3" t="s">
        <v>157</v>
      </c>
      <c r="C906" s="3" t="s">
        <v>587</v>
      </c>
      <c r="D906" s="4">
        <f t="shared" ca="1" si="12"/>
        <v>45666</v>
      </c>
      <c r="E906" s="3" t="s">
        <v>60</v>
      </c>
    </row>
    <row r="907" spans="1:5" x14ac:dyDescent="0.3">
      <c r="A907" s="3" t="s">
        <v>86</v>
      </c>
      <c r="B907" s="3" t="s">
        <v>87</v>
      </c>
      <c r="C907" s="3" t="s">
        <v>88</v>
      </c>
      <c r="D907" s="4">
        <f t="shared" ca="1" si="12"/>
        <v>45666</v>
      </c>
      <c r="E907" s="3" t="s">
        <v>60</v>
      </c>
    </row>
    <row r="908" spans="1:5" x14ac:dyDescent="0.3">
      <c r="A908" s="3" t="s">
        <v>175</v>
      </c>
      <c r="B908" s="3" t="s">
        <v>93</v>
      </c>
      <c r="C908" s="3" t="s">
        <v>176</v>
      </c>
      <c r="D908" s="4">
        <f t="shared" ca="1" si="12"/>
        <v>45666</v>
      </c>
      <c r="E908" s="3" t="s">
        <v>60</v>
      </c>
    </row>
    <row r="909" spans="1:5" x14ac:dyDescent="0.3">
      <c r="A909" s="3" t="s">
        <v>271</v>
      </c>
      <c r="B909" s="3" t="s">
        <v>272</v>
      </c>
      <c r="C909" s="3" t="s">
        <v>273</v>
      </c>
      <c r="D909" s="4">
        <f t="shared" ca="1" si="12"/>
        <v>45666</v>
      </c>
      <c r="E909" s="3" t="s">
        <v>39</v>
      </c>
    </row>
    <row r="910" spans="1:5" x14ac:dyDescent="0.3">
      <c r="A910" s="3" t="s">
        <v>61</v>
      </c>
      <c r="B910" s="3" t="s">
        <v>333</v>
      </c>
      <c r="C910" s="3" t="s">
        <v>352</v>
      </c>
      <c r="D910" s="4">
        <f t="shared" ca="1" si="12"/>
        <v>45666</v>
      </c>
      <c r="E910" s="3" t="s">
        <v>31</v>
      </c>
    </row>
    <row r="911" spans="1:5" x14ac:dyDescent="0.3">
      <c r="A911" s="3" t="s">
        <v>207</v>
      </c>
      <c r="B911" s="3" t="s">
        <v>44</v>
      </c>
      <c r="C911" s="3" t="s">
        <v>208</v>
      </c>
      <c r="D911" s="4">
        <f t="shared" ca="1" si="12"/>
        <v>45666</v>
      </c>
      <c r="E911" s="3" t="s">
        <v>60</v>
      </c>
    </row>
    <row r="912" spans="1:5" x14ac:dyDescent="0.3">
      <c r="A912" s="3" t="s">
        <v>328</v>
      </c>
      <c r="B912" s="3" t="s">
        <v>193</v>
      </c>
      <c r="C912" s="3" t="s">
        <v>329</v>
      </c>
      <c r="D912" s="4">
        <f t="shared" ca="1" si="12"/>
        <v>45666</v>
      </c>
      <c r="E912" s="3" t="s">
        <v>60</v>
      </c>
    </row>
    <row r="913" spans="1:5" x14ac:dyDescent="0.3">
      <c r="A913" s="3" t="s">
        <v>740</v>
      </c>
      <c r="B913" s="3" t="s">
        <v>93</v>
      </c>
      <c r="C913" s="3" t="s">
        <v>741</v>
      </c>
      <c r="D913" s="4">
        <f t="shared" ca="1" si="12"/>
        <v>45666</v>
      </c>
      <c r="E913" s="3" t="s">
        <v>60</v>
      </c>
    </row>
    <row r="914" spans="1:5" x14ac:dyDescent="0.3">
      <c r="A914" s="3" t="s">
        <v>391</v>
      </c>
      <c r="B914" s="3" t="s">
        <v>392</v>
      </c>
      <c r="C914" s="3" t="s">
        <v>241</v>
      </c>
      <c r="D914" s="4">
        <f t="shared" ca="1" si="12"/>
        <v>45666</v>
      </c>
      <c r="E914" s="3" t="s">
        <v>39</v>
      </c>
    </row>
    <row r="915" spans="1:5" x14ac:dyDescent="0.3">
      <c r="A915" s="3" t="s">
        <v>756</v>
      </c>
      <c r="B915" s="3" t="s">
        <v>93</v>
      </c>
      <c r="C915" s="3" t="s">
        <v>757</v>
      </c>
      <c r="D915" s="4">
        <f t="shared" ca="1" si="12"/>
        <v>45666</v>
      </c>
      <c r="E915" s="3" t="s">
        <v>56</v>
      </c>
    </row>
    <row r="916" spans="1:5" x14ac:dyDescent="0.3">
      <c r="A916" s="3" t="s">
        <v>522</v>
      </c>
      <c r="B916" s="3" t="s">
        <v>523</v>
      </c>
      <c r="C916" s="3" t="s">
        <v>524</v>
      </c>
      <c r="D916" s="4">
        <f t="shared" ca="1" si="12"/>
        <v>45666</v>
      </c>
      <c r="E916" s="3" t="s">
        <v>35</v>
      </c>
    </row>
    <row r="917" spans="1:5" x14ac:dyDescent="0.3">
      <c r="A917" s="3" t="s">
        <v>776</v>
      </c>
      <c r="B917" s="3" t="s">
        <v>178</v>
      </c>
      <c r="C917" s="3" t="s">
        <v>777</v>
      </c>
      <c r="D917" s="4">
        <f t="shared" ca="1" si="12"/>
        <v>45666</v>
      </c>
      <c r="E917" s="3" t="s">
        <v>31</v>
      </c>
    </row>
    <row r="918" spans="1:5" x14ac:dyDescent="0.3">
      <c r="A918" s="3" t="s">
        <v>355</v>
      </c>
      <c r="B918" s="3" t="s">
        <v>356</v>
      </c>
      <c r="C918" s="3" t="s">
        <v>357</v>
      </c>
      <c r="D918" s="4">
        <f t="shared" ca="1" si="12"/>
        <v>45666</v>
      </c>
      <c r="E918" s="3" t="s">
        <v>56</v>
      </c>
    </row>
    <row r="919" spans="1:5" x14ac:dyDescent="0.3">
      <c r="A919" s="3" t="s">
        <v>37</v>
      </c>
      <c r="B919" s="3" t="s">
        <v>71</v>
      </c>
      <c r="C919" s="3" t="s">
        <v>460</v>
      </c>
      <c r="D919" s="4">
        <f t="shared" ca="1" si="12"/>
        <v>45666</v>
      </c>
      <c r="E919" s="3" t="s">
        <v>31</v>
      </c>
    </row>
    <row r="920" spans="1:5" x14ac:dyDescent="0.3">
      <c r="A920" s="3" t="s">
        <v>668</v>
      </c>
      <c r="B920" s="3" t="s">
        <v>669</v>
      </c>
      <c r="C920" s="3" t="s">
        <v>670</v>
      </c>
      <c r="D920" s="4">
        <f t="shared" ca="1" si="12"/>
        <v>45666</v>
      </c>
      <c r="E920" s="3" t="s">
        <v>60</v>
      </c>
    </row>
    <row r="921" spans="1:5" x14ac:dyDescent="0.3">
      <c r="A921" s="3" t="s">
        <v>522</v>
      </c>
      <c r="B921" s="3" t="s">
        <v>523</v>
      </c>
      <c r="C921" s="3" t="s">
        <v>524</v>
      </c>
      <c r="D921" s="4">
        <f t="shared" ca="1" si="12"/>
        <v>45666</v>
      </c>
      <c r="E921" s="3" t="s">
        <v>35</v>
      </c>
    </row>
    <row r="922" spans="1:5" x14ac:dyDescent="0.3">
      <c r="A922" s="3" t="s">
        <v>666</v>
      </c>
      <c r="B922" s="3" t="s">
        <v>74</v>
      </c>
      <c r="C922" s="3" t="s">
        <v>667</v>
      </c>
      <c r="D922" s="4">
        <f t="shared" ca="1" si="12"/>
        <v>45666</v>
      </c>
      <c r="E922" s="3" t="s">
        <v>60</v>
      </c>
    </row>
    <row r="923" spans="1:5" x14ac:dyDescent="0.3">
      <c r="A923" s="3" t="s">
        <v>404</v>
      </c>
      <c r="B923" s="3" t="s">
        <v>118</v>
      </c>
      <c r="C923" s="3" t="s">
        <v>405</v>
      </c>
      <c r="D923" s="4">
        <f t="shared" ca="1" si="12"/>
        <v>45666</v>
      </c>
      <c r="E923" s="3" t="s">
        <v>56</v>
      </c>
    </row>
    <row r="924" spans="1:5" x14ac:dyDescent="0.3">
      <c r="A924" s="3" t="s">
        <v>234</v>
      </c>
      <c r="B924" s="3" t="s">
        <v>78</v>
      </c>
      <c r="C924" s="3" t="s">
        <v>711</v>
      </c>
      <c r="D924" s="4">
        <f t="shared" ca="1" si="12"/>
        <v>45666</v>
      </c>
      <c r="E924" s="3" t="s">
        <v>31</v>
      </c>
    </row>
    <row r="925" spans="1:5" x14ac:dyDescent="0.3">
      <c r="A925" s="3" t="s">
        <v>242</v>
      </c>
      <c r="B925" s="3" t="s">
        <v>93</v>
      </c>
      <c r="C925" s="3" t="s">
        <v>243</v>
      </c>
      <c r="D925" s="4">
        <f t="shared" ca="1" si="12"/>
        <v>45666</v>
      </c>
      <c r="E925" s="3" t="s">
        <v>31</v>
      </c>
    </row>
    <row r="926" spans="1:5" x14ac:dyDescent="0.3">
      <c r="A926" s="3" t="s">
        <v>595</v>
      </c>
      <c r="B926" s="3" t="s">
        <v>37</v>
      </c>
      <c r="C926" s="3" t="s">
        <v>216</v>
      </c>
      <c r="D926" s="4">
        <f t="shared" ca="1" si="12"/>
        <v>45666</v>
      </c>
      <c r="E926" s="3" t="s">
        <v>60</v>
      </c>
    </row>
    <row r="927" spans="1:5" x14ac:dyDescent="0.3">
      <c r="A927" s="3" t="s">
        <v>773</v>
      </c>
      <c r="B927" s="3" t="s">
        <v>774</v>
      </c>
      <c r="C927" s="3" t="s">
        <v>718</v>
      </c>
      <c r="D927" s="4">
        <f t="shared" ca="1" si="12"/>
        <v>45666</v>
      </c>
      <c r="E927" s="3" t="s">
        <v>60</v>
      </c>
    </row>
    <row r="928" spans="1:5" x14ac:dyDescent="0.3">
      <c r="A928" s="3" t="s">
        <v>271</v>
      </c>
      <c r="B928" s="3" t="s">
        <v>564</v>
      </c>
      <c r="C928" s="3" t="s">
        <v>565</v>
      </c>
      <c r="D928" s="4">
        <f t="shared" ca="1" si="12"/>
        <v>45666</v>
      </c>
      <c r="E928" s="3" t="s">
        <v>60</v>
      </c>
    </row>
    <row r="929" spans="1:5" x14ac:dyDescent="0.3">
      <c r="A929" s="3" t="s">
        <v>46</v>
      </c>
      <c r="B929" s="3" t="s">
        <v>47</v>
      </c>
      <c r="C929" s="3" t="s">
        <v>48</v>
      </c>
      <c r="D929" s="4">
        <f t="shared" ca="1" si="12"/>
        <v>45666</v>
      </c>
      <c r="E929" s="3" t="s">
        <v>27</v>
      </c>
    </row>
    <row r="930" spans="1:5" x14ac:dyDescent="0.3">
      <c r="A930" s="3" t="s">
        <v>269</v>
      </c>
      <c r="B930" s="3" t="s">
        <v>270</v>
      </c>
      <c r="C930" s="3" t="s">
        <v>241</v>
      </c>
      <c r="D930" s="4">
        <f t="shared" ca="1" si="12"/>
        <v>45666</v>
      </c>
      <c r="E930" s="3" t="s">
        <v>60</v>
      </c>
    </row>
    <row r="931" spans="1:5" x14ac:dyDescent="0.3">
      <c r="A931" s="3" t="s">
        <v>339</v>
      </c>
      <c r="B931" s="3" t="s">
        <v>397</v>
      </c>
      <c r="C931" s="3" t="s">
        <v>386</v>
      </c>
      <c r="D931" s="4">
        <f t="shared" ca="1" si="12"/>
        <v>45666</v>
      </c>
      <c r="E931" s="3" t="s">
        <v>60</v>
      </c>
    </row>
    <row r="932" spans="1:5" x14ac:dyDescent="0.3">
      <c r="A932" s="3" t="s">
        <v>77</v>
      </c>
      <c r="B932" s="3" t="s">
        <v>78</v>
      </c>
      <c r="C932" s="3" t="s">
        <v>79</v>
      </c>
      <c r="D932" s="4">
        <f t="shared" ca="1" si="12"/>
        <v>45666</v>
      </c>
      <c r="E932" s="3" t="s">
        <v>31</v>
      </c>
    </row>
    <row r="933" spans="1:5" x14ac:dyDescent="0.3">
      <c r="A933" s="3" t="s">
        <v>54</v>
      </c>
      <c r="B933" s="3" t="s">
        <v>37</v>
      </c>
      <c r="C933" s="3" t="s">
        <v>55</v>
      </c>
      <c r="D933" s="4">
        <f t="shared" ca="1" si="12"/>
        <v>45666</v>
      </c>
      <c r="E933" s="3" t="s">
        <v>56</v>
      </c>
    </row>
    <row r="934" spans="1:5" x14ac:dyDescent="0.3">
      <c r="A934" s="3" t="s">
        <v>682</v>
      </c>
      <c r="B934" s="3" t="s">
        <v>245</v>
      </c>
      <c r="C934" s="3" t="s">
        <v>683</v>
      </c>
      <c r="D934" s="4">
        <f t="shared" ca="1" si="12"/>
        <v>45666</v>
      </c>
      <c r="E934" s="3" t="s">
        <v>60</v>
      </c>
    </row>
    <row r="935" spans="1:5" x14ac:dyDescent="0.3">
      <c r="A935" s="3" t="s">
        <v>621</v>
      </c>
      <c r="B935" s="3" t="s">
        <v>295</v>
      </c>
      <c r="C935" s="3" t="s">
        <v>622</v>
      </c>
      <c r="D935" s="4">
        <f t="shared" ca="1" si="12"/>
        <v>45666</v>
      </c>
      <c r="E935" s="3" t="s">
        <v>31</v>
      </c>
    </row>
    <row r="936" spans="1:5" x14ac:dyDescent="0.3">
      <c r="A936" s="3" t="s">
        <v>219</v>
      </c>
      <c r="B936" s="3" t="s">
        <v>157</v>
      </c>
      <c r="C936" s="3" t="s">
        <v>220</v>
      </c>
      <c r="D936" s="4">
        <f t="shared" ca="1" si="12"/>
        <v>45666</v>
      </c>
      <c r="E936" s="3" t="s">
        <v>31</v>
      </c>
    </row>
    <row r="937" spans="1:5" x14ac:dyDescent="0.3">
      <c r="A937" s="3" t="s">
        <v>199</v>
      </c>
      <c r="B937" s="3" t="s">
        <v>157</v>
      </c>
      <c r="C937" s="3" t="s">
        <v>200</v>
      </c>
      <c r="D937" s="4">
        <f t="shared" ca="1" si="12"/>
        <v>45666</v>
      </c>
      <c r="E937" s="3" t="s">
        <v>60</v>
      </c>
    </row>
    <row r="938" spans="1:5" x14ac:dyDescent="0.3">
      <c r="A938" s="3" t="s">
        <v>723</v>
      </c>
      <c r="B938" s="3" t="s">
        <v>331</v>
      </c>
      <c r="C938" s="3" t="s">
        <v>724</v>
      </c>
      <c r="D938" s="4">
        <f t="shared" ca="1" si="12"/>
        <v>45666</v>
      </c>
      <c r="E938" s="3" t="s">
        <v>60</v>
      </c>
    </row>
    <row r="939" spans="1:5" x14ac:dyDescent="0.3">
      <c r="A939" s="3" t="s">
        <v>727</v>
      </c>
      <c r="B939" s="3" t="s">
        <v>50</v>
      </c>
      <c r="C939" s="3" t="s">
        <v>728</v>
      </c>
      <c r="D939" s="4">
        <f t="shared" ca="1" si="12"/>
        <v>45666</v>
      </c>
      <c r="E939" s="3" t="s">
        <v>60</v>
      </c>
    </row>
    <row r="940" spans="1:5" x14ac:dyDescent="0.3">
      <c r="A940" s="3" t="s">
        <v>560</v>
      </c>
      <c r="B940" s="3" t="s">
        <v>110</v>
      </c>
      <c r="C940" s="3" t="s">
        <v>561</v>
      </c>
      <c r="D940" s="4">
        <f t="shared" ca="1" si="12"/>
        <v>45666</v>
      </c>
      <c r="E940" s="3" t="s">
        <v>60</v>
      </c>
    </row>
    <row r="941" spans="1:5" x14ac:dyDescent="0.3">
      <c r="A941" s="3" t="s">
        <v>77</v>
      </c>
      <c r="B941" s="3" t="s">
        <v>78</v>
      </c>
      <c r="C941" s="3" t="s">
        <v>79</v>
      </c>
      <c r="D941" s="4">
        <f t="shared" ca="1" si="12"/>
        <v>45666</v>
      </c>
      <c r="E941" s="3" t="s">
        <v>31</v>
      </c>
    </row>
    <row r="942" spans="1:5" x14ac:dyDescent="0.3">
      <c r="A942" s="3" t="s">
        <v>758</v>
      </c>
      <c r="B942" s="3" t="s">
        <v>759</v>
      </c>
      <c r="C942" s="3" t="s">
        <v>396</v>
      </c>
      <c r="D942" s="4">
        <f t="shared" ca="1" si="12"/>
        <v>45666</v>
      </c>
      <c r="E942" s="3" t="s">
        <v>39</v>
      </c>
    </row>
    <row r="943" spans="1:5" x14ac:dyDescent="0.3">
      <c r="A943" s="3" t="s">
        <v>269</v>
      </c>
      <c r="B943" s="3" t="s">
        <v>270</v>
      </c>
      <c r="C943" s="3" t="s">
        <v>241</v>
      </c>
      <c r="D943" s="4">
        <f t="shared" ca="1" si="12"/>
        <v>45666</v>
      </c>
      <c r="E943" s="3" t="s">
        <v>60</v>
      </c>
    </row>
    <row r="944" spans="1:5" x14ac:dyDescent="0.3">
      <c r="A944" s="3" t="s">
        <v>675</v>
      </c>
      <c r="B944" s="3" t="s">
        <v>37</v>
      </c>
      <c r="C944" s="3" t="s">
        <v>676</v>
      </c>
      <c r="D944" s="4">
        <f t="shared" ca="1" si="12"/>
        <v>45666</v>
      </c>
      <c r="E944" s="3" t="s">
        <v>35</v>
      </c>
    </row>
    <row r="945" spans="1:5" x14ac:dyDescent="0.3">
      <c r="A945" s="3" t="s">
        <v>89</v>
      </c>
      <c r="B945" s="3" t="s">
        <v>261</v>
      </c>
      <c r="C945" s="3" t="s">
        <v>262</v>
      </c>
      <c r="D945" s="4">
        <f t="shared" ca="1" si="12"/>
        <v>45666</v>
      </c>
      <c r="E945" s="3" t="s">
        <v>39</v>
      </c>
    </row>
    <row r="946" spans="1:5" x14ac:dyDescent="0.3">
      <c r="A946" s="3" t="s">
        <v>406</v>
      </c>
      <c r="B946" s="3" t="s">
        <v>44</v>
      </c>
      <c r="C946" s="3" t="s">
        <v>340</v>
      </c>
      <c r="D946" s="4">
        <f t="shared" ca="1" si="12"/>
        <v>45666</v>
      </c>
      <c r="E946" s="3" t="s">
        <v>60</v>
      </c>
    </row>
    <row r="947" spans="1:5" x14ac:dyDescent="0.3">
      <c r="A947" s="3" t="s">
        <v>164</v>
      </c>
      <c r="B947" s="3" t="s">
        <v>165</v>
      </c>
      <c r="C947" s="3" t="s">
        <v>166</v>
      </c>
      <c r="D947" s="4">
        <f t="shared" ca="1" si="12"/>
        <v>45666</v>
      </c>
      <c r="E947" s="3" t="s">
        <v>31</v>
      </c>
    </row>
    <row r="948" spans="1:5" x14ac:dyDescent="0.3">
      <c r="A948" s="3" t="s">
        <v>219</v>
      </c>
      <c r="B948" s="3" t="s">
        <v>157</v>
      </c>
      <c r="C948" s="3" t="s">
        <v>220</v>
      </c>
      <c r="D948" s="4">
        <f t="shared" ca="1" si="12"/>
        <v>45666</v>
      </c>
      <c r="E948" s="3" t="s">
        <v>31</v>
      </c>
    </row>
    <row r="949" spans="1:5" x14ac:dyDescent="0.3">
      <c r="A949" s="3" t="s">
        <v>770</v>
      </c>
      <c r="B949" s="3" t="s">
        <v>47</v>
      </c>
      <c r="C949" s="3" t="s">
        <v>771</v>
      </c>
      <c r="D949" s="4">
        <f t="shared" ca="1" si="12"/>
        <v>45666</v>
      </c>
      <c r="E949" s="3" t="s">
        <v>60</v>
      </c>
    </row>
    <row r="950" spans="1:5" x14ac:dyDescent="0.3">
      <c r="A950" s="3" t="s">
        <v>778</v>
      </c>
      <c r="B950" s="3" t="s">
        <v>157</v>
      </c>
      <c r="C950" s="3" t="s">
        <v>431</v>
      </c>
      <c r="D950" s="4">
        <f t="shared" ca="1" si="12"/>
        <v>45666</v>
      </c>
      <c r="E950" s="3" t="s">
        <v>31</v>
      </c>
    </row>
    <row r="951" spans="1:5" x14ac:dyDescent="0.3">
      <c r="A951" s="3" t="s">
        <v>297</v>
      </c>
      <c r="B951" s="3" t="s">
        <v>298</v>
      </c>
      <c r="C951" s="3" t="s">
        <v>285</v>
      </c>
      <c r="D951" s="4">
        <f t="shared" ca="1" si="12"/>
        <v>45666</v>
      </c>
      <c r="E951" s="3" t="s">
        <v>56</v>
      </c>
    </row>
    <row r="952" spans="1:5" x14ac:dyDescent="0.3">
      <c r="A952" s="3" t="s">
        <v>773</v>
      </c>
      <c r="B952" s="3" t="s">
        <v>774</v>
      </c>
      <c r="C952" s="3" t="s">
        <v>718</v>
      </c>
      <c r="D952" s="4">
        <f t="shared" ca="1" si="12"/>
        <v>45666</v>
      </c>
      <c r="E952" s="3" t="s">
        <v>60</v>
      </c>
    </row>
    <row r="953" spans="1:5" x14ac:dyDescent="0.3">
      <c r="A953" s="3" t="s">
        <v>256</v>
      </c>
      <c r="B953" s="3" t="s">
        <v>312</v>
      </c>
      <c r="C953" s="3" t="s">
        <v>469</v>
      </c>
      <c r="D953" s="4">
        <f t="shared" ca="1" si="12"/>
        <v>45666</v>
      </c>
      <c r="E953" s="3" t="s">
        <v>60</v>
      </c>
    </row>
    <row r="954" spans="1:5" x14ac:dyDescent="0.3">
      <c r="A954" s="3" t="s">
        <v>531</v>
      </c>
      <c r="B954" s="3" t="s">
        <v>162</v>
      </c>
      <c r="C954" s="3" t="s">
        <v>714</v>
      </c>
      <c r="D954" s="4">
        <f t="shared" ca="1" si="12"/>
        <v>45666</v>
      </c>
      <c r="E954" s="3" t="s">
        <v>39</v>
      </c>
    </row>
    <row r="955" spans="1:5" x14ac:dyDescent="0.3">
      <c r="A955" s="3" t="s">
        <v>470</v>
      </c>
      <c r="B955" s="3" t="s">
        <v>173</v>
      </c>
      <c r="C955" s="3" t="s">
        <v>471</v>
      </c>
      <c r="D955" s="4">
        <f t="shared" ca="1" si="12"/>
        <v>45666</v>
      </c>
      <c r="E955" s="3" t="s">
        <v>56</v>
      </c>
    </row>
    <row r="956" spans="1:5" x14ac:dyDescent="0.3">
      <c r="A956" s="3" t="s">
        <v>175</v>
      </c>
      <c r="B956" s="3" t="s">
        <v>47</v>
      </c>
      <c r="C956" s="3" t="s">
        <v>376</v>
      </c>
      <c r="D956" s="4">
        <f t="shared" ca="1" si="12"/>
        <v>45666</v>
      </c>
      <c r="E956" s="3" t="s">
        <v>31</v>
      </c>
    </row>
    <row r="957" spans="1:5" x14ac:dyDescent="0.3">
      <c r="A957" s="3" t="s">
        <v>109</v>
      </c>
      <c r="B957" s="3" t="s">
        <v>110</v>
      </c>
      <c r="C957" s="3" t="s">
        <v>111</v>
      </c>
      <c r="D957" s="4">
        <f t="shared" ca="1" si="12"/>
        <v>45666</v>
      </c>
      <c r="E957" s="3" t="s">
        <v>31</v>
      </c>
    </row>
    <row r="958" spans="1:5" x14ac:dyDescent="0.3">
      <c r="A958" s="3" t="s">
        <v>339</v>
      </c>
      <c r="B958" s="3" t="s">
        <v>87</v>
      </c>
      <c r="C958" s="3" t="s">
        <v>340</v>
      </c>
      <c r="D958" s="4">
        <f t="shared" ca="1" si="12"/>
        <v>45666</v>
      </c>
      <c r="E958" s="3" t="s">
        <v>35</v>
      </c>
    </row>
    <row r="959" spans="1:5" x14ac:dyDescent="0.3">
      <c r="A959" s="3" t="s">
        <v>64</v>
      </c>
      <c r="B959" s="3" t="s">
        <v>65</v>
      </c>
      <c r="C959" s="3" t="s">
        <v>66</v>
      </c>
      <c r="D959" s="4">
        <f t="shared" ca="1" si="12"/>
        <v>45666</v>
      </c>
      <c r="E959" s="3" t="s">
        <v>39</v>
      </c>
    </row>
    <row r="960" spans="1:5" x14ac:dyDescent="0.3">
      <c r="A960" s="3" t="s">
        <v>365</v>
      </c>
      <c r="B960" s="3" t="s">
        <v>58</v>
      </c>
      <c r="C960" s="3" t="s">
        <v>366</v>
      </c>
      <c r="D960" s="4">
        <f t="shared" ca="1" si="12"/>
        <v>45666</v>
      </c>
      <c r="E960" s="3" t="s">
        <v>39</v>
      </c>
    </row>
    <row r="961" spans="1:5" x14ac:dyDescent="0.3">
      <c r="A961" s="3" t="s">
        <v>779</v>
      </c>
      <c r="B961" s="3" t="s">
        <v>780</v>
      </c>
      <c r="C961" s="3" t="s">
        <v>781</v>
      </c>
      <c r="D961" s="4">
        <f t="shared" ca="1" si="12"/>
        <v>45666</v>
      </c>
      <c r="E961" s="3" t="s">
        <v>35</v>
      </c>
    </row>
    <row r="962" spans="1:5" x14ac:dyDescent="0.3">
      <c r="A962" s="3" t="s">
        <v>40</v>
      </c>
      <c r="B962" s="3" t="s">
        <v>41</v>
      </c>
      <c r="C962" s="3" t="s">
        <v>42</v>
      </c>
      <c r="D962" s="4">
        <f t="shared" ca="1" si="12"/>
        <v>45666</v>
      </c>
      <c r="E962" s="3" t="s">
        <v>39</v>
      </c>
    </row>
    <row r="963" spans="1:5" x14ac:dyDescent="0.3">
      <c r="A963" s="3" t="s">
        <v>779</v>
      </c>
      <c r="B963" s="3" t="s">
        <v>780</v>
      </c>
      <c r="C963" s="3" t="s">
        <v>781</v>
      </c>
      <c r="D963" s="4">
        <f t="shared" ca="1" si="12"/>
        <v>45666</v>
      </c>
      <c r="E963" s="3" t="s">
        <v>35</v>
      </c>
    </row>
    <row r="964" spans="1:5" x14ac:dyDescent="0.3">
      <c r="A964" s="3" t="s">
        <v>782</v>
      </c>
      <c r="B964" s="3" t="s">
        <v>98</v>
      </c>
      <c r="C964" s="3" t="s">
        <v>783</v>
      </c>
      <c r="D964" s="4">
        <f t="shared" ca="1" si="12"/>
        <v>45666</v>
      </c>
      <c r="E964" s="3" t="s">
        <v>39</v>
      </c>
    </row>
    <row r="965" spans="1:5" x14ac:dyDescent="0.3">
      <c r="A965" s="3" t="s">
        <v>612</v>
      </c>
      <c r="B965" s="3" t="s">
        <v>140</v>
      </c>
      <c r="C965" s="3" t="s">
        <v>613</v>
      </c>
      <c r="D965" s="4">
        <f t="shared" ca="1" si="12"/>
        <v>45666</v>
      </c>
      <c r="E965" s="3" t="s">
        <v>39</v>
      </c>
    </row>
    <row r="966" spans="1:5" x14ac:dyDescent="0.3">
      <c r="A966" s="3" t="s">
        <v>337</v>
      </c>
      <c r="B966" s="3" t="s">
        <v>65</v>
      </c>
      <c r="C966" s="3" t="s">
        <v>338</v>
      </c>
      <c r="D966" s="4">
        <f t="shared" ca="1" si="12"/>
        <v>45666</v>
      </c>
      <c r="E966" s="3" t="s">
        <v>56</v>
      </c>
    </row>
    <row r="967" spans="1:5" x14ac:dyDescent="0.3">
      <c r="A967" s="3" t="s">
        <v>784</v>
      </c>
      <c r="B967" s="3" t="s">
        <v>368</v>
      </c>
      <c r="C967" s="3" t="s">
        <v>785</v>
      </c>
      <c r="D967" s="4">
        <f t="shared" ca="1" si="12"/>
        <v>45666</v>
      </c>
      <c r="E967" s="3" t="s">
        <v>31</v>
      </c>
    </row>
    <row r="968" spans="1:5" x14ac:dyDescent="0.3">
      <c r="A968" s="3" t="s">
        <v>773</v>
      </c>
      <c r="B968" s="3" t="s">
        <v>774</v>
      </c>
      <c r="C968" s="3" t="s">
        <v>718</v>
      </c>
      <c r="D968" s="4">
        <f t="shared" ca="1" si="12"/>
        <v>45666</v>
      </c>
      <c r="E968" s="3" t="s">
        <v>60</v>
      </c>
    </row>
    <row r="969" spans="1:5" x14ac:dyDescent="0.3">
      <c r="A969" s="3" t="s">
        <v>73</v>
      </c>
      <c r="B969" s="3" t="s">
        <v>74</v>
      </c>
      <c r="C969" s="3" t="s">
        <v>75</v>
      </c>
      <c r="D969" s="4">
        <f t="shared" ca="1" si="12"/>
        <v>45666</v>
      </c>
      <c r="E969" s="3" t="s">
        <v>39</v>
      </c>
    </row>
    <row r="970" spans="1:5" x14ac:dyDescent="0.3">
      <c r="A970" s="3" t="s">
        <v>147</v>
      </c>
      <c r="B970" s="3" t="s">
        <v>65</v>
      </c>
      <c r="C970" s="3" t="s">
        <v>148</v>
      </c>
      <c r="D970" s="4">
        <f t="shared" ca="1" si="12"/>
        <v>45666</v>
      </c>
      <c r="E970" s="3" t="s">
        <v>56</v>
      </c>
    </row>
    <row r="971" spans="1:5" x14ac:dyDescent="0.3">
      <c r="A971" s="3" t="s">
        <v>370</v>
      </c>
      <c r="B971" s="3" t="s">
        <v>71</v>
      </c>
      <c r="C971" s="3" t="s">
        <v>371</v>
      </c>
      <c r="D971" s="4">
        <f t="shared" ca="1" si="12"/>
        <v>45666</v>
      </c>
      <c r="E971" s="3" t="s">
        <v>60</v>
      </c>
    </row>
    <row r="972" spans="1:5" x14ac:dyDescent="0.3">
      <c r="A972" s="3" t="s">
        <v>142</v>
      </c>
      <c r="B972" s="3" t="s">
        <v>87</v>
      </c>
      <c r="C972" s="3" t="s">
        <v>143</v>
      </c>
      <c r="D972" s="4">
        <f t="shared" ca="1" si="12"/>
        <v>45666</v>
      </c>
      <c r="E972" s="3" t="s">
        <v>27</v>
      </c>
    </row>
    <row r="973" spans="1:5" x14ac:dyDescent="0.3">
      <c r="A973" s="3" t="s">
        <v>598</v>
      </c>
      <c r="B973" s="3" t="s">
        <v>25</v>
      </c>
      <c r="C973" s="3" t="s">
        <v>599</v>
      </c>
      <c r="D973" s="4">
        <f t="shared" ca="1" si="12"/>
        <v>45666</v>
      </c>
      <c r="E973" s="3" t="s">
        <v>56</v>
      </c>
    </row>
    <row r="974" spans="1:5" x14ac:dyDescent="0.3">
      <c r="A974" s="3" t="s">
        <v>407</v>
      </c>
      <c r="B974" s="3" t="s">
        <v>87</v>
      </c>
      <c r="C974" s="3" t="s">
        <v>408</v>
      </c>
      <c r="D974" s="4">
        <f t="shared" ca="1" si="12"/>
        <v>45666</v>
      </c>
      <c r="E974" s="3" t="s">
        <v>39</v>
      </c>
    </row>
    <row r="975" spans="1:5" x14ac:dyDescent="0.3">
      <c r="A975" s="3" t="s">
        <v>52</v>
      </c>
      <c r="B975" s="3" t="s">
        <v>33</v>
      </c>
      <c r="C975" s="3" t="s">
        <v>53</v>
      </c>
      <c r="D975" s="4">
        <f t="shared" ca="1" si="12"/>
        <v>45666</v>
      </c>
      <c r="E975" s="3" t="s">
        <v>39</v>
      </c>
    </row>
    <row r="976" spans="1:5" x14ac:dyDescent="0.3">
      <c r="A976" s="3" t="s">
        <v>612</v>
      </c>
      <c r="B976" s="3" t="s">
        <v>140</v>
      </c>
      <c r="C976" s="3" t="s">
        <v>613</v>
      </c>
      <c r="D976" s="4">
        <f t="shared" ca="1" si="12"/>
        <v>45666</v>
      </c>
      <c r="E976" s="3" t="s">
        <v>39</v>
      </c>
    </row>
    <row r="977" spans="1:5" x14ac:dyDescent="0.3">
      <c r="A977" s="3" t="s">
        <v>588</v>
      </c>
      <c r="B977" s="3" t="s">
        <v>74</v>
      </c>
      <c r="C977" s="3" t="s">
        <v>216</v>
      </c>
      <c r="D977" s="4">
        <f t="shared" ca="1" si="12"/>
        <v>45666</v>
      </c>
      <c r="E977" s="3" t="s">
        <v>35</v>
      </c>
    </row>
    <row r="978" spans="1:5" x14ac:dyDescent="0.3">
      <c r="A978" s="3" t="s">
        <v>294</v>
      </c>
      <c r="B978" s="3" t="s">
        <v>295</v>
      </c>
      <c r="C978" s="3" t="s">
        <v>179</v>
      </c>
      <c r="D978" s="4">
        <f t="shared" ca="1" si="12"/>
        <v>45666</v>
      </c>
      <c r="E978" s="3" t="s">
        <v>27</v>
      </c>
    </row>
    <row r="979" spans="1:5" x14ac:dyDescent="0.3">
      <c r="A979" s="3" t="s">
        <v>614</v>
      </c>
      <c r="B979" s="3" t="s">
        <v>33</v>
      </c>
      <c r="C979" s="3" t="s">
        <v>615</v>
      </c>
      <c r="D979" s="4">
        <f t="shared" ca="1" si="12"/>
        <v>45666</v>
      </c>
      <c r="E979" s="3" t="s">
        <v>60</v>
      </c>
    </row>
    <row r="980" spans="1:5" x14ac:dyDescent="0.3">
      <c r="A980" s="3" t="s">
        <v>319</v>
      </c>
      <c r="B980" s="3" t="s">
        <v>98</v>
      </c>
      <c r="C980" s="3" t="s">
        <v>320</v>
      </c>
      <c r="D980" s="4">
        <f t="shared" ca="1" si="12"/>
        <v>45666</v>
      </c>
      <c r="E980" s="3" t="s">
        <v>56</v>
      </c>
    </row>
    <row r="981" spans="1:5" x14ac:dyDescent="0.3">
      <c r="A981" s="3" t="s">
        <v>612</v>
      </c>
      <c r="B981" s="3" t="s">
        <v>140</v>
      </c>
      <c r="C981" s="3" t="s">
        <v>613</v>
      </c>
      <c r="D981" s="4">
        <f t="shared" ca="1" si="12"/>
        <v>45666</v>
      </c>
      <c r="E981" s="3" t="s">
        <v>39</v>
      </c>
    </row>
    <row r="982" spans="1:5" x14ac:dyDescent="0.3">
      <c r="A982" s="3" t="s">
        <v>482</v>
      </c>
      <c r="B982" s="3" t="s">
        <v>157</v>
      </c>
      <c r="C982" s="3" t="s">
        <v>483</v>
      </c>
      <c r="D982" s="4">
        <f t="shared" ca="1" si="12"/>
        <v>45666</v>
      </c>
      <c r="E982" s="3" t="s">
        <v>35</v>
      </c>
    </row>
    <row r="983" spans="1:5" x14ac:dyDescent="0.3">
      <c r="A983" s="3" t="s">
        <v>311</v>
      </c>
      <c r="B983" s="3" t="s">
        <v>41</v>
      </c>
      <c r="C983" s="3" t="s">
        <v>63</v>
      </c>
      <c r="D983" s="4">
        <f t="shared" ca="1" si="12"/>
        <v>45666</v>
      </c>
      <c r="E983" s="3" t="s">
        <v>35</v>
      </c>
    </row>
    <row r="984" spans="1:5" x14ac:dyDescent="0.3">
      <c r="A984" s="3" t="s">
        <v>525</v>
      </c>
      <c r="B984" s="3" t="s">
        <v>326</v>
      </c>
      <c r="C984" s="3" t="s">
        <v>526</v>
      </c>
      <c r="D984" s="4">
        <f t="shared" ca="1" si="12"/>
        <v>45666</v>
      </c>
      <c r="E984" s="3" t="s">
        <v>39</v>
      </c>
    </row>
    <row r="985" spans="1:5" x14ac:dyDescent="0.3">
      <c r="A985" s="3" t="s">
        <v>124</v>
      </c>
      <c r="B985" s="3" t="s">
        <v>50</v>
      </c>
      <c r="C985" s="3" t="s">
        <v>231</v>
      </c>
      <c r="D985" s="4">
        <f t="shared" ca="1" si="12"/>
        <v>45666</v>
      </c>
      <c r="E985" s="3" t="s">
        <v>39</v>
      </c>
    </row>
    <row r="986" spans="1:5" x14ac:dyDescent="0.3">
      <c r="A986" s="3" t="s">
        <v>180</v>
      </c>
      <c r="B986" s="3" t="s">
        <v>50</v>
      </c>
      <c r="C986" s="3" t="s">
        <v>181</v>
      </c>
      <c r="D986" s="4">
        <f t="shared" ca="1" si="12"/>
        <v>45666</v>
      </c>
      <c r="E986" s="3" t="s">
        <v>39</v>
      </c>
    </row>
    <row r="987" spans="1:5" x14ac:dyDescent="0.3">
      <c r="A987" s="3" t="s">
        <v>355</v>
      </c>
      <c r="B987" s="3" t="s">
        <v>356</v>
      </c>
      <c r="C987" s="3" t="s">
        <v>357</v>
      </c>
      <c r="D987" s="4">
        <f t="shared" ca="1" si="12"/>
        <v>45666</v>
      </c>
      <c r="E987" s="3" t="s">
        <v>56</v>
      </c>
    </row>
    <row r="988" spans="1:5" x14ac:dyDescent="0.3">
      <c r="A988" s="3" t="s">
        <v>506</v>
      </c>
      <c r="B988" s="3" t="s">
        <v>157</v>
      </c>
      <c r="C988" s="3" t="s">
        <v>507</v>
      </c>
      <c r="D988" s="4">
        <f t="shared" ca="1" si="12"/>
        <v>45666</v>
      </c>
      <c r="E988" s="3" t="s">
        <v>56</v>
      </c>
    </row>
    <row r="989" spans="1:5" x14ac:dyDescent="0.3">
      <c r="A989" s="3" t="s">
        <v>598</v>
      </c>
      <c r="B989" s="3" t="s">
        <v>25</v>
      </c>
      <c r="C989" s="3" t="s">
        <v>599</v>
      </c>
      <c r="D989" s="4">
        <f t="shared" ca="1" si="12"/>
        <v>45666</v>
      </c>
      <c r="E989" s="3" t="s">
        <v>56</v>
      </c>
    </row>
    <row r="990" spans="1:5" x14ac:dyDescent="0.3">
      <c r="A990" s="3" t="s">
        <v>778</v>
      </c>
      <c r="B990" s="3" t="s">
        <v>157</v>
      </c>
      <c r="C990" s="3" t="s">
        <v>431</v>
      </c>
      <c r="D990" s="4">
        <f t="shared" ref="D990:D1081" ca="1" si="13">TODAY()-341</f>
        <v>45696</v>
      </c>
      <c r="E990" s="3" t="s">
        <v>31</v>
      </c>
    </row>
    <row r="991" spans="1:5" x14ac:dyDescent="0.3">
      <c r="A991" s="3" t="s">
        <v>748</v>
      </c>
      <c r="B991" s="3" t="s">
        <v>193</v>
      </c>
      <c r="C991" s="3" t="s">
        <v>749</v>
      </c>
      <c r="D991" s="4">
        <f t="shared" ca="1" si="13"/>
        <v>45696</v>
      </c>
      <c r="E991" s="3" t="s">
        <v>56</v>
      </c>
    </row>
    <row r="992" spans="1:5" x14ac:dyDescent="0.3">
      <c r="A992" s="3" t="s">
        <v>660</v>
      </c>
      <c r="B992" s="3" t="s">
        <v>211</v>
      </c>
      <c r="C992" s="3" t="s">
        <v>661</v>
      </c>
      <c r="D992" s="4">
        <f t="shared" ca="1" si="13"/>
        <v>45696</v>
      </c>
      <c r="E992" s="3" t="s">
        <v>56</v>
      </c>
    </row>
    <row r="993" spans="1:5" x14ac:dyDescent="0.3">
      <c r="A993" s="3" t="s">
        <v>112</v>
      </c>
      <c r="B993" s="3" t="s">
        <v>65</v>
      </c>
      <c r="C993" s="3" t="s">
        <v>113</v>
      </c>
      <c r="D993" s="4">
        <f t="shared" ca="1" si="13"/>
        <v>45696</v>
      </c>
      <c r="E993" s="3" t="s">
        <v>27</v>
      </c>
    </row>
    <row r="994" spans="1:5" x14ac:dyDescent="0.3">
      <c r="A994" s="3" t="s">
        <v>135</v>
      </c>
      <c r="B994" s="3" t="s">
        <v>25</v>
      </c>
      <c r="C994" s="3" t="s">
        <v>136</v>
      </c>
      <c r="D994" s="4">
        <f t="shared" ca="1" si="13"/>
        <v>45696</v>
      </c>
      <c r="E994" s="3" t="s">
        <v>60</v>
      </c>
    </row>
    <row r="995" spans="1:5" x14ac:dyDescent="0.3">
      <c r="A995" s="3" t="s">
        <v>698</v>
      </c>
      <c r="B995" s="3" t="s">
        <v>275</v>
      </c>
      <c r="C995" s="3" t="s">
        <v>699</v>
      </c>
      <c r="D995" s="4">
        <f t="shared" ca="1" si="13"/>
        <v>45696</v>
      </c>
      <c r="E995" s="3" t="s">
        <v>27</v>
      </c>
    </row>
    <row r="996" spans="1:5" x14ac:dyDescent="0.3">
      <c r="A996" s="3" t="s">
        <v>161</v>
      </c>
      <c r="B996" s="3" t="s">
        <v>162</v>
      </c>
      <c r="C996" s="3" t="s">
        <v>163</v>
      </c>
      <c r="D996" s="4">
        <f t="shared" ca="1" si="13"/>
        <v>45696</v>
      </c>
      <c r="E996" s="3" t="s">
        <v>35</v>
      </c>
    </row>
    <row r="997" spans="1:5" x14ac:dyDescent="0.3">
      <c r="A997" s="3" t="s">
        <v>319</v>
      </c>
      <c r="B997" s="3" t="s">
        <v>98</v>
      </c>
      <c r="C997" s="3" t="s">
        <v>320</v>
      </c>
      <c r="D997" s="4">
        <f t="shared" ca="1" si="13"/>
        <v>45696</v>
      </c>
      <c r="E997" s="3" t="s">
        <v>56</v>
      </c>
    </row>
    <row r="998" spans="1:5" x14ac:dyDescent="0.3">
      <c r="A998" s="3" t="s">
        <v>604</v>
      </c>
      <c r="B998" s="3" t="s">
        <v>50</v>
      </c>
      <c r="C998" s="3" t="s">
        <v>786</v>
      </c>
      <c r="D998" s="4">
        <f t="shared" ca="1" si="13"/>
        <v>45696</v>
      </c>
      <c r="E998" s="3" t="s">
        <v>39</v>
      </c>
    </row>
    <row r="999" spans="1:5" x14ac:dyDescent="0.3">
      <c r="A999" s="3" t="s">
        <v>71</v>
      </c>
      <c r="B999" s="3" t="s">
        <v>50</v>
      </c>
      <c r="C999" s="3" t="s">
        <v>691</v>
      </c>
      <c r="D999" s="4">
        <f t="shared" ca="1" si="13"/>
        <v>45696</v>
      </c>
      <c r="E999" s="3" t="s">
        <v>31</v>
      </c>
    </row>
    <row r="1000" spans="1:5" x14ac:dyDescent="0.3">
      <c r="A1000" s="3" t="s">
        <v>445</v>
      </c>
      <c r="B1000" s="3" t="s">
        <v>446</v>
      </c>
      <c r="C1000" s="3" t="s">
        <v>447</v>
      </c>
      <c r="D1000" s="4">
        <f t="shared" ca="1" si="13"/>
        <v>45696</v>
      </c>
      <c r="E1000" s="3" t="s">
        <v>60</v>
      </c>
    </row>
    <row r="1001" spans="1:5" x14ac:dyDescent="0.3">
      <c r="A1001" s="3" t="s">
        <v>573</v>
      </c>
      <c r="B1001" s="3" t="s">
        <v>74</v>
      </c>
      <c r="C1001" s="3" t="s">
        <v>659</v>
      </c>
      <c r="D1001" s="4">
        <f t="shared" ca="1" si="13"/>
        <v>45696</v>
      </c>
      <c r="E1001" s="3" t="s">
        <v>31</v>
      </c>
    </row>
    <row r="1002" spans="1:5" x14ac:dyDescent="0.3">
      <c r="A1002" s="3" t="s">
        <v>487</v>
      </c>
      <c r="B1002" s="3" t="s">
        <v>140</v>
      </c>
      <c r="C1002" s="3" t="s">
        <v>488</v>
      </c>
      <c r="D1002" s="4">
        <f t="shared" ca="1" si="13"/>
        <v>45696</v>
      </c>
      <c r="E1002" s="3" t="s">
        <v>60</v>
      </c>
    </row>
    <row r="1003" spans="1:5" x14ac:dyDescent="0.3">
      <c r="A1003" s="3" t="s">
        <v>61</v>
      </c>
      <c r="B1003" s="3" t="s">
        <v>333</v>
      </c>
      <c r="C1003" s="3" t="s">
        <v>352</v>
      </c>
      <c r="D1003" s="4">
        <f t="shared" ca="1" si="13"/>
        <v>45696</v>
      </c>
      <c r="E1003" s="3" t="s">
        <v>31</v>
      </c>
    </row>
    <row r="1004" spans="1:5" x14ac:dyDescent="0.3">
      <c r="A1004" s="3" t="s">
        <v>784</v>
      </c>
      <c r="B1004" s="3" t="s">
        <v>368</v>
      </c>
      <c r="C1004" s="3" t="s">
        <v>785</v>
      </c>
      <c r="D1004" s="4">
        <f t="shared" ca="1" si="13"/>
        <v>45696</v>
      </c>
      <c r="E1004" s="3" t="s">
        <v>31</v>
      </c>
    </row>
    <row r="1005" spans="1:5" x14ac:dyDescent="0.3">
      <c r="A1005" s="3" t="s">
        <v>24</v>
      </c>
      <c r="B1005" s="3" t="s">
        <v>25</v>
      </c>
      <c r="C1005" s="3" t="s">
        <v>26</v>
      </c>
      <c r="D1005" s="4">
        <f t="shared" ca="1" si="13"/>
        <v>45696</v>
      </c>
      <c r="E1005" s="3" t="s">
        <v>27</v>
      </c>
    </row>
    <row r="1006" spans="1:5" x14ac:dyDescent="0.3">
      <c r="A1006" s="3" t="s">
        <v>499</v>
      </c>
      <c r="B1006" s="3" t="s">
        <v>165</v>
      </c>
      <c r="C1006" s="3" t="s">
        <v>500</v>
      </c>
      <c r="D1006" s="4">
        <f t="shared" ca="1" si="13"/>
        <v>45696</v>
      </c>
      <c r="E1006" s="3" t="s">
        <v>27</v>
      </c>
    </row>
    <row r="1007" spans="1:5" x14ac:dyDescent="0.3">
      <c r="A1007" s="3" t="s">
        <v>762</v>
      </c>
      <c r="B1007" s="3" t="s">
        <v>87</v>
      </c>
      <c r="C1007" s="3" t="s">
        <v>763</v>
      </c>
      <c r="D1007" s="4">
        <f t="shared" ca="1" si="13"/>
        <v>45696</v>
      </c>
      <c r="E1007" s="3" t="s">
        <v>35</v>
      </c>
    </row>
    <row r="1008" spans="1:5" x14ac:dyDescent="0.3">
      <c r="A1008" s="3" t="s">
        <v>598</v>
      </c>
      <c r="B1008" s="3" t="s">
        <v>25</v>
      </c>
      <c r="C1008" s="3" t="s">
        <v>599</v>
      </c>
      <c r="D1008" s="4">
        <f t="shared" ca="1" si="13"/>
        <v>45696</v>
      </c>
      <c r="E1008" s="3" t="s">
        <v>56</v>
      </c>
    </row>
    <row r="1009" spans="1:5" x14ac:dyDescent="0.3">
      <c r="A1009" s="3" t="s">
        <v>207</v>
      </c>
      <c r="B1009" s="3" t="s">
        <v>44</v>
      </c>
      <c r="C1009" s="3" t="s">
        <v>208</v>
      </c>
      <c r="D1009" s="4">
        <f t="shared" ca="1" si="13"/>
        <v>45696</v>
      </c>
      <c r="E1009" s="3" t="s">
        <v>60</v>
      </c>
    </row>
    <row r="1010" spans="1:5" x14ac:dyDescent="0.3">
      <c r="A1010" s="3" t="s">
        <v>177</v>
      </c>
      <c r="B1010" s="3" t="s">
        <v>178</v>
      </c>
      <c r="C1010" s="3" t="s">
        <v>179</v>
      </c>
      <c r="D1010" s="4">
        <f t="shared" ca="1" si="13"/>
        <v>45696</v>
      </c>
      <c r="E1010" s="3" t="s">
        <v>39</v>
      </c>
    </row>
    <row r="1011" spans="1:5" x14ac:dyDescent="0.3">
      <c r="A1011" s="3" t="s">
        <v>102</v>
      </c>
      <c r="B1011" s="3" t="s">
        <v>37</v>
      </c>
      <c r="C1011" s="3" t="s">
        <v>103</v>
      </c>
      <c r="D1011" s="4">
        <f t="shared" ca="1" si="13"/>
        <v>45696</v>
      </c>
      <c r="E1011" s="3" t="s">
        <v>35</v>
      </c>
    </row>
    <row r="1012" spans="1:5" x14ac:dyDescent="0.3">
      <c r="A1012" s="3" t="s">
        <v>325</v>
      </c>
      <c r="B1012" s="3" t="s">
        <v>37</v>
      </c>
      <c r="C1012" s="3" t="s">
        <v>468</v>
      </c>
      <c r="D1012" s="4">
        <f t="shared" ca="1" si="13"/>
        <v>45696</v>
      </c>
      <c r="E1012" s="3" t="s">
        <v>35</v>
      </c>
    </row>
    <row r="1013" spans="1:5" x14ac:dyDescent="0.3">
      <c r="A1013" s="3" t="s">
        <v>604</v>
      </c>
      <c r="B1013" s="3" t="s">
        <v>50</v>
      </c>
      <c r="C1013" s="3" t="s">
        <v>786</v>
      </c>
      <c r="D1013" s="4">
        <f t="shared" ca="1" si="13"/>
        <v>45696</v>
      </c>
      <c r="E1013" s="3" t="s">
        <v>39</v>
      </c>
    </row>
    <row r="1014" spans="1:5" x14ac:dyDescent="0.3">
      <c r="A1014" s="3" t="s">
        <v>288</v>
      </c>
      <c r="B1014" s="3" t="s">
        <v>37</v>
      </c>
      <c r="C1014" s="3" t="s">
        <v>787</v>
      </c>
      <c r="D1014" s="4">
        <f t="shared" ca="1" si="13"/>
        <v>45696</v>
      </c>
      <c r="E1014" s="3" t="s">
        <v>56</v>
      </c>
    </row>
    <row r="1015" spans="1:5" x14ac:dyDescent="0.3">
      <c r="A1015" s="3" t="s">
        <v>152</v>
      </c>
      <c r="B1015" s="3" t="s">
        <v>93</v>
      </c>
      <c r="C1015" s="3" t="s">
        <v>484</v>
      </c>
      <c r="D1015" s="4">
        <f t="shared" ca="1" si="13"/>
        <v>45696</v>
      </c>
      <c r="E1015" s="3" t="s">
        <v>27</v>
      </c>
    </row>
    <row r="1016" spans="1:5" x14ac:dyDescent="0.3">
      <c r="A1016" s="3" t="s">
        <v>70</v>
      </c>
      <c r="B1016" s="3" t="s">
        <v>71</v>
      </c>
      <c r="C1016" s="3" t="s">
        <v>72</v>
      </c>
      <c r="D1016" s="4">
        <f t="shared" ca="1" si="13"/>
        <v>45696</v>
      </c>
      <c r="E1016" s="3" t="s">
        <v>39</v>
      </c>
    </row>
    <row r="1017" spans="1:5" x14ac:dyDescent="0.3">
      <c r="A1017" s="3" t="s">
        <v>489</v>
      </c>
      <c r="B1017" s="3" t="s">
        <v>74</v>
      </c>
      <c r="C1017" s="3" t="s">
        <v>490</v>
      </c>
      <c r="D1017" s="4">
        <f t="shared" ca="1" si="13"/>
        <v>45696</v>
      </c>
      <c r="E1017" s="3" t="s">
        <v>35</v>
      </c>
    </row>
    <row r="1018" spans="1:5" x14ac:dyDescent="0.3">
      <c r="A1018" s="3" t="s">
        <v>343</v>
      </c>
      <c r="B1018" s="3" t="s">
        <v>157</v>
      </c>
      <c r="C1018" s="3" t="s">
        <v>486</v>
      </c>
      <c r="D1018" s="4">
        <f t="shared" ca="1" si="13"/>
        <v>45696</v>
      </c>
      <c r="E1018" s="3" t="s">
        <v>60</v>
      </c>
    </row>
    <row r="1019" spans="1:5" x14ac:dyDescent="0.3">
      <c r="A1019" s="3" t="s">
        <v>675</v>
      </c>
      <c r="B1019" s="3" t="s">
        <v>37</v>
      </c>
      <c r="C1019" s="3" t="s">
        <v>676</v>
      </c>
      <c r="D1019" s="4">
        <f t="shared" ca="1" si="13"/>
        <v>45696</v>
      </c>
      <c r="E1019" s="3" t="s">
        <v>35</v>
      </c>
    </row>
    <row r="1020" spans="1:5" x14ac:dyDescent="0.3">
      <c r="A1020" s="3" t="s">
        <v>104</v>
      </c>
      <c r="B1020" s="3" t="s">
        <v>25</v>
      </c>
      <c r="C1020" s="3" t="s">
        <v>583</v>
      </c>
      <c r="D1020" s="4">
        <f t="shared" ca="1" si="13"/>
        <v>45696</v>
      </c>
      <c r="E1020" s="3" t="s">
        <v>27</v>
      </c>
    </row>
    <row r="1021" spans="1:5" x14ac:dyDescent="0.3">
      <c r="A1021" s="3" t="s">
        <v>263</v>
      </c>
      <c r="B1021" s="3" t="s">
        <v>178</v>
      </c>
      <c r="C1021" s="3" t="s">
        <v>264</v>
      </c>
      <c r="D1021" s="4">
        <f t="shared" ca="1" si="13"/>
        <v>45696</v>
      </c>
      <c r="E1021" s="3" t="s">
        <v>60</v>
      </c>
    </row>
    <row r="1022" spans="1:5" x14ac:dyDescent="0.3">
      <c r="A1022" s="3" t="s">
        <v>614</v>
      </c>
      <c r="B1022" s="3" t="s">
        <v>33</v>
      </c>
      <c r="C1022" s="3" t="s">
        <v>615</v>
      </c>
      <c r="D1022" s="4">
        <f t="shared" ca="1" si="13"/>
        <v>45696</v>
      </c>
      <c r="E1022" s="3" t="s">
        <v>60</v>
      </c>
    </row>
    <row r="1023" spans="1:5" x14ac:dyDescent="0.3">
      <c r="A1023" s="3" t="s">
        <v>533</v>
      </c>
      <c r="B1023" s="3" t="s">
        <v>50</v>
      </c>
      <c r="C1023" s="3" t="s">
        <v>534</v>
      </c>
      <c r="D1023" s="4">
        <f t="shared" ca="1" si="13"/>
        <v>45696</v>
      </c>
      <c r="E1023" s="3" t="s">
        <v>60</v>
      </c>
    </row>
    <row r="1024" spans="1:5" x14ac:dyDescent="0.3">
      <c r="A1024" s="3" t="s">
        <v>422</v>
      </c>
      <c r="B1024" s="3" t="s">
        <v>423</v>
      </c>
      <c r="C1024" s="3" t="s">
        <v>424</v>
      </c>
      <c r="D1024" s="4">
        <f t="shared" ca="1" si="13"/>
        <v>45696</v>
      </c>
      <c r="E1024" s="3" t="s">
        <v>60</v>
      </c>
    </row>
    <row r="1025" spans="1:5" x14ac:dyDescent="0.3">
      <c r="A1025" s="3" t="s">
        <v>522</v>
      </c>
      <c r="B1025" s="3" t="s">
        <v>523</v>
      </c>
      <c r="C1025" s="3" t="s">
        <v>524</v>
      </c>
      <c r="D1025" s="4">
        <f t="shared" ca="1" si="13"/>
        <v>45696</v>
      </c>
      <c r="E1025" s="3" t="s">
        <v>35</v>
      </c>
    </row>
    <row r="1026" spans="1:5" x14ac:dyDescent="0.3">
      <c r="A1026" s="3" t="s">
        <v>281</v>
      </c>
      <c r="B1026" s="3" t="s">
        <v>74</v>
      </c>
      <c r="C1026" s="3" t="s">
        <v>282</v>
      </c>
      <c r="D1026" s="4">
        <f t="shared" ca="1" si="13"/>
        <v>45696</v>
      </c>
      <c r="E1026" s="3" t="s">
        <v>39</v>
      </c>
    </row>
    <row r="1027" spans="1:5" x14ac:dyDescent="0.3">
      <c r="A1027" s="3" t="s">
        <v>391</v>
      </c>
      <c r="B1027" s="3" t="s">
        <v>392</v>
      </c>
      <c r="C1027" s="3" t="s">
        <v>241</v>
      </c>
      <c r="D1027" s="4">
        <f t="shared" ca="1" si="13"/>
        <v>45696</v>
      </c>
      <c r="E1027" s="3" t="s">
        <v>39</v>
      </c>
    </row>
    <row r="1028" spans="1:5" x14ac:dyDescent="0.3">
      <c r="A1028" s="3" t="s">
        <v>139</v>
      </c>
      <c r="B1028" s="3" t="s">
        <v>446</v>
      </c>
      <c r="C1028" s="3" t="s">
        <v>788</v>
      </c>
      <c r="D1028" s="4">
        <f t="shared" ca="1" si="13"/>
        <v>45696</v>
      </c>
      <c r="E1028" s="3" t="s">
        <v>56</v>
      </c>
    </row>
    <row r="1029" spans="1:5" x14ac:dyDescent="0.3">
      <c r="A1029" s="3" t="s">
        <v>584</v>
      </c>
      <c r="B1029" s="3" t="s">
        <v>121</v>
      </c>
      <c r="C1029" s="3" t="s">
        <v>585</v>
      </c>
      <c r="D1029" s="4">
        <f t="shared" ca="1" si="13"/>
        <v>45696</v>
      </c>
      <c r="E1029" s="3" t="s">
        <v>39</v>
      </c>
    </row>
    <row r="1030" spans="1:5" x14ac:dyDescent="0.3">
      <c r="A1030" s="3" t="s">
        <v>547</v>
      </c>
      <c r="B1030" s="3" t="s">
        <v>47</v>
      </c>
      <c r="C1030" s="3" t="s">
        <v>548</v>
      </c>
      <c r="D1030" s="4">
        <f t="shared" ca="1" si="13"/>
        <v>45696</v>
      </c>
      <c r="E1030" s="3" t="s">
        <v>56</v>
      </c>
    </row>
    <row r="1031" spans="1:5" x14ac:dyDescent="0.3">
      <c r="A1031" s="3" t="s">
        <v>400</v>
      </c>
      <c r="B1031" s="3" t="s">
        <v>58</v>
      </c>
      <c r="C1031" s="3" t="s">
        <v>472</v>
      </c>
      <c r="D1031" s="4">
        <f t="shared" ca="1" si="13"/>
        <v>45696</v>
      </c>
      <c r="E1031" s="3" t="s">
        <v>27</v>
      </c>
    </row>
    <row r="1032" spans="1:5" x14ac:dyDescent="0.3">
      <c r="A1032" s="3" t="s">
        <v>696</v>
      </c>
      <c r="B1032" s="3" t="s">
        <v>74</v>
      </c>
      <c r="C1032" s="3" t="s">
        <v>697</v>
      </c>
      <c r="D1032" s="4">
        <f t="shared" ca="1" si="13"/>
        <v>45696</v>
      </c>
      <c r="E1032" s="3" t="s">
        <v>60</v>
      </c>
    </row>
    <row r="1033" spans="1:5" x14ac:dyDescent="0.3">
      <c r="A1033" s="3" t="s">
        <v>204</v>
      </c>
      <c r="B1033" s="3" t="s">
        <v>124</v>
      </c>
      <c r="C1033" s="3" t="s">
        <v>134</v>
      </c>
      <c r="D1033" s="4">
        <f t="shared" ca="1" si="13"/>
        <v>45696</v>
      </c>
      <c r="E1033" s="3" t="s">
        <v>60</v>
      </c>
    </row>
    <row r="1034" spans="1:5" x14ac:dyDescent="0.3">
      <c r="A1034" s="3" t="s">
        <v>650</v>
      </c>
      <c r="B1034" s="3" t="s">
        <v>298</v>
      </c>
      <c r="C1034" s="3" t="s">
        <v>789</v>
      </c>
      <c r="D1034" s="4">
        <f t="shared" ca="1" si="13"/>
        <v>45696</v>
      </c>
      <c r="E1034" s="3" t="s">
        <v>60</v>
      </c>
    </row>
    <row r="1035" spans="1:5" x14ac:dyDescent="0.3">
      <c r="A1035" s="3" t="s">
        <v>537</v>
      </c>
      <c r="B1035" s="3" t="s">
        <v>157</v>
      </c>
      <c r="C1035" s="3" t="s">
        <v>538</v>
      </c>
      <c r="D1035" s="4">
        <f t="shared" ca="1" si="13"/>
        <v>45696</v>
      </c>
      <c r="E1035" s="3" t="s">
        <v>31</v>
      </c>
    </row>
    <row r="1036" spans="1:5" x14ac:dyDescent="0.3">
      <c r="A1036" s="3" t="s">
        <v>404</v>
      </c>
      <c r="B1036" s="3" t="s">
        <v>118</v>
      </c>
      <c r="C1036" s="3" t="s">
        <v>405</v>
      </c>
      <c r="D1036" s="4">
        <f t="shared" ca="1" si="13"/>
        <v>45696</v>
      </c>
      <c r="E1036" s="3" t="s">
        <v>56</v>
      </c>
    </row>
    <row r="1037" spans="1:5" x14ac:dyDescent="0.3">
      <c r="A1037" s="3" t="s">
        <v>286</v>
      </c>
      <c r="B1037" s="3" t="s">
        <v>178</v>
      </c>
      <c r="C1037" s="3" t="s">
        <v>287</v>
      </c>
      <c r="D1037" s="4">
        <f t="shared" ca="1" si="13"/>
        <v>45696</v>
      </c>
      <c r="E1037" s="3" t="s">
        <v>60</v>
      </c>
    </row>
    <row r="1038" spans="1:5" x14ac:dyDescent="0.3">
      <c r="A1038" s="3" t="s">
        <v>495</v>
      </c>
      <c r="B1038" s="3" t="s">
        <v>37</v>
      </c>
      <c r="C1038" s="3" t="s">
        <v>496</v>
      </c>
      <c r="D1038" s="4">
        <f t="shared" ca="1" si="13"/>
        <v>45696</v>
      </c>
      <c r="E1038" s="3" t="s">
        <v>39</v>
      </c>
    </row>
    <row r="1039" spans="1:5" x14ac:dyDescent="0.3">
      <c r="A1039" s="3" t="s">
        <v>623</v>
      </c>
      <c r="B1039" s="3" t="s">
        <v>74</v>
      </c>
      <c r="C1039" s="3" t="s">
        <v>624</v>
      </c>
      <c r="D1039" s="4">
        <f t="shared" ca="1" si="13"/>
        <v>45696</v>
      </c>
      <c r="E1039" s="3" t="s">
        <v>35</v>
      </c>
    </row>
    <row r="1040" spans="1:5" x14ac:dyDescent="0.3">
      <c r="A1040" s="3" t="s">
        <v>604</v>
      </c>
      <c r="B1040" s="3" t="s">
        <v>50</v>
      </c>
      <c r="C1040" s="3" t="s">
        <v>786</v>
      </c>
      <c r="D1040" s="4">
        <f t="shared" ca="1" si="13"/>
        <v>45696</v>
      </c>
      <c r="E1040" s="3" t="s">
        <v>39</v>
      </c>
    </row>
    <row r="1041" spans="1:5" x14ac:dyDescent="0.3">
      <c r="A1041" s="3" t="s">
        <v>147</v>
      </c>
      <c r="B1041" s="3" t="s">
        <v>65</v>
      </c>
      <c r="C1041" s="3" t="s">
        <v>148</v>
      </c>
      <c r="D1041" s="4">
        <f t="shared" ca="1" si="13"/>
        <v>45696</v>
      </c>
      <c r="E1041" s="3" t="s">
        <v>56</v>
      </c>
    </row>
    <row r="1042" spans="1:5" x14ac:dyDescent="0.3">
      <c r="A1042" s="3" t="s">
        <v>531</v>
      </c>
      <c r="B1042" s="3" t="s">
        <v>193</v>
      </c>
      <c r="C1042" s="3" t="s">
        <v>532</v>
      </c>
      <c r="D1042" s="4">
        <f t="shared" ca="1" si="13"/>
        <v>45696</v>
      </c>
      <c r="E1042" s="3" t="s">
        <v>39</v>
      </c>
    </row>
    <row r="1043" spans="1:5" x14ac:dyDescent="0.3">
      <c r="A1043" s="3" t="s">
        <v>790</v>
      </c>
      <c r="B1043" s="3" t="s">
        <v>326</v>
      </c>
      <c r="C1043" s="3" t="s">
        <v>791</v>
      </c>
      <c r="D1043" s="4">
        <f t="shared" ca="1" si="13"/>
        <v>45696</v>
      </c>
      <c r="E1043" s="3" t="s">
        <v>56</v>
      </c>
    </row>
    <row r="1044" spans="1:5" x14ac:dyDescent="0.3">
      <c r="A1044" s="3" t="s">
        <v>252</v>
      </c>
      <c r="B1044" s="3" t="s">
        <v>50</v>
      </c>
      <c r="C1044" s="3" t="s">
        <v>253</v>
      </c>
      <c r="D1044" s="4">
        <f t="shared" ca="1" si="13"/>
        <v>45696</v>
      </c>
      <c r="E1044" s="3" t="s">
        <v>39</v>
      </c>
    </row>
    <row r="1045" spans="1:5" x14ac:dyDescent="0.3">
      <c r="A1045" s="3" t="s">
        <v>135</v>
      </c>
      <c r="B1045" s="3" t="s">
        <v>25</v>
      </c>
      <c r="C1045" s="3" t="s">
        <v>136</v>
      </c>
      <c r="D1045" s="4">
        <f t="shared" ca="1" si="13"/>
        <v>45696</v>
      </c>
      <c r="E1045" s="3" t="s">
        <v>60</v>
      </c>
    </row>
    <row r="1046" spans="1:5" x14ac:dyDescent="0.3">
      <c r="A1046" s="3" t="s">
        <v>95</v>
      </c>
      <c r="B1046" s="3" t="s">
        <v>58</v>
      </c>
      <c r="C1046" s="3" t="s">
        <v>96</v>
      </c>
      <c r="D1046" s="4">
        <f t="shared" ca="1" si="13"/>
        <v>45696</v>
      </c>
      <c r="E1046" s="3" t="s">
        <v>39</v>
      </c>
    </row>
    <row r="1047" spans="1:5" x14ac:dyDescent="0.3">
      <c r="A1047" s="3" t="s">
        <v>792</v>
      </c>
      <c r="B1047" s="3" t="s">
        <v>58</v>
      </c>
      <c r="C1047" s="3" t="s">
        <v>793</v>
      </c>
      <c r="D1047" s="4">
        <f t="shared" ca="1" si="13"/>
        <v>45696</v>
      </c>
      <c r="E1047" s="3" t="s">
        <v>39</v>
      </c>
    </row>
    <row r="1048" spans="1:5" x14ac:dyDescent="0.3">
      <c r="A1048" s="3" t="s">
        <v>242</v>
      </c>
      <c r="B1048" s="3" t="s">
        <v>93</v>
      </c>
      <c r="C1048" s="3" t="s">
        <v>243</v>
      </c>
      <c r="D1048" s="4">
        <f t="shared" ca="1" si="13"/>
        <v>45696</v>
      </c>
      <c r="E1048" s="3" t="s">
        <v>31</v>
      </c>
    </row>
    <row r="1049" spans="1:5" x14ac:dyDescent="0.3">
      <c r="A1049" s="3" t="s">
        <v>409</v>
      </c>
      <c r="B1049" s="3" t="s">
        <v>392</v>
      </c>
      <c r="C1049" s="3" t="s">
        <v>410</v>
      </c>
      <c r="D1049" s="4">
        <f t="shared" ca="1" si="13"/>
        <v>45696</v>
      </c>
      <c r="E1049" s="3" t="s">
        <v>35</v>
      </c>
    </row>
    <row r="1050" spans="1:5" x14ac:dyDescent="0.3">
      <c r="A1050" s="3" t="s">
        <v>600</v>
      </c>
      <c r="B1050" s="3" t="s">
        <v>71</v>
      </c>
      <c r="C1050" s="3" t="s">
        <v>601</v>
      </c>
      <c r="D1050" s="4">
        <f t="shared" ca="1" si="13"/>
        <v>45696</v>
      </c>
      <c r="E1050" s="3" t="s">
        <v>56</v>
      </c>
    </row>
    <row r="1051" spans="1:5" x14ac:dyDescent="0.3">
      <c r="A1051" s="3" t="s">
        <v>323</v>
      </c>
      <c r="B1051" s="3" t="s">
        <v>50</v>
      </c>
      <c r="C1051" s="3" t="s">
        <v>324</v>
      </c>
      <c r="D1051" s="4">
        <f t="shared" ca="1" si="13"/>
        <v>45696</v>
      </c>
      <c r="E1051" s="3" t="s">
        <v>39</v>
      </c>
    </row>
    <row r="1052" spans="1:5" x14ac:dyDescent="0.3">
      <c r="A1052" s="3" t="s">
        <v>247</v>
      </c>
      <c r="B1052" s="3" t="s">
        <v>118</v>
      </c>
      <c r="C1052" s="3" t="s">
        <v>248</v>
      </c>
      <c r="D1052" s="4">
        <f t="shared" ca="1" si="13"/>
        <v>45696</v>
      </c>
      <c r="E1052" s="3" t="s">
        <v>35</v>
      </c>
    </row>
    <row r="1053" spans="1:5" x14ac:dyDescent="0.3">
      <c r="A1053" s="3" t="s">
        <v>731</v>
      </c>
      <c r="B1053" s="3" t="s">
        <v>93</v>
      </c>
      <c r="C1053" s="3" t="s">
        <v>732</v>
      </c>
      <c r="D1053" s="4">
        <f t="shared" ca="1" si="13"/>
        <v>45696</v>
      </c>
      <c r="E1053" s="3" t="s">
        <v>60</v>
      </c>
    </row>
    <row r="1054" spans="1:5" x14ac:dyDescent="0.3">
      <c r="A1054" s="3" t="s">
        <v>265</v>
      </c>
      <c r="B1054" s="3" t="s">
        <v>33</v>
      </c>
      <c r="C1054" s="3" t="s">
        <v>266</v>
      </c>
      <c r="D1054" s="4">
        <f t="shared" ca="1" si="13"/>
        <v>45696</v>
      </c>
      <c r="E1054" s="3" t="s">
        <v>56</v>
      </c>
    </row>
    <row r="1055" spans="1:5" x14ac:dyDescent="0.3">
      <c r="A1055" s="3" t="s">
        <v>571</v>
      </c>
      <c r="B1055" s="3" t="s">
        <v>245</v>
      </c>
      <c r="C1055" s="3" t="s">
        <v>572</v>
      </c>
      <c r="D1055" s="4">
        <f t="shared" ca="1" si="13"/>
        <v>45696</v>
      </c>
      <c r="E1055" s="3" t="s">
        <v>60</v>
      </c>
    </row>
    <row r="1056" spans="1:5" x14ac:dyDescent="0.3">
      <c r="A1056" s="3" t="s">
        <v>236</v>
      </c>
      <c r="B1056" s="3" t="s">
        <v>65</v>
      </c>
      <c r="C1056" s="3" t="s">
        <v>237</v>
      </c>
      <c r="D1056" s="4">
        <f t="shared" ca="1" si="13"/>
        <v>45696</v>
      </c>
      <c r="E1056" s="3" t="s">
        <v>56</v>
      </c>
    </row>
    <row r="1057" spans="1:5" x14ac:dyDescent="0.3">
      <c r="A1057" s="3" t="s">
        <v>535</v>
      </c>
      <c r="B1057" s="3" t="s">
        <v>58</v>
      </c>
      <c r="C1057" s="3" t="s">
        <v>536</v>
      </c>
      <c r="D1057" s="4">
        <f t="shared" ca="1" si="13"/>
        <v>45696</v>
      </c>
      <c r="E1057" s="3" t="s">
        <v>27</v>
      </c>
    </row>
    <row r="1058" spans="1:5" x14ac:dyDescent="0.3">
      <c r="A1058" s="3" t="s">
        <v>238</v>
      </c>
      <c r="B1058" s="3" t="s">
        <v>157</v>
      </c>
      <c r="C1058" s="3" t="s">
        <v>239</v>
      </c>
      <c r="D1058" s="4">
        <f t="shared" ca="1" si="13"/>
        <v>45696</v>
      </c>
      <c r="E1058" s="3" t="s">
        <v>39</v>
      </c>
    </row>
    <row r="1059" spans="1:5" x14ac:dyDescent="0.3">
      <c r="A1059" s="3" t="s">
        <v>296</v>
      </c>
      <c r="B1059" s="3" t="s">
        <v>193</v>
      </c>
      <c r="C1059" s="3" t="s">
        <v>516</v>
      </c>
      <c r="D1059" s="4">
        <f t="shared" ca="1" si="13"/>
        <v>45696</v>
      </c>
      <c r="E1059" s="3" t="s">
        <v>60</v>
      </c>
    </row>
    <row r="1060" spans="1:5" x14ac:dyDescent="0.3">
      <c r="A1060" s="3" t="s">
        <v>700</v>
      </c>
      <c r="B1060" s="3" t="s">
        <v>162</v>
      </c>
      <c r="C1060" s="3" t="s">
        <v>701</v>
      </c>
      <c r="D1060" s="4">
        <f t="shared" ca="1" si="13"/>
        <v>45696</v>
      </c>
      <c r="E1060" s="3" t="s">
        <v>35</v>
      </c>
    </row>
    <row r="1061" spans="1:5" x14ac:dyDescent="0.3">
      <c r="A1061" s="3" t="s">
        <v>794</v>
      </c>
      <c r="B1061" s="3" t="s">
        <v>87</v>
      </c>
      <c r="C1061" s="3" t="s">
        <v>795</v>
      </c>
      <c r="D1061" s="4">
        <f t="shared" ca="1" si="13"/>
        <v>45696</v>
      </c>
      <c r="E1061" s="3" t="s">
        <v>35</v>
      </c>
    </row>
    <row r="1062" spans="1:5" x14ac:dyDescent="0.3">
      <c r="A1062" s="3" t="s">
        <v>629</v>
      </c>
      <c r="B1062" s="3" t="s">
        <v>93</v>
      </c>
      <c r="C1062" s="3" t="s">
        <v>630</v>
      </c>
      <c r="D1062" s="4">
        <f t="shared" ca="1" si="13"/>
        <v>45696</v>
      </c>
      <c r="E1062" s="3" t="s">
        <v>35</v>
      </c>
    </row>
    <row r="1063" spans="1:5" x14ac:dyDescent="0.3">
      <c r="A1063" s="3" t="s">
        <v>325</v>
      </c>
      <c r="B1063" s="3" t="s">
        <v>326</v>
      </c>
      <c r="C1063" s="3" t="s">
        <v>327</v>
      </c>
      <c r="D1063" s="4">
        <f t="shared" ca="1" si="13"/>
        <v>45696</v>
      </c>
      <c r="E1063" s="3" t="s">
        <v>39</v>
      </c>
    </row>
    <row r="1064" spans="1:5" x14ac:dyDescent="0.3">
      <c r="A1064" s="3" t="s">
        <v>588</v>
      </c>
      <c r="B1064" s="3" t="s">
        <v>245</v>
      </c>
      <c r="C1064" s="3" t="s">
        <v>796</v>
      </c>
      <c r="D1064" s="4">
        <f t="shared" ca="1" si="13"/>
        <v>45696</v>
      </c>
      <c r="E1064" s="3" t="s">
        <v>60</v>
      </c>
    </row>
    <row r="1065" spans="1:5" x14ac:dyDescent="0.3">
      <c r="A1065" s="3" t="s">
        <v>186</v>
      </c>
      <c r="B1065" s="3" t="s">
        <v>71</v>
      </c>
      <c r="C1065" s="3" t="s">
        <v>187</v>
      </c>
      <c r="D1065" s="4">
        <f t="shared" ca="1" si="13"/>
        <v>45696</v>
      </c>
      <c r="E1065" s="3" t="s">
        <v>39</v>
      </c>
    </row>
    <row r="1066" spans="1:5" x14ac:dyDescent="0.3">
      <c r="A1066" s="3" t="s">
        <v>529</v>
      </c>
      <c r="B1066" s="3" t="s">
        <v>58</v>
      </c>
      <c r="C1066" s="3" t="s">
        <v>530</v>
      </c>
      <c r="D1066" s="4">
        <f t="shared" ca="1" si="13"/>
        <v>45696</v>
      </c>
      <c r="E1066" s="3" t="s">
        <v>27</v>
      </c>
    </row>
    <row r="1067" spans="1:5" x14ac:dyDescent="0.3">
      <c r="A1067" s="3" t="s">
        <v>625</v>
      </c>
      <c r="B1067" s="3" t="s">
        <v>74</v>
      </c>
      <c r="C1067" s="3" t="s">
        <v>626</v>
      </c>
      <c r="D1067" s="4">
        <f t="shared" ca="1" si="13"/>
        <v>45696</v>
      </c>
      <c r="E1067" s="3" t="s">
        <v>39</v>
      </c>
    </row>
    <row r="1068" spans="1:5" x14ac:dyDescent="0.3">
      <c r="A1068" s="3" t="s">
        <v>339</v>
      </c>
      <c r="B1068" s="3" t="s">
        <v>87</v>
      </c>
      <c r="C1068" s="3" t="s">
        <v>340</v>
      </c>
      <c r="D1068" s="4">
        <f t="shared" ca="1" si="13"/>
        <v>45696</v>
      </c>
      <c r="E1068" s="3" t="s">
        <v>35</v>
      </c>
    </row>
    <row r="1069" spans="1:5" x14ac:dyDescent="0.3">
      <c r="A1069" s="3" t="s">
        <v>325</v>
      </c>
      <c r="B1069" s="3" t="s">
        <v>37</v>
      </c>
      <c r="C1069" s="3" t="s">
        <v>468</v>
      </c>
      <c r="D1069" s="4">
        <f t="shared" ca="1" si="13"/>
        <v>45696</v>
      </c>
      <c r="E1069" s="3" t="s">
        <v>35</v>
      </c>
    </row>
    <row r="1070" spans="1:5" x14ac:dyDescent="0.3">
      <c r="A1070" s="3" t="s">
        <v>28</v>
      </c>
      <c r="B1070" s="3" t="s">
        <v>29</v>
      </c>
      <c r="C1070" s="3" t="s">
        <v>30</v>
      </c>
      <c r="D1070" s="4">
        <f t="shared" ca="1" si="13"/>
        <v>45696</v>
      </c>
      <c r="E1070" s="3" t="s">
        <v>31</v>
      </c>
    </row>
    <row r="1071" spans="1:5" x14ac:dyDescent="0.3">
      <c r="A1071" s="3" t="s">
        <v>254</v>
      </c>
      <c r="B1071" s="3" t="s">
        <v>25</v>
      </c>
      <c r="C1071" s="3" t="s">
        <v>255</v>
      </c>
      <c r="D1071" s="4">
        <f t="shared" ca="1" si="13"/>
        <v>45696</v>
      </c>
      <c r="E1071" s="3" t="s">
        <v>35</v>
      </c>
    </row>
    <row r="1072" spans="1:5" x14ac:dyDescent="0.3">
      <c r="A1072" s="3" t="s">
        <v>124</v>
      </c>
      <c r="B1072" s="3" t="s">
        <v>50</v>
      </c>
      <c r="C1072" s="3" t="s">
        <v>231</v>
      </c>
      <c r="D1072" s="4">
        <f t="shared" ca="1" si="13"/>
        <v>45696</v>
      </c>
      <c r="E1072" s="3" t="s">
        <v>39</v>
      </c>
    </row>
    <row r="1073" spans="1:5" x14ac:dyDescent="0.3">
      <c r="A1073" s="3" t="s">
        <v>130</v>
      </c>
      <c r="B1073" s="3" t="s">
        <v>47</v>
      </c>
      <c r="C1073" s="3" t="s">
        <v>131</v>
      </c>
      <c r="D1073" s="4">
        <f t="shared" ca="1" si="13"/>
        <v>45696</v>
      </c>
      <c r="E1073" s="3" t="s">
        <v>56</v>
      </c>
    </row>
    <row r="1074" spans="1:5" x14ac:dyDescent="0.3">
      <c r="A1074" s="3" t="s">
        <v>213</v>
      </c>
      <c r="B1074" s="3" t="s">
        <v>87</v>
      </c>
      <c r="C1074" s="3" t="s">
        <v>214</v>
      </c>
      <c r="D1074" s="4">
        <f t="shared" ca="1" si="13"/>
        <v>45696</v>
      </c>
      <c r="E1074" s="3" t="s">
        <v>27</v>
      </c>
    </row>
    <row r="1075" spans="1:5" x14ac:dyDescent="0.3">
      <c r="A1075" s="3" t="s">
        <v>358</v>
      </c>
      <c r="B1075" s="3" t="s">
        <v>359</v>
      </c>
      <c r="C1075" s="3" t="s">
        <v>360</v>
      </c>
      <c r="D1075" s="4">
        <f t="shared" ca="1" si="13"/>
        <v>45696</v>
      </c>
      <c r="E1075" s="3" t="s">
        <v>56</v>
      </c>
    </row>
    <row r="1076" spans="1:5" x14ac:dyDescent="0.3">
      <c r="A1076" s="3" t="s">
        <v>425</v>
      </c>
      <c r="B1076" s="3" t="s">
        <v>165</v>
      </c>
      <c r="C1076" s="3" t="s">
        <v>426</v>
      </c>
      <c r="D1076" s="4">
        <f t="shared" ca="1" si="13"/>
        <v>45696</v>
      </c>
      <c r="E1076" s="3" t="s">
        <v>39</v>
      </c>
    </row>
    <row r="1077" spans="1:5" x14ac:dyDescent="0.3">
      <c r="A1077" s="3" t="s">
        <v>738</v>
      </c>
      <c r="B1077" s="3" t="s">
        <v>74</v>
      </c>
      <c r="C1077" s="3" t="s">
        <v>739</v>
      </c>
      <c r="D1077" s="4">
        <f t="shared" ca="1" si="13"/>
        <v>45696</v>
      </c>
      <c r="E1077" s="3" t="s">
        <v>31</v>
      </c>
    </row>
    <row r="1078" spans="1:5" x14ac:dyDescent="0.3">
      <c r="A1078" s="3" t="s">
        <v>137</v>
      </c>
      <c r="B1078" s="3" t="s">
        <v>87</v>
      </c>
      <c r="C1078" s="3" t="s">
        <v>138</v>
      </c>
      <c r="D1078" s="4">
        <f t="shared" ca="1" si="13"/>
        <v>45696</v>
      </c>
      <c r="E1078" s="3" t="s">
        <v>56</v>
      </c>
    </row>
    <row r="1079" spans="1:5" x14ac:dyDescent="0.3">
      <c r="A1079" s="3" t="s">
        <v>756</v>
      </c>
      <c r="B1079" s="3" t="s">
        <v>93</v>
      </c>
      <c r="C1079" s="3" t="s">
        <v>757</v>
      </c>
      <c r="D1079" s="4">
        <f t="shared" ca="1" si="13"/>
        <v>45696</v>
      </c>
      <c r="E1079" s="3" t="s">
        <v>56</v>
      </c>
    </row>
    <row r="1080" spans="1:5" x14ac:dyDescent="0.3">
      <c r="A1080" s="3" t="s">
        <v>797</v>
      </c>
      <c r="B1080" s="3" t="s">
        <v>695</v>
      </c>
      <c r="C1080" s="3" t="s">
        <v>798</v>
      </c>
      <c r="D1080" s="4">
        <f t="shared" ca="1" si="13"/>
        <v>45696</v>
      </c>
      <c r="E1080" s="3" t="s">
        <v>60</v>
      </c>
    </row>
    <row r="1081" spans="1:5" x14ac:dyDescent="0.3">
      <c r="A1081" s="3" t="s">
        <v>117</v>
      </c>
      <c r="B1081" s="3" t="s">
        <v>118</v>
      </c>
      <c r="C1081" s="3" t="s">
        <v>119</v>
      </c>
      <c r="D1081" s="4">
        <f t="shared" ca="1" si="13"/>
        <v>45696</v>
      </c>
      <c r="E1081" s="3" t="s">
        <v>60</v>
      </c>
    </row>
    <row r="1082" spans="1:5" x14ac:dyDescent="0.3">
      <c r="A1082" s="3" t="s">
        <v>102</v>
      </c>
      <c r="B1082" s="3" t="s">
        <v>25</v>
      </c>
      <c r="C1082" s="3" t="s">
        <v>742</v>
      </c>
      <c r="D1082" s="4">
        <f t="shared" ref="D1082:D1174" ca="1" si="14">TODAY()-310</f>
        <v>45727</v>
      </c>
      <c r="E1082" s="3" t="s">
        <v>31</v>
      </c>
    </row>
    <row r="1083" spans="1:5" x14ac:dyDescent="0.3">
      <c r="A1083" s="3" t="s">
        <v>653</v>
      </c>
      <c r="B1083" s="3" t="s">
        <v>58</v>
      </c>
      <c r="C1083" s="3" t="s">
        <v>654</v>
      </c>
      <c r="D1083" s="4">
        <f t="shared" ca="1" si="14"/>
        <v>45727</v>
      </c>
      <c r="E1083" s="3" t="s">
        <v>60</v>
      </c>
    </row>
    <row r="1084" spans="1:5" x14ac:dyDescent="0.3">
      <c r="A1084" s="3" t="s">
        <v>271</v>
      </c>
      <c r="B1084" s="3" t="s">
        <v>564</v>
      </c>
      <c r="C1084" s="3" t="s">
        <v>565</v>
      </c>
      <c r="D1084" s="4">
        <f t="shared" ca="1" si="14"/>
        <v>45727</v>
      </c>
      <c r="E1084" s="3" t="s">
        <v>60</v>
      </c>
    </row>
    <row r="1085" spans="1:5" x14ac:dyDescent="0.3">
      <c r="A1085" s="3" t="s">
        <v>778</v>
      </c>
      <c r="B1085" s="3" t="s">
        <v>157</v>
      </c>
      <c r="C1085" s="3" t="s">
        <v>431</v>
      </c>
      <c r="D1085" s="4">
        <f t="shared" ca="1" si="14"/>
        <v>45727</v>
      </c>
      <c r="E1085" s="3" t="s">
        <v>31</v>
      </c>
    </row>
    <row r="1086" spans="1:5" x14ac:dyDescent="0.3">
      <c r="A1086" s="3" t="s">
        <v>748</v>
      </c>
      <c r="B1086" s="3" t="s">
        <v>193</v>
      </c>
      <c r="C1086" s="3" t="s">
        <v>749</v>
      </c>
      <c r="D1086" s="4">
        <f t="shared" ca="1" si="14"/>
        <v>45727</v>
      </c>
      <c r="E1086" s="3" t="s">
        <v>56</v>
      </c>
    </row>
    <row r="1087" spans="1:5" x14ac:dyDescent="0.3">
      <c r="A1087" s="3" t="s">
        <v>276</v>
      </c>
      <c r="B1087" s="3" t="s">
        <v>50</v>
      </c>
      <c r="C1087" s="3" t="s">
        <v>277</v>
      </c>
      <c r="D1087" s="4">
        <f t="shared" ca="1" si="14"/>
        <v>45727</v>
      </c>
      <c r="E1087" s="3" t="s">
        <v>60</v>
      </c>
    </row>
    <row r="1088" spans="1:5" x14ac:dyDescent="0.3">
      <c r="A1088" s="3" t="s">
        <v>766</v>
      </c>
      <c r="B1088" s="3" t="s">
        <v>331</v>
      </c>
      <c r="C1088" s="3" t="s">
        <v>767</v>
      </c>
      <c r="D1088" s="4">
        <f t="shared" ca="1" si="14"/>
        <v>45727</v>
      </c>
      <c r="E1088" s="3" t="s">
        <v>60</v>
      </c>
    </row>
    <row r="1089" spans="1:5" x14ac:dyDescent="0.3">
      <c r="A1089" s="3" t="s">
        <v>621</v>
      </c>
      <c r="B1089" s="3" t="s">
        <v>295</v>
      </c>
      <c r="C1089" s="3" t="s">
        <v>622</v>
      </c>
      <c r="D1089" s="4">
        <f t="shared" ca="1" si="14"/>
        <v>45727</v>
      </c>
      <c r="E1089" s="3" t="s">
        <v>31</v>
      </c>
    </row>
    <row r="1090" spans="1:5" x14ac:dyDescent="0.3">
      <c r="A1090" s="3" t="s">
        <v>489</v>
      </c>
      <c r="B1090" s="3" t="s">
        <v>74</v>
      </c>
      <c r="C1090" s="3" t="s">
        <v>490</v>
      </c>
      <c r="D1090" s="4">
        <f t="shared" ca="1" si="14"/>
        <v>45727</v>
      </c>
      <c r="E1090" s="3" t="s">
        <v>35</v>
      </c>
    </row>
    <row r="1091" spans="1:5" x14ac:dyDescent="0.3">
      <c r="A1091" s="3" t="s">
        <v>159</v>
      </c>
      <c r="B1091" s="3" t="s">
        <v>65</v>
      </c>
      <c r="C1091" s="3" t="s">
        <v>160</v>
      </c>
      <c r="D1091" s="4">
        <f t="shared" ca="1" si="14"/>
        <v>45727</v>
      </c>
      <c r="E1091" s="3" t="s">
        <v>27</v>
      </c>
    </row>
    <row r="1092" spans="1:5" x14ac:dyDescent="0.3">
      <c r="A1092" s="3" t="s">
        <v>452</v>
      </c>
      <c r="B1092" s="3" t="s">
        <v>453</v>
      </c>
      <c r="C1092" s="3" t="s">
        <v>454</v>
      </c>
      <c r="D1092" s="4">
        <f t="shared" ca="1" si="14"/>
        <v>45727</v>
      </c>
      <c r="E1092" s="3" t="s">
        <v>35</v>
      </c>
    </row>
    <row r="1093" spans="1:5" x14ac:dyDescent="0.3">
      <c r="A1093" s="3" t="s">
        <v>106</v>
      </c>
      <c r="B1093" s="3" t="s">
        <v>107</v>
      </c>
      <c r="C1093" s="3" t="s">
        <v>108</v>
      </c>
      <c r="D1093" s="4">
        <f t="shared" ca="1" si="14"/>
        <v>45727</v>
      </c>
      <c r="E1093" s="3" t="s">
        <v>31</v>
      </c>
    </row>
    <row r="1094" spans="1:5" x14ac:dyDescent="0.3">
      <c r="A1094" s="3" t="s">
        <v>170</v>
      </c>
      <c r="B1094" s="3" t="s">
        <v>25</v>
      </c>
      <c r="C1094" s="3" t="s">
        <v>171</v>
      </c>
      <c r="D1094" s="4">
        <f t="shared" ca="1" si="14"/>
        <v>45727</v>
      </c>
      <c r="E1094" s="3" t="s">
        <v>35</v>
      </c>
    </row>
    <row r="1095" spans="1:5" x14ac:dyDescent="0.3">
      <c r="A1095" s="3" t="s">
        <v>731</v>
      </c>
      <c r="B1095" s="3" t="s">
        <v>93</v>
      </c>
      <c r="C1095" s="3" t="s">
        <v>732</v>
      </c>
      <c r="D1095" s="4">
        <f t="shared" ca="1" si="14"/>
        <v>45727</v>
      </c>
      <c r="E1095" s="3" t="s">
        <v>60</v>
      </c>
    </row>
    <row r="1096" spans="1:5" x14ac:dyDescent="0.3">
      <c r="A1096" s="3" t="s">
        <v>281</v>
      </c>
      <c r="B1096" s="3" t="s">
        <v>74</v>
      </c>
      <c r="C1096" s="3" t="s">
        <v>282</v>
      </c>
      <c r="D1096" s="4">
        <f t="shared" ca="1" si="14"/>
        <v>45727</v>
      </c>
      <c r="E1096" s="3" t="s">
        <v>39</v>
      </c>
    </row>
    <row r="1097" spans="1:5" x14ac:dyDescent="0.3">
      <c r="A1097" s="3" t="s">
        <v>588</v>
      </c>
      <c r="B1097" s="3" t="s">
        <v>74</v>
      </c>
      <c r="C1097" s="3" t="s">
        <v>216</v>
      </c>
      <c r="D1097" s="4">
        <f t="shared" ca="1" si="14"/>
        <v>45727</v>
      </c>
      <c r="E1097" s="3" t="s">
        <v>35</v>
      </c>
    </row>
    <row r="1098" spans="1:5" x14ac:dyDescent="0.3">
      <c r="A1098" s="3" t="s">
        <v>57</v>
      </c>
      <c r="B1098" s="3" t="s">
        <v>58</v>
      </c>
      <c r="C1098" s="3" t="s">
        <v>59</v>
      </c>
      <c r="D1098" s="4">
        <f t="shared" ca="1" si="14"/>
        <v>45727</v>
      </c>
      <c r="E1098" s="3" t="s">
        <v>60</v>
      </c>
    </row>
    <row r="1099" spans="1:5" x14ac:dyDescent="0.3">
      <c r="A1099" s="3" t="s">
        <v>314</v>
      </c>
      <c r="B1099" s="3" t="s">
        <v>351</v>
      </c>
      <c r="C1099" s="3" t="s">
        <v>352</v>
      </c>
      <c r="D1099" s="4">
        <f t="shared" ca="1" si="14"/>
        <v>45727</v>
      </c>
      <c r="E1099" s="3" t="s">
        <v>56</v>
      </c>
    </row>
    <row r="1100" spans="1:5" x14ac:dyDescent="0.3">
      <c r="A1100" s="3" t="s">
        <v>142</v>
      </c>
      <c r="B1100" s="3" t="s">
        <v>87</v>
      </c>
      <c r="C1100" s="3" t="s">
        <v>143</v>
      </c>
      <c r="D1100" s="4">
        <f t="shared" ca="1" si="14"/>
        <v>45727</v>
      </c>
      <c r="E1100" s="3" t="s">
        <v>27</v>
      </c>
    </row>
    <row r="1101" spans="1:5" x14ac:dyDescent="0.3">
      <c r="A1101" s="3" t="s">
        <v>745</v>
      </c>
      <c r="B1101" s="3" t="s">
        <v>58</v>
      </c>
      <c r="C1101" s="3" t="s">
        <v>334</v>
      </c>
      <c r="D1101" s="4">
        <f t="shared" ca="1" si="14"/>
        <v>45727</v>
      </c>
      <c r="E1101" s="3" t="s">
        <v>27</v>
      </c>
    </row>
    <row r="1102" spans="1:5" x14ac:dyDescent="0.3">
      <c r="A1102" s="3" t="s">
        <v>152</v>
      </c>
      <c r="B1102" s="3" t="s">
        <v>65</v>
      </c>
      <c r="C1102" s="3" t="s">
        <v>153</v>
      </c>
      <c r="D1102" s="4">
        <f t="shared" ca="1" si="14"/>
        <v>45727</v>
      </c>
      <c r="E1102" s="3" t="s">
        <v>27</v>
      </c>
    </row>
    <row r="1103" spans="1:5" x14ac:dyDescent="0.3">
      <c r="A1103" s="3" t="s">
        <v>506</v>
      </c>
      <c r="B1103" s="3" t="s">
        <v>157</v>
      </c>
      <c r="C1103" s="3" t="s">
        <v>507</v>
      </c>
      <c r="D1103" s="4">
        <f t="shared" ca="1" si="14"/>
        <v>45727</v>
      </c>
      <c r="E1103" s="3" t="s">
        <v>56</v>
      </c>
    </row>
    <row r="1104" spans="1:5" x14ac:dyDescent="0.3">
      <c r="A1104" s="3" t="s">
        <v>311</v>
      </c>
      <c r="B1104" s="3" t="s">
        <v>74</v>
      </c>
      <c r="C1104" s="3" t="s">
        <v>754</v>
      </c>
      <c r="D1104" s="4">
        <f t="shared" ca="1" si="14"/>
        <v>45727</v>
      </c>
      <c r="E1104" s="3" t="s">
        <v>27</v>
      </c>
    </row>
    <row r="1105" spans="1:5" x14ac:dyDescent="0.3">
      <c r="A1105" s="3" t="s">
        <v>144</v>
      </c>
      <c r="B1105" s="3" t="s">
        <v>552</v>
      </c>
      <c r="C1105" s="3" t="s">
        <v>262</v>
      </c>
      <c r="D1105" s="4">
        <f t="shared" ca="1" si="14"/>
        <v>45727</v>
      </c>
      <c r="E1105" s="3" t="s">
        <v>39</v>
      </c>
    </row>
    <row r="1106" spans="1:5" x14ac:dyDescent="0.3">
      <c r="A1106" s="3" t="s">
        <v>126</v>
      </c>
      <c r="B1106" s="3" t="s">
        <v>65</v>
      </c>
      <c r="C1106" s="3" t="s">
        <v>127</v>
      </c>
      <c r="D1106" s="4">
        <f t="shared" ca="1" si="14"/>
        <v>45727</v>
      </c>
      <c r="E1106" s="3" t="s">
        <v>35</v>
      </c>
    </row>
    <row r="1107" spans="1:5" x14ac:dyDescent="0.3">
      <c r="A1107" s="3" t="s">
        <v>184</v>
      </c>
      <c r="B1107" s="3" t="s">
        <v>87</v>
      </c>
      <c r="C1107" s="3" t="s">
        <v>316</v>
      </c>
      <c r="D1107" s="4">
        <f t="shared" ca="1" si="14"/>
        <v>45727</v>
      </c>
      <c r="E1107" s="3" t="s">
        <v>60</v>
      </c>
    </row>
    <row r="1108" spans="1:5" x14ac:dyDescent="0.3">
      <c r="A1108" s="3" t="s">
        <v>531</v>
      </c>
      <c r="B1108" s="3" t="s">
        <v>162</v>
      </c>
      <c r="C1108" s="3" t="s">
        <v>714</v>
      </c>
      <c r="D1108" s="4">
        <f t="shared" ca="1" si="14"/>
        <v>45727</v>
      </c>
      <c r="E1108" s="3" t="s">
        <v>39</v>
      </c>
    </row>
    <row r="1109" spans="1:5" x14ac:dyDescent="0.3">
      <c r="A1109" s="3" t="s">
        <v>395</v>
      </c>
      <c r="B1109" s="3" t="s">
        <v>37</v>
      </c>
      <c r="C1109" s="3" t="s">
        <v>396</v>
      </c>
      <c r="D1109" s="4">
        <f t="shared" ca="1" si="14"/>
        <v>45727</v>
      </c>
      <c r="E1109" s="3" t="s">
        <v>39</v>
      </c>
    </row>
    <row r="1110" spans="1:5" x14ac:dyDescent="0.3">
      <c r="A1110" s="3" t="s">
        <v>337</v>
      </c>
      <c r="B1110" s="3" t="s">
        <v>65</v>
      </c>
      <c r="C1110" s="3" t="s">
        <v>338</v>
      </c>
      <c r="D1110" s="4">
        <f t="shared" ca="1" si="14"/>
        <v>45727</v>
      </c>
      <c r="E1110" s="3" t="s">
        <v>56</v>
      </c>
    </row>
    <row r="1111" spans="1:5" x14ac:dyDescent="0.3">
      <c r="A1111" s="3" t="s">
        <v>353</v>
      </c>
      <c r="B1111" s="3" t="s">
        <v>50</v>
      </c>
      <c r="C1111" s="3" t="s">
        <v>354</v>
      </c>
      <c r="D1111" s="4">
        <f t="shared" ca="1" si="14"/>
        <v>45727</v>
      </c>
      <c r="E1111" s="3" t="s">
        <v>60</v>
      </c>
    </row>
    <row r="1112" spans="1:5" x14ac:dyDescent="0.3">
      <c r="A1112" s="3" t="s">
        <v>345</v>
      </c>
      <c r="B1112" s="3" t="s">
        <v>307</v>
      </c>
      <c r="C1112" s="3" t="s">
        <v>66</v>
      </c>
      <c r="D1112" s="4">
        <f t="shared" ca="1" si="14"/>
        <v>45727</v>
      </c>
      <c r="E1112" s="3" t="s">
        <v>31</v>
      </c>
    </row>
    <row r="1113" spans="1:5" x14ac:dyDescent="0.3">
      <c r="A1113" s="3" t="s">
        <v>112</v>
      </c>
      <c r="B1113" s="3" t="s">
        <v>65</v>
      </c>
      <c r="C1113" s="3" t="s">
        <v>113</v>
      </c>
      <c r="D1113" s="4">
        <f t="shared" ca="1" si="14"/>
        <v>45727</v>
      </c>
      <c r="E1113" s="3" t="s">
        <v>27</v>
      </c>
    </row>
    <row r="1114" spans="1:5" x14ac:dyDescent="0.3">
      <c r="A1114" s="3" t="s">
        <v>510</v>
      </c>
      <c r="B1114" s="3" t="s">
        <v>65</v>
      </c>
      <c r="C1114" s="3" t="s">
        <v>611</v>
      </c>
      <c r="D1114" s="4">
        <f t="shared" ca="1" si="14"/>
        <v>45727</v>
      </c>
      <c r="E1114" s="3" t="s">
        <v>35</v>
      </c>
    </row>
    <row r="1115" spans="1:5" x14ac:dyDescent="0.3">
      <c r="A1115" s="3" t="s">
        <v>555</v>
      </c>
      <c r="B1115" s="3" t="s">
        <v>37</v>
      </c>
      <c r="C1115" s="3" t="s">
        <v>556</v>
      </c>
      <c r="D1115" s="4">
        <f t="shared" ca="1" si="14"/>
        <v>45727</v>
      </c>
      <c r="E1115" s="3" t="s">
        <v>60</v>
      </c>
    </row>
    <row r="1116" spans="1:5" x14ac:dyDescent="0.3">
      <c r="A1116" s="3" t="s">
        <v>621</v>
      </c>
      <c r="B1116" s="3" t="s">
        <v>295</v>
      </c>
      <c r="C1116" s="3" t="s">
        <v>622</v>
      </c>
      <c r="D1116" s="4">
        <f t="shared" ca="1" si="14"/>
        <v>45727</v>
      </c>
      <c r="E1116" s="3" t="s">
        <v>31</v>
      </c>
    </row>
    <row r="1117" spans="1:5" x14ac:dyDescent="0.3">
      <c r="A1117" s="3" t="s">
        <v>142</v>
      </c>
      <c r="B1117" s="3" t="s">
        <v>87</v>
      </c>
      <c r="C1117" s="3" t="s">
        <v>143</v>
      </c>
      <c r="D1117" s="4">
        <f t="shared" ca="1" si="14"/>
        <v>45727</v>
      </c>
      <c r="E1117" s="3" t="s">
        <v>27</v>
      </c>
    </row>
    <row r="1118" spans="1:5" x14ac:dyDescent="0.3">
      <c r="A1118" s="3" t="s">
        <v>226</v>
      </c>
      <c r="B1118" s="3" t="s">
        <v>124</v>
      </c>
      <c r="C1118" s="3" t="s">
        <v>227</v>
      </c>
      <c r="D1118" s="4">
        <f t="shared" ca="1" si="14"/>
        <v>45727</v>
      </c>
      <c r="E1118" s="3" t="s">
        <v>39</v>
      </c>
    </row>
    <row r="1119" spans="1:5" x14ac:dyDescent="0.3">
      <c r="A1119" s="3" t="s">
        <v>510</v>
      </c>
      <c r="B1119" s="3" t="s">
        <v>87</v>
      </c>
      <c r="C1119" s="3" t="s">
        <v>511</v>
      </c>
      <c r="D1119" s="4">
        <f t="shared" ca="1" si="14"/>
        <v>45727</v>
      </c>
      <c r="E1119" s="3" t="s">
        <v>35</v>
      </c>
    </row>
    <row r="1120" spans="1:5" x14ac:dyDescent="0.3">
      <c r="A1120" s="3" t="s">
        <v>696</v>
      </c>
      <c r="B1120" s="3" t="s">
        <v>74</v>
      </c>
      <c r="C1120" s="3" t="s">
        <v>697</v>
      </c>
      <c r="D1120" s="4">
        <f t="shared" ca="1" si="14"/>
        <v>45727</v>
      </c>
      <c r="E1120" s="3" t="s">
        <v>60</v>
      </c>
    </row>
    <row r="1121" spans="1:5" x14ac:dyDescent="0.3">
      <c r="A1121" s="3" t="s">
        <v>395</v>
      </c>
      <c r="B1121" s="3" t="s">
        <v>477</v>
      </c>
      <c r="C1121" s="3" t="s">
        <v>478</v>
      </c>
      <c r="D1121" s="4">
        <f t="shared" ca="1" si="14"/>
        <v>45727</v>
      </c>
      <c r="E1121" s="3" t="s">
        <v>39</v>
      </c>
    </row>
    <row r="1122" spans="1:5" x14ac:dyDescent="0.3">
      <c r="A1122" s="3" t="s">
        <v>304</v>
      </c>
      <c r="B1122" s="3" t="s">
        <v>65</v>
      </c>
      <c r="C1122" s="3" t="s">
        <v>305</v>
      </c>
      <c r="D1122" s="4">
        <f t="shared" ca="1" si="14"/>
        <v>45727</v>
      </c>
      <c r="E1122" s="3" t="s">
        <v>27</v>
      </c>
    </row>
    <row r="1123" spans="1:5" x14ac:dyDescent="0.3">
      <c r="A1123" s="3" t="s">
        <v>159</v>
      </c>
      <c r="B1123" s="3" t="s">
        <v>65</v>
      </c>
      <c r="C1123" s="3" t="s">
        <v>160</v>
      </c>
      <c r="D1123" s="4">
        <f t="shared" ca="1" si="14"/>
        <v>45727</v>
      </c>
      <c r="E1123" s="3" t="s">
        <v>27</v>
      </c>
    </row>
    <row r="1124" spans="1:5" x14ac:dyDescent="0.3">
      <c r="A1124" s="3" t="s">
        <v>473</v>
      </c>
      <c r="B1124" s="3" t="s">
        <v>65</v>
      </c>
      <c r="C1124" s="3" t="s">
        <v>474</v>
      </c>
      <c r="D1124" s="4">
        <f t="shared" ca="1" si="14"/>
        <v>45727</v>
      </c>
      <c r="E1124" s="3" t="s">
        <v>60</v>
      </c>
    </row>
    <row r="1125" spans="1:5" x14ac:dyDescent="0.3">
      <c r="A1125" s="3" t="s">
        <v>631</v>
      </c>
      <c r="B1125" s="3" t="s">
        <v>33</v>
      </c>
      <c r="C1125" s="3" t="s">
        <v>79</v>
      </c>
      <c r="D1125" s="4">
        <f t="shared" ca="1" si="14"/>
        <v>45727</v>
      </c>
      <c r="E1125" s="3" t="s">
        <v>60</v>
      </c>
    </row>
    <row r="1126" spans="1:5" x14ac:dyDescent="0.3">
      <c r="A1126" s="3" t="s">
        <v>664</v>
      </c>
      <c r="B1126" s="3" t="s">
        <v>162</v>
      </c>
      <c r="C1126" s="3" t="s">
        <v>665</v>
      </c>
      <c r="D1126" s="4">
        <f t="shared" ca="1" si="14"/>
        <v>45727</v>
      </c>
      <c r="E1126" s="3" t="s">
        <v>39</v>
      </c>
    </row>
    <row r="1127" spans="1:5" x14ac:dyDescent="0.3">
      <c r="A1127" s="3" t="s">
        <v>192</v>
      </c>
      <c r="B1127" s="3" t="s">
        <v>193</v>
      </c>
      <c r="C1127" s="3" t="s">
        <v>194</v>
      </c>
      <c r="D1127" s="4">
        <f t="shared" ca="1" si="14"/>
        <v>45727</v>
      </c>
      <c r="E1127" s="3" t="s">
        <v>27</v>
      </c>
    </row>
    <row r="1128" spans="1:5" x14ac:dyDescent="0.3">
      <c r="A1128" s="3" t="s">
        <v>294</v>
      </c>
      <c r="B1128" s="3" t="s">
        <v>295</v>
      </c>
      <c r="C1128" s="3" t="s">
        <v>179</v>
      </c>
      <c r="D1128" s="4">
        <f t="shared" ca="1" si="14"/>
        <v>45727</v>
      </c>
      <c r="E1128" s="3" t="s">
        <v>27</v>
      </c>
    </row>
    <row r="1129" spans="1:5" x14ac:dyDescent="0.3">
      <c r="A1129" s="3" t="s">
        <v>361</v>
      </c>
      <c r="B1129" s="3" t="s">
        <v>65</v>
      </c>
      <c r="C1129" s="3" t="s">
        <v>715</v>
      </c>
      <c r="D1129" s="4">
        <f t="shared" ca="1" si="14"/>
        <v>45727</v>
      </c>
      <c r="E1129" s="3" t="s">
        <v>39</v>
      </c>
    </row>
    <row r="1130" spans="1:5" x14ac:dyDescent="0.3">
      <c r="A1130" s="3" t="s">
        <v>304</v>
      </c>
      <c r="B1130" s="3" t="s">
        <v>47</v>
      </c>
      <c r="C1130" s="3" t="s">
        <v>424</v>
      </c>
      <c r="D1130" s="4">
        <f t="shared" ca="1" si="14"/>
        <v>45727</v>
      </c>
      <c r="E1130" s="3" t="s">
        <v>27</v>
      </c>
    </row>
    <row r="1131" spans="1:5" x14ac:dyDescent="0.3">
      <c r="A1131" s="3" t="s">
        <v>304</v>
      </c>
      <c r="B1131" s="3" t="s">
        <v>65</v>
      </c>
      <c r="C1131" s="3" t="s">
        <v>305</v>
      </c>
      <c r="D1131" s="4">
        <f t="shared" ca="1" si="14"/>
        <v>45727</v>
      </c>
      <c r="E1131" s="3" t="s">
        <v>27</v>
      </c>
    </row>
    <row r="1132" spans="1:5" x14ac:dyDescent="0.3">
      <c r="A1132" s="3" t="s">
        <v>473</v>
      </c>
      <c r="B1132" s="3" t="s">
        <v>65</v>
      </c>
      <c r="C1132" s="3" t="s">
        <v>474</v>
      </c>
      <c r="D1132" s="4">
        <f t="shared" ca="1" si="14"/>
        <v>45727</v>
      </c>
      <c r="E1132" s="3" t="s">
        <v>60</v>
      </c>
    </row>
    <row r="1133" spans="1:5" x14ac:dyDescent="0.3">
      <c r="A1133" s="3" t="s">
        <v>443</v>
      </c>
      <c r="B1133" s="3" t="s">
        <v>368</v>
      </c>
      <c r="C1133" s="3" t="s">
        <v>444</v>
      </c>
      <c r="D1133" s="4">
        <f t="shared" ca="1" si="14"/>
        <v>45727</v>
      </c>
      <c r="E1133" s="3" t="s">
        <v>35</v>
      </c>
    </row>
    <row r="1134" spans="1:5" x14ac:dyDescent="0.3">
      <c r="A1134" s="3" t="s">
        <v>576</v>
      </c>
      <c r="B1134" s="3" t="s">
        <v>518</v>
      </c>
      <c r="C1134" s="3" t="s">
        <v>577</v>
      </c>
      <c r="D1134" s="4">
        <f t="shared" ca="1" si="14"/>
        <v>45727</v>
      </c>
      <c r="E1134" s="3" t="s">
        <v>60</v>
      </c>
    </row>
    <row r="1135" spans="1:5" x14ac:dyDescent="0.3">
      <c r="A1135" s="3" t="s">
        <v>686</v>
      </c>
      <c r="B1135" s="3" t="s">
        <v>607</v>
      </c>
      <c r="C1135" s="3" t="s">
        <v>241</v>
      </c>
      <c r="D1135" s="4">
        <f t="shared" ca="1" si="14"/>
        <v>45727</v>
      </c>
      <c r="E1135" s="3" t="s">
        <v>27</v>
      </c>
    </row>
    <row r="1136" spans="1:5" x14ac:dyDescent="0.3">
      <c r="A1136" s="3" t="s">
        <v>296</v>
      </c>
      <c r="B1136" s="3" t="s">
        <v>71</v>
      </c>
      <c r="C1136" s="3" t="s">
        <v>42</v>
      </c>
      <c r="D1136" s="4">
        <f t="shared" ca="1" si="14"/>
        <v>45727</v>
      </c>
      <c r="E1136" s="3" t="s">
        <v>56</v>
      </c>
    </row>
    <row r="1137" spans="1:5" x14ac:dyDescent="0.3">
      <c r="A1137" s="3" t="s">
        <v>770</v>
      </c>
      <c r="B1137" s="3" t="s">
        <v>47</v>
      </c>
      <c r="C1137" s="3" t="s">
        <v>771</v>
      </c>
      <c r="D1137" s="4">
        <f t="shared" ca="1" si="14"/>
        <v>45727</v>
      </c>
      <c r="E1137" s="3" t="s">
        <v>60</v>
      </c>
    </row>
    <row r="1138" spans="1:5" x14ac:dyDescent="0.3">
      <c r="A1138" s="3" t="s">
        <v>586</v>
      </c>
      <c r="B1138" s="3" t="s">
        <v>193</v>
      </c>
      <c r="C1138" s="3" t="s">
        <v>119</v>
      </c>
      <c r="D1138" s="4">
        <f t="shared" ca="1" si="14"/>
        <v>45727</v>
      </c>
      <c r="E1138" s="3" t="s">
        <v>60</v>
      </c>
    </row>
    <row r="1139" spans="1:5" x14ac:dyDescent="0.3">
      <c r="A1139" s="3" t="s">
        <v>224</v>
      </c>
      <c r="B1139" s="3" t="s">
        <v>193</v>
      </c>
      <c r="C1139" s="3" t="s">
        <v>225</v>
      </c>
      <c r="D1139" s="4">
        <f t="shared" ca="1" si="14"/>
        <v>45727</v>
      </c>
      <c r="E1139" s="3" t="s">
        <v>56</v>
      </c>
    </row>
    <row r="1140" spans="1:5" x14ac:dyDescent="0.3">
      <c r="A1140" s="3" t="s">
        <v>497</v>
      </c>
      <c r="B1140" s="3" t="s">
        <v>442</v>
      </c>
      <c r="C1140" s="3" t="s">
        <v>498</v>
      </c>
      <c r="D1140" s="4">
        <f t="shared" ca="1" si="14"/>
        <v>45727</v>
      </c>
      <c r="E1140" s="3" t="s">
        <v>35</v>
      </c>
    </row>
    <row r="1141" spans="1:5" x14ac:dyDescent="0.3">
      <c r="A1141" s="3" t="s">
        <v>64</v>
      </c>
      <c r="B1141" s="3" t="s">
        <v>65</v>
      </c>
      <c r="C1141" s="3" t="s">
        <v>66</v>
      </c>
      <c r="D1141" s="4">
        <f t="shared" ca="1" si="14"/>
        <v>45727</v>
      </c>
      <c r="E1141" s="3" t="s">
        <v>39</v>
      </c>
    </row>
    <row r="1142" spans="1:5" x14ac:dyDescent="0.3">
      <c r="A1142" s="3" t="s">
        <v>309</v>
      </c>
      <c r="B1142" s="3" t="s">
        <v>150</v>
      </c>
      <c r="C1142" s="3" t="s">
        <v>310</v>
      </c>
      <c r="D1142" s="4">
        <f t="shared" ca="1" si="14"/>
        <v>45727</v>
      </c>
      <c r="E1142" s="3" t="s">
        <v>56</v>
      </c>
    </row>
    <row r="1143" spans="1:5" x14ac:dyDescent="0.3">
      <c r="A1143" s="3" t="s">
        <v>375</v>
      </c>
      <c r="B1143" s="3" t="s">
        <v>50</v>
      </c>
      <c r="C1143" s="3" t="s">
        <v>411</v>
      </c>
      <c r="D1143" s="4">
        <f t="shared" ca="1" si="14"/>
        <v>45727</v>
      </c>
      <c r="E1143" s="3" t="s">
        <v>31</v>
      </c>
    </row>
    <row r="1144" spans="1:5" x14ac:dyDescent="0.3">
      <c r="A1144" s="3" t="s">
        <v>24</v>
      </c>
      <c r="B1144" s="3" t="s">
        <v>25</v>
      </c>
      <c r="C1144" s="3" t="s">
        <v>82</v>
      </c>
      <c r="D1144" s="4">
        <f t="shared" ca="1" si="14"/>
        <v>45727</v>
      </c>
      <c r="E1144" s="3" t="s">
        <v>39</v>
      </c>
    </row>
    <row r="1145" spans="1:5" x14ac:dyDescent="0.3">
      <c r="A1145" s="3" t="s">
        <v>650</v>
      </c>
      <c r="B1145" s="3" t="s">
        <v>245</v>
      </c>
      <c r="C1145" s="3" t="s">
        <v>651</v>
      </c>
      <c r="D1145" s="4">
        <f t="shared" ca="1" si="14"/>
        <v>45727</v>
      </c>
      <c r="E1145" s="3" t="s">
        <v>35</v>
      </c>
    </row>
    <row r="1146" spans="1:5" x14ac:dyDescent="0.3">
      <c r="A1146" s="3" t="s">
        <v>228</v>
      </c>
      <c r="B1146" s="3" t="s">
        <v>118</v>
      </c>
      <c r="C1146" s="3" t="s">
        <v>229</v>
      </c>
      <c r="D1146" s="4">
        <f t="shared" ca="1" si="14"/>
        <v>45727</v>
      </c>
      <c r="E1146" s="3" t="s">
        <v>31</v>
      </c>
    </row>
    <row r="1147" spans="1:5" x14ac:dyDescent="0.3">
      <c r="A1147" s="3" t="s">
        <v>247</v>
      </c>
      <c r="B1147" s="3" t="s">
        <v>118</v>
      </c>
      <c r="C1147" s="3" t="s">
        <v>248</v>
      </c>
      <c r="D1147" s="4">
        <f t="shared" ca="1" si="14"/>
        <v>45727</v>
      </c>
      <c r="E1147" s="3" t="s">
        <v>35</v>
      </c>
    </row>
    <row r="1148" spans="1:5" x14ac:dyDescent="0.3">
      <c r="A1148" s="3" t="s">
        <v>491</v>
      </c>
      <c r="B1148" s="3" t="s">
        <v>617</v>
      </c>
      <c r="C1148" s="3" t="s">
        <v>775</v>
      </c>
      <c r="D1148" s="4">
        <f t="shared" ca="1" si="14"/>
        <v>45727</v>
      </c>
      <c r="E1148" s="3" t="s">
        <v>60</v>
      </c>
    </row>
    <row r="1149" spans="1:5" x14ac:dyDescent="0.3">
      <c r="A1149" s="3" t="s">
        <v>576</v>
      </c>
      <c r="B1149" s="3" t="s">
        <v>162</v>
      </c>
      <c r="C1149" s="3" t="s">
        <v>765</v>
      </c>
      <c r="D1149" s="4">
        <f t="shared" ca="1" si="14"/>
        <v>45727</v>
      </c>
      <c r="E1149" s="3" t="s">
        <v>27</v>
      </c>
    </row>
    <row r="1150" spans="1:5" x14ac:dyDescent="0.3">
      <c r="A1150" s="3" t="s">
        <v>341</v>
      </c>
      <c r="B1150" s="3" t="s">
        <v>37</v>
      </c>
      <c r="C1150" s="3" t="s">
        <v>342</v>
      </c>
      <c r="D1150" s="4">
        <f t="shared" ca="1" si="14"/>
        <v>45727</v>
      </c>
      <c r="E1150" s="3" t="s">
        <v>27</v>
      </c>
    </row>
    <row r="1151" spans="1:5" x14ac:dyDescent="0.3">
      <c r="A1151" s="3" t="s">
        <v>317</v>
      </c>
      <c r="B1151" s="3" t="s">
        <v>157</v>
      </c>
      <c r="C1151" s="3" t="s">
        <v>318</v>
      </c>
      <c r="D1151" s="4">
        <f t="shared" ca="1" si="14"/>
        <v>45727</v>
      </c>
      <c r="E1151" s="3" t="s">
        <v>39</v>
      </c>
    </row>
    <row r="1152" spans="1:5" x14ac:dyDescent="0.3">
      <c r="A1152" s="3" t="s">
        <v>189</v>
      </c>
      <c r="B1152" s="3" t="s">
        <v>190</v>
      </c>
      <c r="C1152" s="3" t="s">
        <v>191</v>
      </c>
      <c r="D1152" s="4">
        <f t="shared" ca="1" si="14"/>
        <v>45727</v>
      </c>
      <c r="E1152" s="3" t="s">
        <v>56</v>
      </c>
    </row>
    <row r="1153" spans="1:5" x14ac:dyDescent="0.3">
      <c r="A1153" s="3" t="s">
        <v>271</v>
      </c>
      <c r="B1153" s="3" t="s">
        <v>272</v>
      </c>
      <c r="C1153" s="3" t="s">
        <v>273</v>
      </c>
      <c r="D1153" s="4">
        <f t="shared" ca="1" si="14"/>
        <v>45727</v>
      </c>
      <c r="E1153" s="3" t="s">
        <v>39</v>
      </c>
    </row>
    <row r="1154" spans="1:5" x14ac:dyDescent="0.3">
      <c r="A1154" s="3" t="s">
        <v>602</v>
      </c>
      <c r="B1154" s="3" t="s">
        <v>326</v>
      </c>
      <c r="C1154" s="3" t="s">
        <v>603</v>
      </c>
      <c r="D1154" s="4">
        <f t="shared" ca="1" si="14"/>
        <v>45727</v>
      </c>
      <c r="E1154" s="3" t="s">
        <v>31</v>
      </c>
    </row>
    <row r="1155" spans="1:5" x14ac:dyDescent="0.3">
      <c r="A1155" s="3" t="s">
        <v>727</v>
      </c>
      <c r="B1155" s="3" t="s">
        <v>50</v>
      </c>
      <c r="C1155" s="3" t="s">
        <v>728</v>
      </c>
      <c r="D1155" s="4">
        <f t="shared" ca="1" si="14"/>
        <v>45727</v>
      </c>
      <c r="E1155" s="3" t="s">
        <v>60</v>
      </c>
    </row>
    <row r="1156" spans="1:5" x14ac:dyDescent="0.3">
      <c r="A1156" s="3" t="s">
        <v>288</v>
      </c>
      <c r="B1156" s="3" t="s">
        <v>37</v>
      </c>
      <c r="C1156" s="3" t="s">
        <v>787</v>
      </c>
      <c r="D1156" s="4">
        <f t="shared" ca="1" si="14"/>
        <v>45727</v>
      </c>
      <c r="E1156" s="3" t="s">
        <v>56</v>
      </c>
    </row>
    <row r="1157" spans="1:5" x14ac:dyDescent="0.3">
      <c r="A1157" s="3" t="s">
        <v>167</v>
      </c>
      <c r="B1157" s="3" t="s">
        <v>168</v>
      </c>
      <c r="C1157" s="3" t="s">
        <v>169</v>
      </c>
      <c r="D1157" s="4">
        <f t="shared" ca="1" si="14"/>
        <v>45727</v>
      </c>
      <c r="E1157" s="3" t="s">
        <v>39</v>
      </c>
    </row>
    <row r="1158" spans="1:5" x14ac:dyDescent="0.3">
      <c r="A1158" s="3" t="s">
        <v>435</v>
      </c>
      <c r="B1158" s="3" t="s">
        <v>65</v>
      </c>
      <c r="C1158" s="3" t="s">
        <v>436</v>
      </c>
      <c r="D1158" s="4">
        <f t="shared" ca="1" si="14"/>
        <v>45727</v>
      </c>
      <c r="E1158" s="3" t="s">
        <v>31</v>
      </c>
    </row>
    <row r="1159" spans="1:5" x14ac:dyDescent="0.3">
      <c r="A1159" s="3" t="s">
        <v>67</v>
      </c>
      <c r="B1159" s="3" t="s">
        <v>68</v>
      </c>
      <c r="C1159" s="3" t="s">
        <v>69</v>
      </c>
      <c r="D1159" s="4">
        <f t="shared" ca="1" si="14"/>
        <v>45727</v>
      </c>
      <c r="E1159" s="3" t="s">
        <v>31</v>
      </c>
    </row>
    <row r="1160" spans="1:5" x14ac:dyDescent="0.3">
      <c r="A1160" s="3" t="s">
        <v>201</v>
      </c>
      <c r="B1160" s="3" t="s">
        <v>37</v>
      </c>
      <c r="C1160" s="3" t="s">
        <v>202</v>
      </c>
      <c r="D1160" s="4">
        <f t="shared" ca="1" si="14"/>
        <v>45727</v>
      </c>
      <c r="E1160" s="3" t="s">
        <v>35</v>
      </c>
    </row>
    <row r="1161" spans="1:5" x14ac:dyDescent="0.3">
      <c r="A1161" s="3" t="s">
        <v>189</v>
      </c>
      <c r="B1161" s="3" t="s">
        <v>190</v>
      </c>
      <c r="C1161" s="3" t="s">
        <v>191</v>
      </c>
      <c r="D1161" s="4">
        <f t="shared" ca="1" si="14"/>
        <v>45727</v>
      </c>
      <c r="E1161" s="3" t="s">
        <v>56</v>
      </c>
    </row>
    <row r="1162" spans="1:5" x14ac:dyDescent="0.3">
      <c r="A1162" s="3" t="s">
        <v>666</v>
      </c>
      <c r="B1162" s="3" t="s">
        <v>74</v>
      </c>
      <c r="C1162" s="3" t="s">
        <v>667</v>
      </c>
      <c r="D1162" s="4">
        <f t="shared" ca="1" si="14"/>
        <v>45727</v>
      </c>
      <c r="E1162" s="3" t="s">
        <v>60</v>
      </c>
    </row>
    <row r="1163" spans="1:5" x14ac:dyDescent="0.3">
      <c r="A1163" s="3" t="s">
        <v>596</v>
      </c>
      <c r="B1163" s="3" t="s">
        <v>93</v>
      </c>
      <c r="C1163" s="3" t="s">
        <v>597</v>
      </c>
      <c r="D1163" s="4">
        <f t="shared" ca="1" si="14"/>
        <v>45727</v>
      </c>
      <c r="E1163" s="3" t="s">
        <v>27</v>
      </c>
    </row>
    <row r="1164" spans="1:5" x14ac:dyDescent="0.3">
      <c r="A1164" s="3" t="s">
        <v>89</v>
      </c>
      <c r="B1164" s="3" t="s">
        <v>581</v>
      </c>
      <c r="C1164" s="3" t="s">
        <v>582</v>
      </c>
      <c r="D1164" s="4">
        <f t="shared" ca="1" si="14"/>
        <v>45727</v>
      </c>
      <c r="E1164" s="3" t="s">
        <v>39</v>
      </c>
    </row>
    <row r="1165" spans="1:5" x14ac:dyDescent="0.3">
      <c r="A1165" s="3" t="s">
        <v>130</v>
      </c>
      <c r="B1165" s="3" t="s">
        <v>47</v>
      </c>
      <c r="C1165" s="3" t="s">
        <v>131</v>
      </c>
      <c r="D1165" s="4">
        <f t="shared" ca="1" si="14"/>
        <v>45727</v>
      </c>
      <c r="E1165" s="3" t="s">
        <v>56</v>
      </c>
    </row>
    <row r="1166" spans="1:5" x14ac:dyDescent="0.3">
      <c r="A1166" s="3" t="s">
        <v>539</v>
      </c>
      <c r="B1166" s="3" t="s">
        <v>25</v>
      </c>
      <c r="C1166" s="3" t="s">
        <v>540</v>
      </c>
      <c r="D1166" s="4">
        <f t="shared" ca="1" si="14"/>
        <v>45727</v>
      </c>
      <c r="E1166" s="3" t="s">
        <v>39</v>
      </c>
    </row>
    <row r="1167" spans="1:5" x14ac:dyDescent="0.3">
      <c r="A1167" s="3" t="s">
        <v>719</v>
      </c>
      <c r="B1167" s="3" t="s">
        <v>193</v>
      </c>
      <c r="C1167" s="3" t="s">
        <v>720</v>
      </c>
      <c r="D1167" s="4">
        <f t="shared" ca="1" si="14"/>
        <v>45727</v>
      </c>
      <c r="E1167" s="3" t="s">
        <v>56</v>
      </c>
    </row>
    <row r="1168" spans="1:5" x14ac:dyDescent="0.3">
      <c r="A1168" s="3" t="s">
        <v>680</v>
      </c>
      <c r="B1168" s="3" t="s">
        <v>74</v>
      </c>
      <c r="C1168" s="3" t="s">
        <v>681</v>
      </c>
      <c r="D1168" s="4">
        <f t="shared" ca="1" si="14"/>
        <v>45727</v>
      </c>
      <c r="E1168" s="3" t="s">
        <v>39</v>
      </c>
    </row>
    <row r="1169" spans="1:5" x14ac:dyDescent="0.3">
      <c r="A1169" s="3" t="s">
        <v>265</v>
      </c>
      <c r="B1169" s="3" t="s">
        <v>33</v>
      </c>
      <c r="C1169" s="3" t="s">
        <v>266</v>
      </c>
      <c r="D1169" s="4">
        <f t="shared" ca="1" si="14"/>
        <v>45727</v>
      </c>
      <c r="E1169" s="3" t="s">
        <v>56</v>
      </c>
    </row>
    <row r="1170" spans="1:5" x14ac:dyDescent="0.3">
      <c r="A1170" s="3" t="s">
        <v>52</v>
      </c>
      <c r="B1170" s="3" t="s">
        <v>37</v>
      </c>
      <c r="C1170" s="3" t="s">
        <v>76</v>
      </c>
      <c r="D1170" s="4">
        <f t="shared" ca="1" si="14"/>
        <v>45727</v>
      </c>
      <c r="E1170" s="3" t="s">
        <v>35</v>
      </c>
    </row>
    <row r="1171" spans="1:5" x14ac:dyDescent="0.3">
      <c r="A1171" s="3" t="s">
        <v>733</v>
      </c>
      <c r="B1171" s="3" t="s">
        <v>118</v>
      </c>
      <c r="C1171" s="3" t="s">
        <v>649</v>
      </c>
      <c r="D1171" s="4">
        <f t="shared" ca="1" si="14"/>
        <v>45727</v>
      </c>
      <c r="E1171" s="3" t="s">
        <v>31</v>
      </c>
    </row>
    <row r="1172" spans="1:5" x14ac:dyDescent="0.3">
      <c r="A1172" s="3" t="s">
        <v>462</v>
      </c>
      <c r="B1172" s="3" t="s">
        <v>359</v>
      </c>
      <c r="C1172" s="3" t="s">
        <v>463</v>
      </c>
      <c r="D1172" s="4">
        <f t="shared" ca="1" si="14"/>
        <v>45727</v>
      </c>
      <c r="E1172" s="3" t="s">
        <v>39</v>
      </c>
    </row>
    <row r="1173" spans="1:5" x14ac:dyDescent="0.3">
      <c r="A1173" s="3" t="s">
        <v>662</v>
      </c>
      <c r="B1173" s="3" t="s">
        <v>65</v>
      </c>
      <c r="C1173" s="3" t="s">
        <v>663</v>
      </c>
      <c r="D1173" s="4">
        <f t="shared" ca="1" si="14"/>
        <v>45727</v>
      </c>
      <c r="E1173" s="3" t="s">
        <v>35</v>
      </c>
    </row>
    <row r="1174" spans="1:5" x14ac:dyDescent="0.3">
      <c r="A1174" s="3" t="s">
        <v>106</v>
      </c>
      <c r="B1174" s="3" t="s">
        <v>107</v>
      </c>
      <c r="C1174" s="3" t="s">
        <v>108</v>
      </c>
      <c r="D1174" s="4">
        <f t="shared" ca="1" si="14"/>
        <v>45727</v>
      </c>
      <c r="E1174" s="3" t="s">
        <v>31</v>
      </c>
    </row>
    <row r="1175" spans="1:5" x14ac:dyDescent="0.3">
      <c r="A1175" s="3" t="s">
        <v>799</v>
      </c>
      <c r="B1175" s="3" t="s">
        <v>118</v>
      </c>
      <c r="C1175" s="3" t="s">
        <v>800</v>
      </c>
      <c r="D1175" s="4">
        <f t="shared" ref="D1175:D1269" ca="1" si="15">TODAY()-280</f>
        <v>45757</v>
      </c>
      <c r="E1175" s="3" t="s">
        <v>35</v>
      </c>
    </row>
    <row r="1176" spans="1:5" x14ac:dyDescent="0.3">
      <c r="A1176" s="3" t="s">
        <v>201</v>
      </c>
      <c r="B1176" s="3" t="s">
        <v>37</v>
      </c>
      <c r="C1176" s="3" t="s">
        <v>202</v>
      </c>
      <c r="D1176" s="4">
        <f t="shared" ca="1" si="15"/>
        <v>45757</v>
      </c>
      <c r="E1176" s="3" t="s">
        <v>35</v>
      </c>
    </row>
    <row r="1177" spans="1:5" x14ac:dyDescent="0.3">
      <c r="A1177" s="3" t="s">
        <v>271</v>
      </c>
      <c r="B1177" s="3" t="s">
        <v>564</v>
      </c>
      <c r="C1177" s="3" t="s">
        <v>565</v>
      </c>
      <c r="D1177" s="4">
        <f t="shared" ca="1" si="15"/>
        <v>45757</v>
      </c>
      <c r="E1177" s="3" t="s">
        <v>60</v>
      </c>
    </row>
    <row r="1178" spans="1:5" x14ac:dyDescent="0.3">
      <c r="A1178" s="3" t="s">
        <v>100</v>
      </c>
      <c r="B1178" s="3" t="s">
        <v>37</v>
      </c>
      <c r="C1178" s="3" t="s">
        <v>101</v>
      </c>
      <c r="D1178" s="4">
        <f t="shared" ca="1" si="15"/>
        <v>45757</v>
      </c>
      <c r="E1178" s="3" t="s">
        <v>39</v>
      </c>
    </row>
    <row r="1179" spans="1:5" x14ac:dyDescent="0.3">
      <c r="A1179" s="3" t="s">
        <v>117</v>
      </c>
      <c r="B1179" s="3" t="s">
        <v>118</v>
      </c>
      <c r="C1179" s="3" t="s">
        <v>119</v>
      </c>
      <c r="D1179" s="4">
        <f t="shared" ca="1" si="15"/>
        <v>45757</v>
      </c>
      <c r="E1179" s="3" t="s">
        <v>60</v>
      </c>
    </row>
    <row r="1180" spans="1:5" x14ac:dyDescent="0.3">
      <c r="A1180" s="3" t="s">
        <v>545</v>
      </c>
      <c r="B1180" s="3" t="s">
        <v>331</v>
      </c>
      <c r="C1180" s="3" t="s">
        <v>546</v>
      </c>
      <c r="D1180" s="4">
        <f t="shared" ca="1" si="15"/>
        <v>45757</v>
      </c>
      <c r="E1180" s="3" t="s">
        <v>56</v>
      </c>
    </row>
    <row r="1181" spans="1:5" x14ac:dyDescent="0.3">
      <c r="A1181" s="3" t="s">
        <v>710</v>
      </c>
      <c r="B1181" s="3" t="s">
        <v>193</v>
      </c>
      <c r="C1181" s="3" t="s">
        <v>200</v>
      </c>
      <c r="D1181" s="4">
        <f t="shared" ca="1" si="15"/>
        <v>45757</v>
      </c>
      <c r="E1181" s="3" t="s">
        <v>39</v>
      </c>
    </row>
    <row r="1182" spans="1:5" x14ac:dyDescent="0.3">
      <c r="A1182" s="3" t="s">
        <v>217</v>
      </c>
      <c r="B1182" s="3" t="s">
        <v>87</v>
      </c>
      <c r="C1182" s="3" t="s">
        <v>218</v>
      </c>
      <c r="D1182" s="4">
        <f t="shared" ca="1" si="15"/>
        <v>45757</v>
      </c>
      <c r="E1182" s="3" t="s">
        <v>31</v>
      </c>
    </row>
    <row r="1183" spans="1:5" x14ac:dyDescent="0.3">
      <c r="A1183" s="3" t="s">
        <v>335</v>
      </c>
      <c r="B1183" s="3" t="s">
        <v>118</v>
      </c>
      <c r="C1183" s="3" t="s">
        <v>432</v>
      </c>
      <c r="D1183" s="4">
        <f t="shared" ca="1" si="15"/>
        <v>45757</v>
      </c>
      <c r="E1183" s="3" t="s">
        <v>60</v>
      </c>
    </row>
    <row r="1184" spans="1:5" x14ac:dyDescent="0.3">
      <c r="A1184" s="3" t="s">
        <v>276</v>
      </c>
      <c r="B1184" s="3" t="s">
        <v>50</v>
      </c>
      <c r="C1184" s="3" t="s">
        <v>277</v>
      </c>
      <c r="D1184" s="4">
        <f t="shared" ca="1" si="15"/>
        <v>45757</v>
      </c>
      <c r="E1184" s="3" t="s">
        <v>60</v>
      </c>
    </row>
    <row r="1185" spans="1:5" x14ac:dyDescent="0.3">
      <c r="A1185" s="3" t="s">
        <v>752</v>
      </c>
      <c r="B1185" s="3" t="s">
        <v>245</v>
      </c>
      <c r="C1185" s="3" t="s">
        <v>753</v>
      </c>
      <c r="D1185" s="4">
        <f t="shared" ca="1" si="15"/>
        <v>45757</v>
      </c>
      <c r="E1185" s="3" t="s">
        <v>35</v>
      </c>
    </row>
    <row r="1186" spans="1:5" x14ac:dyDescent="0.3">
      <c r="A1186" s="3" t="s">
        <v>743</v>
      </c>
      <c r="B1186" s="3" t="s">
        <v>124</v>
      </c>
      <c r="C1186" s="3" t="s">
        <v>744</v>
      </c>
      <c r="D1186" s="4">
        <f t="shared" ca="1" si="15"/>
        <v>45757</v>
      </c>
      <c r="E1186" s="3" t="s">
        <v>60</v>
      </c>
    </row>
    <row r="1187" spans="1:5" x14ac:dyDescent="0.3">
      <c r="A1187" s="3" t="s">
        <v>294</v>
      </c>
      <c r="B1187" s="3" t="s">
        <v>295</v>
      </c>
      <c r="C1187" s="3" t="s">
        <v>179</v>
      </c>
      <c r="D1187" s="4">
        <f t="shared" ca="1" si="15"/>
        <v>45757</v>
      </c>
      <c r="E1187" s="3" t="s">
        <v>27</v>
      </c>
    </row>
    <row r="1188" spans="1:5" x14ac:dyDescent="0.3">
      <c r="A1188" s="3" t="s">
        <v>89</v>
      </c>
      <c r="B1188" s="3" t="s">
        <v>261</v>
      </c>
      <c r="C1188" s="3" t="s">
        <v>262</v>
      </c>
      <c r="D1188" s="4">
        <f t="shared" ca="1" si="15"/>
        <v>45757</v>
      </c>
      <c r="E1188" s="3" t="s">
        <v>39</v>
      </c>
    </row>
    <row r="1189" spans="1:5" x14ac:dyDescent="0.3">
      <c r="A1189" s="3" t="s">
        <v>586</v>
      </c>
      <c r="B1189" s="3" t="s">
        <v>193</v>
      </c>
      <c r="C1189" s="3" t="s">
        <v>119</v>
      </c>
      <c r="D1189" s="4">
        <f t="shared" ca="1" si="15"/>
        <v>45757</v>
      </c>
      <c r="E1189" s="3" t="s">
        <v>60</v>
      </c>
    </row>
    <row r="1190" spans="1:5" x14ac:dyDescent="0.3">
      <c r="A1190" s="3" t="s">
        <v>445</v>
      </c>
      <c r="B1190" s="3" t="s">
        <v>446</v>
      </c>
      <c r="C1190" s="3" t="s">
        <v>447</v>
      </c>
      <c r="D1190" s="4">
        <f t="shared" ca="1" si="15"/>
        <v>45757</v>
      </c>
      <c r="E1190" s="3" t="s">
        <v>60</v>
      </c>
    </row>
    <row r="1191" spans="1:5" x14ac:dyDescent="0.3">
      <c r="A1191" s="3" t="s">
        <v>37</v>
      </c>
      <c r="B1191" s="3" t="s">
        <v>71</v>
      </c>
      <c r="C1191" s="3" t="s">
        <v>460</v>
      </c>
      <c r="D1191" s="4">
        <f t="shared" ca="1" si="15"/>
        <v>45757</v>
      </c>
      <c r="E1191" s="3" t="s">
        <v>31</v>
      </c>
    </row>
    <row r="1192" spans="1:5" x14ac:dyDescent="0.3">
      <c r="A1192" s="3" t="s">
        <v>209</v>
      </c>
      <c r="B1192" s="3" t="s">
        <v>68</v>
      </c>
      <c r="C1192" s="3" t="s">
        <v>151</v>
      </c>
      <c r="D1192" s="4">
        <f t="shared" ca="1" si="15"/>
        <v>45757</v>
      </c>
      <c r="E1192" s="3" t="s">
        <v>39</v>
      </c>
    </row>
    <row r="1193" spans="1:5" x14ac:dyDescent="0.3">
      <c r="A1193" s="3" t="s">
        <v>708</v>
      </c>
      <c r="B1193" s="3" t="s">
        <v>58</v>
      </c>
      <c r="C1193" s="3" t="s">
        <v>709</v>
      </c>
      <c r="D1193" s="4">
        <f t="shared" ca="1" si="15"/>
        <v>45757</v>
      </c>
      <c r="E1193" s="3" t="s">
        <v>35</v>
      </c>
    </row>
    <row r="1194" spans="1:5" x14ac:dyDescent="0.3">
      <c r="A1194" s="3" t="s">
        <v>343</v>
      </c>
      <c r="B1194" s="3" t="s">
        <v>157</v>
      </c>
      <c r="C1194" s="3" t="s">
        <v>486</v>
      </c>
      <c r="D1194" s="4">
        <f t="shared" ca="1" si="15"/>
        <v>45757</v>
      </c>
      <c r="E1194" s="3" t="s">
        <v>60</v>
      </c>
    </row>
    <row r="1195" spans="1:5" x14ac:dyDescent="0.3">
      <c r="A1195" s="3" t="s">
        <v>433</v>
      </c>
      <c r="B1195" s="3" t="s">
        <v>65</v>
      </c>
      <c r="C1195" s="3" t="s">
        <v>434</v>
      </c>
      <c r="D1195" s="4">
        <f t="shared" ca="1" si="15"/>
        <v>45757</v>
      </c>
      <c r="E1195" s="3" t="s">
        <v>39</v>
      </c>
    </row>
    <row r="1196" spans="1:5" x14ac:dyDescent="0.3">
      <c r="A1196" s="3" t="s">
        <v>209</v>
      </c>
      <c r="B1196" s="3" t="s">
        <v>62</v>
      </c>
      <c r="C1196" s="3" t="s">
        <v>282</v>
      </c>
      <c r="D1196" s="4">
        <f t="shared" ca="1" si="15"/>
        <v>45757</v>
      </c>
      <c r="E1196" s="3" t="s">
        <v>60</v>
      </c>
    </row>
    <row r="1197" spans="1:5" x14ac:dyDescent="0.3">
      <c r="A1197" s="3" t="s">
        <v>533</v>
      </c>
      <c r="B1197" s="3" t="s">
        <v>50</v>
      </c>
      <c r="C1197" s="3" t="s">
        <v>534</v>
      </c>
      <c r="D1197" s="4">
        <f t="shared" ca="1" si="15"/>
        <v>45757</v>
      </c>
      <c r="E1197" s="3" t="s">
        <v>60</v>
      </c>
    </row>
    <row r="1198" spans="1:5" x14ac:dyDescent="0.3">
      <c r="A1198" s="3" t="s">
        <v>743</v>
      </c>
      <c r="B1198" s="3" t="s">
        <v>124</v>
      </c>
      <c r="C1198" s="3" t="s">
        <v>744</v>
      </c>
      <c r="D1198" s="4">
        <f t="shared" ca="1" si="15"/>
        <v>45757</v>
      </c>
      <c r="E1198" s="3" t="s">
        <v>60</v>
      </c>
    </row>
    <row r="1199" spans="1:5" x14ac:dyDescent="0.3">
      <c r="A1199" s="3" t="s">
        <v>457</v>
      </c>
      <c r="B1199" s="3" t="s">
        <v>298</v>
      </c>
      <c r="C1199" s="3" t="s">
        <v>458</v>
      </c>
      <c r="D1199" s="4">
        <f t="shared" ca="1" si="15"/>
        <v>45757</v>
      </c>
      <c r="E1199" s="3" t="s">
        <v>35</v>
      </c>
    </row>
    <row r="1200" spans="1:5" x14ac:dyDescent="0.3">
      <c r="A1200" s="3" t="s">
        <v>482</v>
      </c>
      <c r="B1200" s="3" t="s">
        <v>58</v>
      </c>
      <c r="C1200" s="3" t="s">
        <v>485</v>
      </c>
      <c r="D1200" s="4">
        <f t="shared" ca="1" si="15"/>
        <v>45757</v>
      </c>
      <c r="E1200" s="3" t="s">
        <v>27</v>
      </c>
    </row>
    <row r="1201" spans="1:5" x14ac:dyDescent="0.3">
      <c r="A1201" s="3" t="s">
        <v>459</v>
      </c>
      <c r="B1201" s="3" t="s">
        <v>25</v>
      </c>
      <c r="C1201" s="3" t="s">
        <v>460</v>
      </c>
      <c r="D1201" s="4">
        <f t="shared" ca="1" si="15"/>
        <v>45757</v>
      </c>
      <c r="E1201" s="3" t="s">
        <v>39</v>
      </c>
    </row>
    <row r="1202" spans="1:5" x14ac:dyDescent="0.3">
      <c r="A1202" s="3" t="s">
        <v>123</v>
      </c>
      <c r="B1202" s="3" t="s">
        <v>124</v>
      </c>
      <c r="C1202" s="3" t="s">
        <v>125</v>
      </c>
      <c r="D1202" s="4">
        <f t="shared" ca="1" si="15"/>
        <v>45757</v>
      </c>
      <c r="E1202" s="3" t="s">
        <v>35</v>
      </c>
    </row>
    <row r="1203" spans="1:5" x14ac:dyDescent="0.3">
      <c r="A1203" s="3" t="s">
        <v>623</v>
      </c>
      <c r="B1203" s="3" t="s">
        <v>74</v>
      </c>
      <c r="C1203" s="3" t="s">
        <v>624</v>
      </c>
      <c r="D1203" s="4">
        <f t="shared" ca="1" si="15"/>
        <v>45757</v>
      </c>
      <c r="E1203" s="3" t="s">
        <v>35</v>
      </c>
    </row>
    <row r="1204" spans="1:5" x14ac:dyDescent="0.3">
      <c r="A1204" s="3" t="s">
        <v>493</v>
      </c>
      <c r="B1204" s="3" t="s">
        <v>118</v>
      </c>
      <c r="C1204" s="3" t="s">
        <v>494</v>
      </c>
      <c r="D1204" s="4">
        <f t="shared" ca="1" si="15"/>
        <v>45757</v>
      </c>
      <c r="E1204" s="3" t="s">
        <v>56</v>
      </c>
    </row>
    <row r="1205" spans="1:5" x14ac:dyDescent="0.3">
      <c r="A1205" s="3" t="s">
        <v>712</v>
      </c>
      <c r="B1205" s="3" t="s">
        <v>44</v>
      </c>
      <c r="C1205" s="3" t="s">
        <v>713</v>
      </c>
      <c r="D1205" s="4">
        <f t="shared" ca="1" si="15"/>
        <v>45757</v>
      </c>
      <c r="E1205" s="3" t="s">
        <v>39</v>
      </c>
    </row>
    <row r="1206" spans="1:5" x14ac:dyDescent="0.3">
      <c r="A1206" s="3" t="s">
        <v>353</v>
      </c>
      <c r="B1206" s="3" t="s">
        <v>50</v>
      </c>
      <c r="C1206" s="3" t="s">
        <v>354</v>
      </c>
      <c r="D1206" s="4">
        <f t="shared" ca="1" si="15"/>
        <v>45757</v>
      </c>
      <c r="E1206" s="3" t="s">
        <v>60</v>
      </c>
    </row>
    <row r="1207" spans="1:5" x14ac:dyDescent="0.3">
      <c r="A1207" s="3" t="s">
        <v>232</v>
      </c>
      <c r="B1207" s="3" t="s">
        <v>41</v>
      </c>
      <c r="C1207" s="3" t="s">
        <v>233</v>
      </c>
      <c r="D1207" s="4">
        <f t="shared" ca="1" si="15"/>
        <v>45757</v>
      </c>
      <c r="E1207" s="3" t="s">
        <v>27</v>
      </c>
    </row>
    <row r="1208" spans="1:5" x14ac:dyDescent="0.3">
      <c r="A1208" s="3" t="s">
        <v>560</v>
      </c>
      <c r="B1208" s="3" t="s">
        <v>110</v>
      </c>
      <c r="C1208" s="3" t="s">
        <v>561</v>
      </c>
      <c r="D1208" s="4">
        <f t="shared" ca="1" si="15"/>
        <v>45757</v>
      </c>
      <c r="E1208" s="3" t="s">
        <v>60</v>
      </c>
    </row>
    <row r="1209" spans="1:5" x14ac:dyDescent="0.3">
      <c r="A1209" s="3" t="s">
        <v>448</v>
      </c>
      <c r="B1209" s="3" t="s">
        <v>74</v>
      </c>
      <c r="C1209" s="3" t="s">
        <v>449</v>
      </c>
      <c r="D1209" s="4">
        <f t="shared" ca="1" si="15"/>
        <v>45757</v>
      </c>
      <c r="E1209" s="3" t="s">
        <v>35</v>
      </c>
    </row>
    <row r="1210" spans="1:5" x14ac:dyDescent="0.3">
      <c r="A1210" s="3" t="s">
        <v>634</v>
      </c>
      <c r="B1210" s="3" t="s">
        <v>71</v>
      </c>
      <c r="C1210" s="3" t="s">
        <v>635</v>
      </c>
      <c r="D1210" s="4">
        <f t="shared" ca="1" si="15"/>
        <v>45757</v>
      </c>
      <c r="E1210" s="3" t="s">
        <v>56</v>
      </c>
    </row>
    <row r="1211" spans="1:5" x14ac:dyDescent="0.3">
      <c r="A1211" s="3" t="s">
        <v>776</v>
      </c>
      <c r="B1211" s="3" t="s">
        <v>178</v>
      </c>
      <c r="C1211" s="3" t="s">
        <v>777</v>
      </c>
      <c r="D1211" s="4">
        <f t="shared" ca="1" si="15"/>
        <v>45757</v>
      </c>
      <c r="E1211" s="3" t="s">
        <v>31</v>
      </c>
    </row>
    <row r="1212" spans="1:5" x14ac:dyDescent="0.3">
      <c r="A1212" s="3" t="s">
        <v>591</v>
      </c>
      <c r="B1212" s="3" t="s">
        <v>193</v>
      </c>
      <c r="C1212" s="3" t="s">
        <v>592</v>
      </c>
      <c r="D1212" s="4">
        <f t="shared" ca="1" si="15"/>
        <v>45757</v>
      </c>
      <c r="E1212" s="3" t="s">
        <v>60</v>
      </c>
    </row>
    <row r="1213" spans="1:5" x14ac:dyDescent="0.3">
      <c r="A1213" s="3" t="s">
        <v>348</v>
      </c>
      <c r="B1213" s="3" t="s">
        <v>245</v>
      </c>
      <c r="C1213" s="3" t="s">
        <v>151</v>
      </c>
      <c r="D1213" s="4">
        <f t="shared" ca="1" si="15"/>
        <v>45757</v>
      </c>
      <c r="E1213" s="3" t="s">
        <v>60</v>
      </c>
    </row>
    <row r="1214" spans="1:5" x14ac:dyDescent="0.3">
      <c r="A1214" s="3" t="s">
        <v>52</v>
      </c>
      <c r="B1214" s="3" t="s">
        <v>37</v>
      </c>
      <c r="C1214" s="3" t="s">
        <v>76</v>
      </c>
      <c r="D1214" s="4">
        <f t="shared" ca="1" si="15"/>
        <v>45757</v>
      </c>
      <c r="E1214" s="3" t="s">
        <v>35</v>
      </c>
    </row>
    <row r="1215" spans="1:5" x14ac:dyDescent="0.3">
      <c r="A1215" s="3" t="s">
        <v>764</v>
      </c>
      <c r="B1215" s="3" t="s">
        <v>356</v>
      </c>
      <c r="C1215" s="3" t="s">
        <v>582</v>
      </c>
      <c r="D1215" s="4">
        <f t="shared" ca="1" si="15"/>
        <v>45757</v>
      </c>
      <c r="E1215" s="3" t="s">
        <v>39</v>
      </c>
    </row>
    <row r="1216" spans="1:5" x14ac:dyDescent="0.3">
      <c r="A1216" s="3" t="s">
        <v>762</v>
      </c>
      <c r="B1216" s="3" t="s">
        <v>87</v>
      </c>
      <c r="C1216" s="3" t="s">
        <v>763</v>
      </c>
      <c r="D1216" s="4">
        <f t="shared" ca="1" si="15"/>
        <v>45757</v>
      </c>
      <c r="E1216" s="3" t="s">
        <v>35</v>
      </c>
    </row>
    <row r="1217" spans="1:5" x14ac:dyDescent="0.3">
      <c r="A1217" s="3" t="s">
        <v>339</v>
      </c>
      <c r="B1217" s="3" t="s">
        <v>44</v>
      </c>
      <c r="C1217" s="3" t="s">
        <v>460</v>
      </c>
      <c r="D1217" s="4">
        <f t="shared" ca="1" si="15"/>
        <v>45757</v>
      </c>
      <c r="E1217" s="3" t="s">
        <v>35</v>
      </c>
    </row>
    <row r="1218" spans="1:5" x14ac:dyDescent="0.3">
      <c r="A1218" s="3" t="s">
        <v>700</v>
      </c>
      <c r="B1218" s="3" t="s">
        <v>162</v>
      </c>
      <c r="C1218" s="3" t="s">
        <v>701</v>
      </c>
      <c r="D1218" s="4">
        <f t="shared" ca="1" si="15"/>
        <v>45757</v>
      </c>
      <c r="E1218" s="3" t="s">
        <v>35</v>
      </c>
    </row>
    <row r="1219" spans="1:5" x14ac:dyDescent="0.3">
      <c r="A1219" s="3" t="s">
        <v>97</v>
      </c>
      <c r="B1219" s="3" t="s">
        <v>98</v>
      </c>
      <c r="C1219" s="3" t="s">
        <v>99</v>
      </c>
      <c r="D1219" s="4">
        <f t="shared" ca="1" si="15"/>
        <v>45757</v>
      </c>
      <c r="E1219" s="3" t="s">
        <v>39</v>
      </c>
    </row>
    <row r="1220" spans="1:5" x14ac:dyDescent="0.3">
      <c r="A1220" s="3" t="s">
        <v>491</v>
      </c>
      <c r="B1220" s="3" t="s">
        <v>617</v>
      </c>
      <c r="C1220" s="3" t="s">
        <v>775</v>
      </c>
      <c r="D1220" s="4">
        <f t="shared" ca="1" si="15"/>
        <v>45757</v>
      </c>
      <c r="E1220" s="3" t="s">
        <v>60</v>
      </c>
    </row>
    <row r="1221" spans="1:5" x14ac:dyDescent="0.3">
      <c r="A1221" s="3" t="s">
        <v>288</v>
      </c>
      <c r="B1221" s="3" t="s">
        <v>37</v>
      </c>
      <c r="C1221" s="3" t="s">
        <v>787</v>
      </c>
      <c r="D1221" s="4">
        <f t="shared" ca="1" si="15"/>
        <v>45757</v>
      </c>
      <c r="E1221" s="3" t="s">
        <v>56</v>
      </c>
    </row>
    <row r="1222" spans="1:5" x14ac:dyDescent="0.3">
      <c r="A1222" s="3" t="s">
        <v>533</v>
      </c>
      <c r="B1222" s="3" t="s">
        <v>50</v>
      </c>
      <c r="C1222" s="3" t="s">
        <v>534</v>
      </c>
      <c r="D1222" s="4">
        <f t="shared" ca="1" si="15"/>
        <v>45757</v>
      </c>
      <c r="E1222" s="3" t="s">
        <v>60</v>
      </c>
    </row>
    <row r="1223" spans="1:5" x14ac:dyDescent="0.3">
      <c r="A1223" s="3" t="s">
        <v>797</v>
      </c>
      <c r="B1223" s="3" t="s">
        <v>695</v>
      </c>
      <c r="C1223" s="3" t="s">
        <v>798</v>
      </c>
      <c r="D1223" s="4">
        <f t="shared" ca="1" si="15"/>
        <v>45757</v>
      </c>
      <c r="E1223" s="3" t="s">
        <v>60</v>
      </c>
    </row>
    <row r="1224" spans="1:5" x14ac:dyDescent="0.3">
      <c r="A1224" s="3" t="s">
        <v>420</v>
      </c>
      <c r="B1224" s="3" t="s">
        <v>193</v>
      </c>
      <c r="C1224" s="3" t="s">
        <v>421</v>
      </c>
      <c r="D1224" s="4">
        <f t="shared" ca="1" si="15"/>
        <v>45757</v>
      </c>
      <c r="E1224" s="3" t="s">
        <v>60</v>
      </c>
    </row>
    <row r="1225" spans="1:5" x14ac:dyDescent="0.3">
      <c r="A1225" s="3" t="s">
        <v>801</v>
      </c>
      <c r="B1225" s="3" t="s">
        <v>669</v>
      </c>
      <c r="C1225" s="3" t="s">
        <v>802</v>
      </c>
      <c r="D1225" s="4">
        <f t="shared" ca="1" si="15"/>
        <v>45757</v>
      </c>
      <c r="E1225" s="3" t="s">
        <v>56</v>
      </c>
    </row>
    <row r="1226" spans="1:5" x14ac:dyDescent="0.3">
      <c r="A1226" s="3" t="s">
        <v>595</v>
      </c>
      <c r="B1226" s="3" t="s">
        <v>37</v>
      </c>
      <c r="C1226" s="3" t="s">
        <v>216</v>
      </c>
      <c r="D1226" s="4">
        <f t="shared" ca="1" si="15"/>
        <v>45757</v>
      </c>
      <c r="E1226" s="3" t="s">
        <v>60</v>
      </c>
    </row>
    <row r="1227" spans="1:5" x14ac:dyDescent="0.3">
      <c r="A1227" s="3" t="s">
        <v>549</v>
      </c>
      <c r="B1227" s="3" t="s">
        <v>550</v>
      </c>
      <c r="C1227" s="3" t="s">
        <v>551</v>
      </c>
      <c r="D1227" s="4">
        <f t="shared" ca="1" si="15"/>
        <v>45757</v>
      </c>
      <c r="E1227" s="3" t="s">
        <v>60</v>
      </c>
    </row>
    <row r="1228" spans="1:5" x14ac:dyDescent="0.3">
      <c r="A1228" s="3" t="s">
        <v>251</v>
      </c>
      <c r="B1228" s="3" t="s">
        <v>93</v>
      </c>
      <c r="C1228" s="3" t="s">
        <v>96</v>
      </c>
      <c r="D1228" s="4">
        <f t="shared" ca="1" si="15"/>
        <v>45757</v>
      </c>
      <c r="E1228" s="3" t="s">
        <v>56</v>
      </c>
    </row>
    <row r="1229" spans="1:5" x14ac:dyDescent="0.3">
      <c r="A1229" s="3" t="s">
        <v>182</v>
      </c>
      <c r="B1229" s="3" t="s">
        <v>124</v>
      </c>
      <c r="C1229" s="3" t="s">
        <v>183</v>
      </c>
      <c r="D1229" s="4">
        <f t="shared" ca="1" si="15"/>
        <v>45757</v>
      </c>
      <c r="E1229" s="3" t="s">
        <v>56</v>
      </c>
    </row>
    <row r="1230" spans="1:5" x14ac:dyDescent="0.3">
      <c r="A1230" s="3" t="s">
        <v>182</v>
      </c>
      <c r="B1230" s="3" t="s">
        <v>124</v>
      </c>
      <c r="C1230" s="3" t="s">
        <v>183</v>
      </c>
      <c r="D1230" s="4">
        <f t="shared" ca="1" si="15"/>
        <v>45757</v>
      </c>
      <c r="E1230" s="3" t="s">
        <v>56</v>
      </c>
    </row>
    <row r="1231" spans="1:5" x14ac:dyDescent="0.3">
      <c r="A1231" s="3" t="s">
        <v>339</v>
      </c>
      <c r="B1231" s="3" t="s">
        <v>397</v>
      </c>
      <c r="C1231" s="3" t="s">
        <v>386</v>
      </c>
      <c r="D1231" s="4">
        <f t="shared" ca="1" si="15"/>
        <v>45757</v>
      </c>
      <c r="E1231" s="3" t="s">
        <v>60</v>
      </c>
    </row>
    <row r="1232" spans="1:5" x14ac:dyDescent="0.3">
      <c r="A1232" s="3" t="s">
        <v>203</v>
      </c>
      <c r="B1232" s="3" t="s">
        <v>150</v>
      </c>
      <c r="C1232" s="3" t="s">
        <v>166</v>
      </c>
      <c r="D1232" s="4">
        <f t="shared" ca="1" si="15"/>
        <v>45757</v>
      </c>
      <c r="E1232" s="3" t="s">
        <v>39</v>
      </c>
    </row>
    <row r="1233" spans="1:5" x14ac:dyDescent="0.3">
      <c r="A1233" s="3" t="s">
        <v>487</v>
      </c>
      <c r="B1233" s="3" t="s">
        <v>140</v>
      </c>
      <c r="C1233" s="3" t="s">
        <v>488</v>
      </c>
      <c r="D1233" s="4">
        <f t="shared" ca="1" si="15"/>
        <v>45757</v>
      </c>
      <c r="E1233" s="3" t="s">
        <v>60</v>
      </c>
    </row>
    <row r="1234" spans="1:5" x14ac:dyDescent="0.3">
      <c r="A1234" s="3" t="s">
        <v>288</v>
      </c>
      <c r="B1234" s="3" t="s">
        <v>211</v>
      </c>
      <c r="C1234" s="3" t="s">
        <v>390</v>
      </c>
      <c r="D1234" s="4">
        <f t="shared" ca="1" si="15"/>
        <v>45757</v>
      </c>
      <c r="E1234" s="3" t="s">
        <v>35</v>
      </c>
    </row>
    <row r="1235" spans="1:5" x14ac:dyDescent="0.3">
      <c r="A1235" s="3" t="s">
        <v>387</v>
      </c>
      <c r="B1235" s="3" t="s">
        <v>25</v>
      </c>
      <c r="C1235" s="3" t="s">
        <v>108</v>
      </c>
      <c r="D1235" s="4">
        <f t="shared" ca="1" si="15"/>
        <v>45757</v>
      </c>
      <c r="E1235" s="3" t="s">
        <v>60</v>
      </c>
    </row>
    <row r="1236" spans="1:5" x14ac:dyDescent="0.3">
      <c r="A1236" s="3" t="s">
        <v>385</v>
      </c>
      <c r="B1236" s="3" t="s">
        <v>87</v>
      </c>
      <c r="C1236" s="3" t="s">
        <v>386</v>
      </c>
      <c r="D1236" s="4">
        <f t="shared" ca="1" si="15"/>
        <v>45757</v>
      </c>
      <c r="E1236" s="3" t="s">
        <v>60</v>
      </c>
    </row>
    <row r="1237" spans="1:5" x14ac:dyDescent="0.3">
      <c r="A1237" s="3" t="s">
        <v>416</v>
      </c>
      <c r="B1237" s="3" t="s">
        <v>93</v>
      </c>
      <c r="C1237" s="3" t="s">
        <v>417</v>
      </c>
      <c r="D1237" s="4">
        <f t="shared" ca="1" si="15"/>
        <v>45757</v>
      </c>
      <c r="E1237" s="3" t="s">
        <v>60</v>
      </c>
    </row>
    <row r="1238" spans="1:5" x14ac:dyDescent="0.3">
      <c r="A1238" s="3" t="s">
        <v>803</v>
      </c>
      <c r="B1238" s="3" t="s">
        <v>157</v>
      </c>
      <c r="C1238" s="3" t="s">
        <v>804</v>
      </c>
      <c r="D1238" s="4">
        <f t="shared" ca="1" si="15"/>
        <v>45757</v>
      </c>
      <c r="E1238" s="3" t="s">
        <v>31</v>
      </c>
    </row>
    <row r="1239" spans="1:5" x14ac:dyDescent="0.3">
      <c r="A1239" s="3" t="s">
        <v>666</v>
      </c>
      <c r="B1239" s="3" t="s">
        <v>74</v>
      </c>
      <c r="C1239" s="3" t="s">
        <v>667</v>
      </c>
      <c r="D1239" s="4">
        <f t="shared" ca="1" si="15"/>
        <v>45757</v>
      </c>
      <c r="E1239" s="3" t="s">
        <v>60</v>
      </c>
    </row>
    <row r="1240" spans="1:5" x14ac:dyDescent="0.3">
      <c r="A1240" s="3" t="s">
        <v>604</v>
      </c>
      <c r="B1240" s="3" t="s">
        <v>392</v>
      </c>
      <c r="C1240" s="3" t="s">
        <v>500</v>
      </c>
      <c r="D1240" s="4">
        <f t="shared" ca="1" si="15"/>
        <v>45757</v>
      </c>
      <c r="E1240" s="3" t="s">
        <v>39</v>
      </c>
    </row>
    <row r="1241" spans="1:5" x14ac:dyDescent="0.3">
      <c r="A1241" s="3" t="s">
        <v>779</v>
      </c>
      <c r="B1241" s="3" t="s">
        <v>780</v>
      </c>
      <c r="C1241" s="3" t="s">
        <v>781</v>
      </c>
      <c r="D1241" s="4">
        <f t="shared" ca="1" si="15"/>
        <v>45757</v>
      </c>
      <c r="E1241" s="3" t="s">
        <v>35</v>
      </c>
    </row>
    <row r="1242" spans="1:5" x14ac:dyDescent="0.3">
      <c r="A1242" s="3" t="s">
        <v>604</v>
      </c>
      <c r="B1242" s="3" t="s">
        <v>392</v>
      </c>
      <c r="C1242" s="3" t="s">
        <v>500</v>
      </c>
      <c r="D1242" s="4">
        <f t="shared" ca="1" si="15"/>
        <v>45757</v>
      </c>
      <c r="E1242" s="3" t="s">
        <v>39</v>
      </c>
    </row>
    <row r="1243" spans="1:5" x14ac:dyDescent="0.3">
      <c r="A1243" s="3" t="s">
        <v>576</v>
      </c>
      <c r="B1243" s="3" t="s">
        <v>162</v>
      </c>
      <c r="C1243" s="3" t="s">
        <v>765</v>
      </c>
      <c r="D1243" s="4">
        <f t="shared" ca="1" si="15"/>
        <v>45757</v>
      </c>
      <c r="E1243" s="3" t="s">
        <v>27</v>
      </c>
    </row>
    <row r="1244" spans="1:5" x14ac:dyDescent="0.3">
      <c r="A1244" s="3" t="s">
        <v>172</v>
      </c>
      <c r="B1244" s="3" t="s">
        <v>173</v>
      </c>
      <c r="C1244" s="3" t="s">
        <v>174</v>
      </c>
      <c r="D1244" s="4">
        <f t="shared" ca="1" si="15"/>
        <v>45757</v>
      </c>
      <c r="E1244" s="3" t="s">
        <v>39</v>
      </c>
    </row>
    <row r="1245" spans="1:5" x14ac:dyDescent="0.3">
      <c r="A1245" s="3" t="s">
        <v>756</v>
      </c>
      <c r="B1245" s="3" t="s">
        <v>93</v>
      </c>
      <c r="C1245" s="3" t="s">
        <v>757</v>
      </c>
      <c r="D1245" s="4">
        <f t="shared" ca="1" si="15"/>
        <v>45757</v>
      </c>
      <c r="E1245" s="3" t="s">
        <v>56</v>
      </c>
    </row>
    <row r="1246" spans="1:5" x14ac:dyDescent="0.3">
      <c r="A1246" s="3" t="s">
        <v>673</v>
      </c>
      <c r="B1246" s="3" t="s">
        <v>442</v>
      </c>
      <c r="C1246" s="3" t="s">
        <v>674</v>
      </c>
      <c r="D1246" s="4">
        <f t="shared" ca="1" si="15"/>
        <v>45757</v>
      </c>
      <c r="E1246" s="3" t="s">
        <v>27</v>
      </c>
    </row>
    <row r="1247" spans="1:5" x14ac:dyDescent="0.3">
      <c r="A1247" s="3" t="s">
        <v>433</v>
      </c>
      <c r="B1247" s="3" t="s">
        <v>65</v>
      </c>
      <c r="C1247" s="3" t="s">
        <v>434</v>
      </c>
      <c r="D1247" s="4">
        <f t="shared" ca="1" si="15"/>
        <v>45757</v>
      </c>
      <c r="E1247" s="3" t="s">
        <v>39</v>
      </c>
    </row>
    <row r="1248" spans="1:5" x14ac:dyDescent="0.3">
      <c r="A1248" s="3" t="s">
        <v>343</v>
      </c>
      <c r="B1248" s="3" t="s">
        <v>157</v>
      </c>
      <c r="C1248" s="3" t="s">
        <v>486</v>
      </c>
      <c r="D1248" s="4">
        <f t="shared" ca="1" si="15"/>
        <v>45757</v>
      </c>
      <c r="E1248" s="3" t="s">
        <v>60</v>
      </c>
    </row>
    <row r="1249" spans="1:5" x14ac:dyDescent="0.3">
      <c r="A1249" s="3" t="s">
        <v>470</v>
      </c>
      <c r="B1249" s="3" t="s">
        <v>47</v>
      </c>
      <c r="C1249" s="3" t="s">
        <v>542</v>
      </c>
      <c r="D1249" s="4">
        <f t="shared" ca="1" si="15"/>
        <v>45757</v>
      </c>
      <c r="E1249" s="3" t="s">
        <v>39</v>
      </c>
    </row>
    <row r="1250" spans="1:5" x14ac:dyDescent="0.3">
      <c r="A1250" s="3" t="s">
        <v>281</v>
      </c>
      <c r="B1250" s="3" t="s">
        <v>74</v>
      </c>
      <c r="C1250" s="3" t="s">
        <v>282</v>
      </c>
      <c r="D1250" s="4">
        <f t="shared" ca="1" si="15"/>
        <v>45757</v>
      </c>
      <c r="E1250" s="3" t="s">
        <v>39</v>
      </c>
    </row>
    <row r="1251" spans="1:5" x14ac:dyDescent="0.3">
      <c r="A1251" s="3" t="s">
        <v>643</v>
      </c>
      <c r="B1251" s="3" t="s">
        <v>644</v>
      </c>
      <c r="C1251" s="3" t="s">
        <v>645</v>
      </c>
      <c r="D1251" s="4">
        <f t="shared" ca="1" si="15"/>
        <v>45757</v>
      </c>
      <c r="E1251" s="3" t="s">
        <v>39</v>
      </c>
    </row>
    <row r="1252" spans="1:5" x14ac:dyDescent="0.3">
      <c r="A1252" s="3" t="s">
        <v>470</v>
      </c>
      <c r="B1252" s="3" t="s">
        <v>173</v>
      </c>
      <c r="C1252" s="3" t="s">
        <v>471</v>
      </c>
      <c r="D1252" s="4">
        <f t="shared" ca="1" si="15"/>
        <v>45757</v>
      </c>
      <c r="E1252" s="3" t="s">
        <v>56</v>
      </c>
    </row>
    <row r="1253" spans="1:5" x14ac:dyDescent="0.3">
      <c r="A1253" s="3" t="s">
        <v>573</v>
      </c>
      <c r="B1253" s="3" t="s">
        <v>47</v>
      </c>
      <c r="C1253" s="3" t="s">
        <v>574</v>
      </c>
      <c r="D1253" s="4">
        <f t="shared" ca="1" si="15"/>
        <v>45757</v>
      </c>
      <c r="E1253" s="3" t="s">
        <v>27</v>
      </c>
    </row>
    <row r="1254" spans="1:5" x14ac:dyDescent="0.3">
      <c r="A1254" s="3" t="s">
        <v>794</v>
      </c>
      <c r="B1254" s="3" t="s">
        <v>87</v>
      </c>
      <c r="C1254" s="3" t="s">
        <v>795</v>
      </c>
      <c r="D1254" s="4">
        <f t="shared" ca="1" si="15"/>
        <v>45757</v>
      </c>
      <c r="E1254" s="3" t="s">
        <v>35</v>
      </c>
    </row>
    <row r="1255" spans="1:5" x14ac:dyDescent="0.3">
      <c r="A1255" s="3" t="s">
        <v>675</v>
      </c>
      <c r="B1255" s="3" t="s">
        <v>37</v>
      </c>
      <c r="C1255" s="3" t="s">
        <v>676</v>
      </c>
      <c r="D1255" s="4">
        <f t="shared" ca="1" si="15"/>
        <v>45757</v>
      </c>
      <c r="E1255" s="3" t="s">
        <v>35</v>
      </c>
    </row>
    <row r="1256" spans="1:5" x14ac:dyDescent="0.3">
      <c r="A1256" s="3" t="s">
        <v>361</v>
      </c>
      <c r="B1256" s="3" t="s">
        <v>50</v>
      </c>
      <c r="C1256" s="3" t="s">
        <v>362</v>
      </c>
      <c r="D1256" s="4">
        <f t="shared" ca="1" si="15"/>
        <v>45757</v>
      </c>
      <c r="E1256" s="3" t="s">
        <v>39</v>
      </c>
    </row>
    <row r="1257" spans="1:5" x14ac:dyDescent="0.3">
      <c r="A1257" s="3" t="s">
        <v>184</v>
      </c>
      <c r="B1257" s="3" t="s">
        <v>47</v>
      </c>
      <c r="C1257" s="3" t="s">
        <v>185</v>
      </c>
      <c r="D1257" s="4">
        <f t="shared" ca="1" si="15"/>
        <v>45757</v>
      </c>
      <c r="E1257" s="3" t="s">
        <v>35</v>
      </c>
    </row>
    <row r="1258" spans="1:5" x14ac:dyDescent="0.3">
      <c r="A1258" s="3" t="s">
        <v>805</v>
      </c>
      <c r="B1258" s="3" t="s">
        <v>162</v>
      </c>
      <c r="C1258" s="3" t="s">
        <v>806</v>
      </c>
      <c r="D1258" s="4">
        <f t="shared" ca="1" si="15"/>
        <v>45757</v>
      </c>
      <c r="E1258" s="3" t="s">
        <v>35</v>
      </c>
    </row>
    <row r="1259" spans="1:5" x14ac:dyDescent="0.3">
      <c r="A1259" s="3" t="s">
        <v>364</v>
      </c>
      <c r="B1259" s="3" t="s">
        <v>47</v>
      </c>
      <c r="C1259" s="3" t="s">
        <v>138</v>
      </c>
      <c r="D1259" s="4">
        <f t="shared" ca="1" si="15"/>
        <v>45757</v>
      </c>
      <c r="E1259" s="3" t="s">
        <v>35</v>
      </c>
    </row>
    <row r="1260" spans="1:5" x14ac:dyDescent="0.3">
      <c r="A1260" s="3" t="s">
        <v>466</v>
      </c>
      <c r="B1260" s="3" t="s">
        <v>65</v>
      </c>
      <c r="C1260" s="3" t="s">
        <v>467</v>
      </c>
      <c r="D1260" s="4">
        <f t="shared" ca="1" si="15"/>
        <v>45757</v>
      </c>
      <c r="E1260" s="3" t="s">
        <v>56</v>
      </c>
    </row>
    <row r="1261" spans="1:5" x14ac:dyDescent="0.3">
      <c r="A1261" s="3" t="s">
        <v>731</v>
      </c>
      <c r="B1261" s="3" t="s">
        <v>93</v>
      </c>
      <c r="C1261" s="3" t="s">
        <v>732</v>
      </c>
      <c r="D1261" s="4">
        <f t="shared" ca="1" si="15"/>
        <v>45757</v>
      </c>
      <c r="E1261" s="3" t="s">
        <v>60</v>
      </c>
    </row>
    <row r="1262" spans="1:5" x14ac:dyDescent="0.3">
      <c r="A1262" s="3" t="s">
        <v>215</v>
      </c>
      <c r="B1262" s="3" t="s">
        <v>25</v>
      </c>
      <c r="C1262" s="3" t="s">
        <v>216</v>
      </c>
      <c r="D1262" s="4">
        <f t="shared" ca="1" si="15"/>
        <v>45757</v>
      </c>
      <c r="E1262" s="3" t="s">
        <v>56</v>
      </c>
    </row>
    <row r="1263" spans="1:5" x14ac:dyDescent="0.3">
      <c r="A1263" s="3" t="s">
        <v>736</v>
      </c>
      <c r="B1263" s="3" t="s">
        <v>331</v>
      </c>
      <c r="C1263" s="3" t="s">
        <v>737</v>
      </c>
      <c r="D1263" s="4">
        <f t="shared" ca="1" si="15"/>
        <v>45757</v>
      </c>
      <c r="E1263" s="3" t="s">
        <v>39</v>
      </c>
    </row>
    <row r="1264" spans="1:5" x14ac:dyDescent="0.3">
      <c r="A1264" s="3" t="s">
        <v>643</v>
      </c>
      <c r="B1264" s="3" t="s">
        <v>644</v>
      </c>
      <c r="C1264" s="3" t="s">
        <v>645</v>
      </c>
      <c r="D1264" s="4">
        <f t="shared" ca="1" si="15"/>
        <v>45757</v>
      </c>
      <c r="E1264" s="3" t="s">
        <v>39</v>
      </c>
    </row>
    <row r="1265" spans="1:5" x14ac:dyDescent="0.3">
      <c r="A1265" s="3" t="s">
        <v>92</v>
      </c>
      <c r="B1265" s="3" t="s">
        <v>93</v>
      </c>
      <c r="C1265" s="3" t="s">
        <v>94</v>
      </c>
      <c r="D1265" s="4">
        <f t="shared" ca="1" si="15"/>
        <v>45757</v>
      </c>
      <c r="E1265" s="3" t="s">
        <v>56</v>
      </c>
    </row>
    <row r="1266" spans="1:5" x14ac:dyDescent="0.3">
      <c r="A1266" s="3" t="s">
        <v>57</v>
      </c>
      <c r="B1266" s="3" t="s">
        <v>58</v>
      </c>
      <c r="C1266" s="3" t="s">
        <v>59</v>
      </c>
      <c r="D1266" s="4">
        <f t="shared" ca="1" si="15"/>
        <v>45757</v>
      </c>
      <c r="E1266" s="3" t="s">
        <v>60</v>
      </c>
    </row>
    <row r="1267" spans="1:5" x14ac:dyDescent="0.3">
      <c r="A1267" s="3" t="s">
        <v>792</v>
      </c>
      <c r="B1267" s="3" t="s">
        <v>58</v>
      </c>
      <c r="C1267" s="3" t="s">
        <v>793</v>
      </c>
      <c r="D1267" s="4">
        <f t="shared" ca="1" si="15"/>
        <v>45757</v>
      </c>
      <c r="E1267" s="3" t="s">
        <v>39</v>
      </c>
    </row>
    <row r="1268" spans="1:5" x14ac:dyDescent="0.3">
      <c r="A1268" s="3" t="s">
        <v>655</v>
      </c>
      <c r="B1268" s="3" t="s">
        <v>124</v>
      </c>
      <c r="C1268" s="3" t="s">
        <v>656</v>
      </c>
      <c r="D1268" s="4">
        <f t="shared" ca="1" si="15"/>
        <v>45757</v>
      </c>
      <c r="E1268" s="3" t="s">
        <v>35</v>
      </c>
    </row>
    <row r="1269" spans="1:5" x14ac:dyDescent="0.3">
      <c r="A1269" s="3" t="s">
        <v>639</v>
      </c>
      <c r="B1269" s="3" t="s">
        <v>65</v>
      </c>
      <c r="C1269" s="3" t="s">
        <v>640</v>
      </c>
      <c r="D1269" s="4">
        <f t="shared" ca="1" si="15"/>
        <v>45757</v>
      </c>
      <c r="E1269" s="3" t="s">
        <v>31</v>
      </c>
    </row>
    <row r="1270" spans="1:5" x14ac:dyDescent="0.3">
      <c r="A1270" s="3" t="s">
        <v>244</v>
      </c>
      <c r="B1270" s="3" t="s">
        <v>245</v>
      </c>
      <c r="C1270" s="3" t="s">
        <v>246</v>
      </c>
      <c r="D1270" s="4">
        <f t="shared" ref="D1270:D1368" ca="1" si="16">TODAY()-249</f>
        <v>45788</v>
      </c>
      <c r="E1270" s="3" t="s">
        <v>35</v>
      </c>
    </row>
    <row r="1271" spans="1:5" x14ac:dyDescent="0.3">
      <c r="A1271" s="3" t="s">
        <v>696</v>
      </c>
      <c r="B1271" s="3" t="s">
        <v>74</v>
      </c>
      <c r="C1271" s="3" t="s">
        <v>697</v>
      </c>
      <c r="D1271" s="4">
        <f t="shared" ca="1" si="16"/>
        <v>45788</v>
      </c>
      <c r="E1271" s="3" t="s">
        <v>60</v>
      </c>
    </row>
    <row r="1272" spans="1:5" x14ac:dyDescent="0.3">
      <c r="A1272" s="3" t="s">
        <v>186</v>
      </c>
      <c r="B1272" s="3" t="s">
        <v>71</v>
      </c>
      <c r="C1272" s="3" t="s">
        <v>187</v>
      </c>
      <c r="D1272" s="4">
        <f t="shared" ca="1" si="16"/>
        <v>45788</v>
      </c>
      <c r="E1272" s="3" t="s">
        <v>39</v>
      </c>
    </row>
    <row r="1273" spans="1:5" x14ac:dyDescent="0.3">
      <c r="A1273" s="3" t="s">
        <v>428</v>
      </c>
      <c r="B1273" s="3" t="s">
        <v>87</v>
      </c>
      <c r="C1273" s="3" t="s">
        <v>429</v>
      </c>
      <c r="D1273" s="4">
        <f t="shared" ca="1" si="16"/>
        <v>45788</v>
      </c>
      <c r="E1273" s="3" t="s">
        <v>27</v>
      </c>
    </row>
    <row r="1274" spans="1:5" x14ac:dyDescent="0.3">
      <c r="A1274" s="3" t="s">
        <v>636</v>
      </c>
      <c r="B1274" s="3" t="s">
        <v>65</v>
      </c>
      <c r="C1274" s="3" t="s">
        <v>679</v>
      </c>
      <c r="D1274" s="4">
        <f t="shared" ca="1" si="16"/>
        <v>45788</v>
      </c>
      <c r="E1274" s="3" t="s">
        <v>39</v>
      </c>
    </row>
    <row r="1275" spans="1:5" x14ac:dyDescent="0.3">
      <c r="A1275" s="3" t="s">
        <v>263</v>
      </c>
      <c r="B1275" s="3" t="s">
        <v>178</v>
      </c>
      <c r="C1275" s="3" t="s">
        <v>264</v>
      </c>
      <c r="D1275" s="4">
        <f t="shared" ca="1" si="16"/>
        <v>45788</v>
      </c>
      <c r="E1275" s="3" t="s">
        <v>60</v>
      </c>
    </row>
    <row r="1276" spans="1:5" x14ac:dyDescent="0.3">
      <c r="A1276" s="3" t="s">
        <v>807</v>
      </c>
      <c r="B1276" s="3" t="s">
        <v>808</v>
      </c>
      <c r="C1276" s="3" t="s">
        <v>809</v>
      </c>
      <c r="D1276" s="4">
        <f t="shared" ca="1" si="16"/>
        <v>45788</v>
      </c>
      <c r="E1276" s="3" t="s">
        <v>60</v>
      </c>
    </row>
    <row r="1277" spans="1:5" x14ac:dyDescent="0.3">
      <c r="A1277" s="3" t="s">
        <v>319</v>
      </c>
      <c r="B1277" s="3" t="s">
        <v>98</v>
      </c>
      <c r="C1277" s="3" t="s">
        <v>320</v>
      </c>
      <c r="D1277" s="4">
        <f t="shared" ca="1" si="16"/>
        <v>45788</v>
      </c>
      <c r="E1277" s="3" t="s">
        <v>56</v>
      </c>
    </row>
    <row r="1278" spans="1:5" x14ac:dyDescent="0.3">
      <c r="A1278" s="3" t="s">
        <v>586</v>
      </c>
      <c r="B1278" s="3" t="s">
        <v>157</v>
      </c>
      <c r="C1278" s="3" t="s">
        <v>587</v>
      </c>
      <c r="D1278" s="4">
        <f t="shared" ca="1" si="16"/>
        <v>45788</v>
      </c>
      <c r="E1278" s="3" t="s">
        <v>60</v>
      </c>
    </row>
    <row r="1279" spans="1:5" x14ac:dyDescent="0.3">
      <c r="A1279" s="3" t="s">
        <v>792</v>
      </c>
      <c r="B1279" s="3" t="s">
        <v>58</v>
      </c>
      <c r="C1279" s="3" t="s">
        <v>793</v>
      </c>
      <c r="D1279" s="4">
        <f t="shared" ca="1" si="16"/>
        <v>45788</v>
      </c>
      <c r="E1279" s="3" t="s">
        <v>39</v>
      </c>
    </row>
    <row r="1280" spans="1:5" x14ac:dyDescent="0.3">
      <c r="A1280" s="3" t="s">
        <v>80</v>
      </c>
      <c r="B1280" s="3" t="s">
        <v>62</v>
      </c>
      <c r="C1280" s="3" t="s">
        <v>81</v>
      </c>
      <c r="D1280" s="4">
        <f t="shared" ca="1" si="16"/>
        <v>45788</v>
      </c>
      <c r="E1280" s="3" t="s">
        <v>39</v>
      </c>
    </row>
    <row r="1281" spans="1:5" x14ac:dyDescent="0.3">
      <c r="A1281" s="3" t="s">
        <v>704</v>
      </c>
      <c r="B1281" s="3" t="s">
        <v>165</v>
      </c>
      <c r="C1281" s="3" t="s">
        <v>705</v>
      </c>
      <c r="D1281" s="4">
        <f t="shared" ca="1" si="16"/>
        <v>45788</v>
      </c>
      <c r="E1281" s="3" t="s">
        <v>35</v>
      </c>
    </row>
    <row r="1282" spans="1:5" x14ac:dyDescent="0.3">
      <c r="A1282" s="3" t="s">
        <v>363</v>
      </c>
      <c r="B1282" s="3" t="s">
        <v>71</v>
      </c>
      <c r="C1282" s="3" t="s">
        <v>26</v>
      </c>
      <c r="D1282" s="4">
        <f t="shared" ca="1" si="16"/>
        <v>45788</v>
      </c>
      <c r="E1282" s="3" t="s">
        <v>56</v>
      </c>
    </row>
    <row r="1283" spans="1:5" x14ac:dyDescent="0.3">
      <c r="A1283" s="3" t="s">
        <v>723</v>
      </c>
      <c r="B1283" s="3" t="s">
        <v>331</v>
      </c>
      <c r="C1283" s="3" t="s">
        <v>724</v>
      </c>
      <c r="D1283" s="4">
        <f t="shared" ca="1" si="16"/>
        <v>45788</v>
      </c>
      <c r="E1283" s="3" t="s">
        <v>60</v>
      </c>
    </row>
    <row r="1284" spans="1:5" x14ac:dyDescent="0.3">
      <c r="A1284" s="3" t="s">
        <v>799</v>
      </c>
      <c r="B1284" s="3" t="s">
        <v>118</v>
      </c>
      <c r="C1284" s="3" t="s">
        <v>800</v>
      </c>
      <c r="D1284" s="4">
        <f t="shared" ca="1" si="16"/>
        <v>45788</v>
      </c>
      <c r="E1284" s="3" t="s">
        <v>35</v>
      </c>
    </row>
    <row r="1285" spans="1:5" x14ac:dyDescent="0.3">
      <c r="A1285" s="3" t="s">
        <v>221</v>
      </c>
      <c r="B1285" s="3" t="s">
        <v>65</v>
      </c>
      <c r="C1285" s="3" t="s">
        <v>222</v>
      </c>
      <c r="D1285" s="4">
        <f t="shared" ca="1" si="16"/>
        <v>45788</v>
      </c>
      <c r="E1285" s="3" t="s">
        <v>35</v>
      </c>
    </row>
    <row r="1286" spans="1:5" x14ac:dyDescent="0.3">
      <c r="A1286" s="3" t="s">
        <v>517</v>
      </c>
      <c r="B1286" s="3" t="s">
        <v>518</v>
      </c>
      <c r="C1286" s="3" t="s">
        <v>519</v>
      </c>
      <c r="D1286" s="4">
        <f t="shared" ca="1" si="16"/>
        <v>45788</v>
      </c>
      <c r="E1286" s="3" t="s">
        <v>31</v>
      </c>
    </row>
    <row r="1287" spans="1:5" x14ac:dyDescent="0.3">
      <c r="A1287" s="3" t="s">
        <v>660</v>
      </c>
      <c r="B1287" s="3" t="s">
        <v>211</v>
      </c>
      <c r="C1287" s="3" t="s">
        <v>661</v>
      </c>
      <c r="D1287" s="4">
        <f t="shared" ca="1" si="16"/>
        <v>45788</v>
      </c>
      <c r="E1287" s="3" t="s">
        <v>56</v>
      </c>
    </row>
    <row r="1288" spans="1:5" x14ac:dyDescent="0.3">
      <c r="A1288" s="3" t="s">
        <v>573</v>
      </c>
      <c r="B1288" s="3" t="s">
        <v>74</v>
      </c>
      <c r="C1288" s="3" t="s">
        <v>659</v>
      </c>
      <c r="D1288" s="4">
        <f t="shared" ca="1" si="16"/>
        <v>45788</v>
      </c>
      <c r="E1288" s="3" t="s">
        <v>31</v>
      </c>
    </row>
    <row r="1289" spans="1:5" x14ac:dyDescent="0.3">
      <c r="A1289" s="3" t="s">
        <v>745</v>
      </c>
      <c r="B1289" s="3" t="s">
        <v>58</v>
      </c>
      <c r="C1289" s="3" t="s">
        <v>334</v>
      </c>
      <c r="D1289" s="4">
        <f t="shared" ca="1" si="16"/>
        <v>45788</v>
      </c>
      <c r="E1289" s="3" t="s">
        <v>27</v>
      </c>
    </row>
    <row r="1290" spans="1:5" x14ac:dyDescent="0.3">
      <c r="A1290" s="3" t="s">
        <v>493</v>
      </c>
      <c r="B1290" s="3" t="s">
        <v>118</v>
      </c>
      <c r="C1290" s="3" t="s">
        <v>494</v>
      </c>
      <c r="D1290" s="4">
        <f t="shared" ca="1" si="16"/>
        <v>45788</v>
      </c>
      <c r="E1290" s="3" t="s">
        <v>56</v>
      </c>
    </row>
    <row r="1291" spans="1:5" x14ac:dyDescent="0.3">
      <c r="A1291" s="3" t="s">
        <v>799</v>
      </c>
      <c r="B1291" s="3" t="s">
        <v>118</v>
      </c>
      <c r="C1291" s="3" t="s">
        <v>800</v>
      </c>
      <c r="D1291" s="4">
        <f t="shared" ca="1" si="16"/>
        <v>45788</v>
      </c>
      <c r="E1291" s="3" t="s">
        <v>35</v>
      </c>
    </row>
    <row r="1292" spans="1:5" x14ac:dyDescent="0.3">
      <c r="A1292" s="3" t="s">
        <v>627</v>
      </c>
      <c r="B1292" s="3" t="s">
        <v>87</v>
      </c>
      <c r="C1292" s="3" t="s">
        <v>628</v>
      </c>
      <c r="D1292" s="4">
        <f t="shared" ca="1" si="16"/>
        <v>45788</v>
      </c>
      <c r="E1292" s="3" t="s">
        <v>39</v>
      </c>
    </row>
    <row r="1293" spans="1:5" x14ac:dyDescent="0.3">
      <c r="A1293" s="3" t="s">
        <v>126</v>
      </c>
      <c r="B1293" s="3" t="s">
        <v>65</v>
      </c>
      <c r="C1293" s="3" t="s">
        <v>127</v>
      </c>
      <c r="D1293" s="4">
        <f t="shared" ca="1" si="16"/>
        <v>45788</v>
      </c>
      <c r="E1293" s="3" t="s">
        <v>35</v>
      </c>
    </row>
    <row r="1294" spans="1:5" x14ac:dyDescent="0.3">
      <c r="A1294" s="3" t="s">
        <v>120</v>
      </c>
      <c r="B1294" s="3" t="s">
        <v>121</v>
      </c>
      <c r="C1294" s="3" t="s">
        <v>122</v>
      </c>
      <c r="D1294" s="4">
        <f t="shared" ca="1" si="16"/>
        <v>45788</v>
      </c>
      <c r="E1294" s="3" t="s">
        <v>39</v>
      </c>
    </row>
    <row r="1295" spans="1:5" x14ac:dyDescent="0.3">
      <c r="A1295" s="3" t="s">
        <v>283</v>
      </c>
      <c r="B1295" s="3" t="s">
        <v>284</v>
      </c>
      <c r="C1295" s="3" t="s">
        <v>285</v>
      </c>
      <c r="D1295" s="4">
        <f t="shared" ca="1" si="16"/>
        <v>45788</v>
      </c>
      <c r="E1295" s="3" t="s">
        <v>60</v>
      </c>
    </row>
    <row r="1296" spans="1:5" x14ac:dyDescent="0.3">
      <c r="A1296" s="3" t="s">
        <v>57</v>
      </c>
      <c r="B1296" s="3" t="s">
        <v>245</v>
      </c>
      <c r="C1296" s="3" t="s">
        <v>569</v>
      </c>
      <c r="D1296" s="4">
        <f t="shared" ca="1" si="16"/>
        <v>45788</v>
      </c>
      <c r="E1296" s="3" t="s">
        <v>60</v>
      </c>
    </row>
    <row r="1297" spans="1:5" x14ac:dyDescent="0.3">
      <c r="A1297" s="3" t="s">
        <v>646</v>
      </c>
      <c r="B1297" s="3" t="s">
        <v>212</v>
      </c>
      <c r="C1297" s="3" t="s">
        <v>647</v>
      </c>
      <c r="D1297" s="4">
        <f t="shared" ca="1" si="16"/>
        <v>45788</v>
      </c>
      <c r="E1297" s="3" t="s">
        <v>39</v>
      </c>
    </row>
    <row r="1298" spans="1:5" x14ac:dyDescent="0.3">
      <c r="A1298" s="3" t="s">
        <v>479</v>
      </c>
      <c r="B1298" s="3" t="s">
        <v>140</v>
      </c>
      <c r="C1298" s="3" t="s">
        <v>480</v>
      </c>
      <c r="D1298" s="4">
        <f t="shared" ca="1" si="16"/>
        <v>45788</v>
      </c>
      <c r="E1298" s="3" t="s">
        <v>60</v>
      </c>
    </row>
    <row r="1299" spans="1:5" x14ac:dyDescent="0.3">
      <c r="A1299" s="3" t="s">
        <v>525</v>
      </c>
      <c r="B1299" s="3" t="s">
        <v>326</v>
      </c>
      <c r="C1299" s="3" t="s">
        <v>526</v>
      </c>
      <c r="D1299" s="4">
        <f t="shared" ca="1" si="16"/>
        <v>45788</v>
      </c>
      <c r="E1299" s="3" t="s">
        <v>39</v>
      </c>
    </row>
    <row r="1300" spans="1:5" x14ac:dyDescent="0.3">
      <c r="A1300" s="3" t="s">
        <v>104</v>
      </c>
      <c r="B1300" s="3" t="s">
        <v>47</v>
      </c>
      <c r="C1300" s="3" t="s">
        <v>105</v>
      </c>
      <c r="D1300" s="4">
        <f t="shared" ca="1" si="16"/>
        <v>45788</v>
      </c>
      <c r="E1300" s="3" t="s">
        <v>39</v>
      </c>
    </row>
    <row r="1301" spans="1:5" x14ac:dyDescent="0.3">
      <c r="A1301" s="3" t="s">
        <v>361</v>
      </c>
      <c r="B1301" s="3" t="s">
        <v>50</v>
      </c>
      <c r="C1301" s="3" t="s">
        <v>362</v>
      </c>
      <c r="D1301" s="4">
        <f t="shared" ca="1" si="16"/>
        <v>45788</v>
      </c>
      <c r="E1301" s="3" t="s">
        <v>39</v>
      </c>
    </row>
    <row r="1302" spans="1:5" x14ac:dyDescent="0.3">
      <c r="A1302" s="3" t="s">
        <v>232</v>
      </c>
      <c r="B1302" s="3" t="s">
        <v>41</v>
      </c>
      <c r="C1302" s="3" t="s">
        <v>233</v>
      </c>
      <c r="D1302" s="4">
        <f t="shared" ca="1" si="16"/>
        <v>45788</v>
      </c>
      <c r="E1302" s="3" t="s">
        <v>27</v>
      </c>
    </row>
    <row r="1303" spans="1:5" x14ac:dyDescent="0.3">
      <c r="A1303" s="3" t="s">
        <v>430</v>
      </c>
      <c r="B1303" s="3" t="s">
        <v>212</v>
      </c>
      <c r="C1303" s="3" t="s">
        <v>431</v>
      </c>
      <c r="D1303" s="4">
        <f t="shared" ca="1" si="16"/>
        <v>45788</v>
      </c>
      <c r="E1303" s="3" t="s">
        <v>27</v>
      </c>
    </row>
    <row r="1304" spans="1:5" x14ac:dyDescent="0.3">
      <c r="A1304" s="3" t="s">
        <v>537</v>
      </c>
      <c r="B1304" s="3" t="s">
        <v>157</v>
      </c>
      <c r="C1304" s="3" t="s">
        <v>538</v>
      </c>
      <c r="D1304" s="4">
        <f t="shared" ca="1" si="16"/>
        <v>45788</v>
      </c>
      <c r="E1304" s="3" t="s">
        <v>31</v>
      </c>
    </row>
    <row r="1305" spans="1:5" x14ac:dyDescent="0.3">
      <c r="A1305" s="3" t="s">
        <v>727</v>
      </c>
      <c r="B1305" s="3" t="s">
        <v>50</v>
      </c>
      <c r="C1305" s="3" t="s">
        <v>728</v>
      </c>
      <c r="D1305" s="4">
        <f t="shared" ca="1" si="16"/>
        <v>45788</v>
      </c>
      <c r="E1305" s="3" t="s">
        <v>60</v>
      </c>
    </row>
    <row r="1306" spans="1:5" x14ac:dyDescent="0.3">
      <c r="A1306" s="3" t="s">
        <v>211</v>
      </c>
      <c r="B1306" s="3" t="s">
        <v>212</v>
      </c>
      <c r="C1306" s="3" t="s">
        <v>169</v>
      </c>
      <c r="D1306" s="4">
        <f t="shared" ca="1" si="16"/>
        <v>45788</v>
      </c>
      <c r="E1306" s="3" t="s">
        <v>56</v>
      </c>
    </row>
    <row r="1307" spans="1:5" x14ac:dyDescent="0.3">
      <c r="A1307" s="3" t="s">
        <v>97</v>
      </c>
      <c r="B1307" s="3" t="s">
        <v>193</v>
      </c>
      <c r="C1307" s="3" t="s">
        <v>303</v>
      </c>
      <c r="D1307" s="4">
        <f t="shared" ca="1" si="16"/>
        <v>45788</v>
      </c>
      <c r="E1307" s="3" t="s">
        <v>35</v>
      </c>
    </row>
    <row r="1308" spans="1:5" x14ac:dyDescent="0.3">
      <c r="A1308" s="3" t="s">
        <v>614</v>
      </c>
      <c r="B1308" s="3" t="s">
        <v>33</v>
      </c>
      <c r="C1308" s="3" t="s">
        <v>615</v>
      </c>
      <c r="D1308" s="4">
        <f t="shared" ca="1" si="16"/>
        <v>45788</v>
      </c>
      <c r="E1308" s="3" t="s">
        <v>60</v>
      </c>
    </row>
    <row r="1309" spans="1:5" x14ac:dyDescent="0.3">
      <c r="A1309" s="3" t="s">
        <v>154</v>
      </c>
      <c r="B1309" s="3" t="s">
        <v>71</v>
      </c>
      <c r="C1309" s="3" t="s">
        <v>155</v>
      </c>
      <c r="D1309" s="4">
        <f t="shared" ca="1" si="16"/>
        <v>45788</v>
      </c>
      <c r="E1309" s="3" t="s">
        <v>60</v>
      </c>
    </row>
    <row r="1310" spans="1:5" x14ac:dyDescent="0.3">
      <c r="A1310" s="3" t="s">
        <v>475</v>
      </c>
      <c r="B1310" s="3" t="s">
        <v>33</v>
      </c>
      <c r="C1310" s="3" t="s">
        <v>476</v>
      </c>
      <c r="D1310" s="4">
        <f t="shared" ca="1" si="16"/>
        <v>45788</v>
      </c>
      <c r="E1310" s="3" t="s">
        <v>60</v>
      </c>
    </row>
    <row r="1311" spans="1:5" x14ac:dyDescent="0.3">
      <c r="A1311" s="3" t="s">
        <v>776</v>
      </c>
      <c r="B1311" s="3" t="s">
        <v>178</v>
      </c>
      <c r="C1311" s="3" t="s">
        <v>777</v>
      </c>
      <c r="D1311" s="4">
        <f t="shared" ca="1" si="16"/>
        <v>45788</v>
      </c>
      <c r="E1311" s="3" t="s">
        <v>31</v>
      </c>
    </row>
    <row r="1312" spans="1:5" x14ac:dyDescent="0.3">
      <c r="A1312" s="3" t="s">
        <v>290</v>
      </c>
      <c r="B1312" s="3" t="s">
        <v>58</v>
      </c>
      <c r="C1312" s="3" t="s">
        <v>291</v>
      </c>
      <c r="D1312" s="4">
        <f t="shared" ca="1" si="16"/>
        <v>45788</v>
      </c>
      <c r="E1312" s="3" t="s">
        <v>39</v>
      </c>
    </row>
    <row r="1313" spans="1:5" x14ac:dyDescent="0.3">
      <c r="A1313" s="3" t="s">
        <v>650</v>
      </c>
      <c r="B1313" s="3" t="s">
        <v>298</v>
      </c>
      <c r="C1313" s="3" t="s">
        <v>789</v>
      </c>
      <c r="D1313" s="4">
        <f t="shared" ca="1" si="16"/>
        <v>45788</v>
      </c>
      <c r="E1313" s="3" t="s">
        <v>60</v>
      </c>
    </row>
    <row r="1314" spans="1:5" x14ac:dyDescent="0.3">
      <c r="A1314" s="3" t="s">
        <v>627</v>
      </c>
      <c r="B1314" s="3" t="s">
        <v>87</v>
      </c>
      <c r="C1314" s="3" t="s">
        <v>628</v>
      </c>
      <c r="D1314" s="4">
        <f t="shared" ca="1" si="16"/>
        <v>45788</v>
      </c>
      <c r="E1314" s="3" t="s">
        <v>39</v>
      </c>
    </row>
    <row r="1315" spans="1:5" x14ac:dyDescent="0.3">
      <c r="A1315" s="3" t="s">
        <v>636</v>
      </c>
      <c r="B1315" s="3" t="s">
        <v>71</v>
      </c>
      <c r="C1315" s="3" t="s">
        <v>200</v>
      </c>
      <c r="D1315" s="4">
        <f t="shared" ca="1" si="16"/>
        <v>45788</v>
      </c>
      <c r="E1315" s="3" t="s">
        <v>60</v>
      </c>
    </row>
    <row r="1316" spans="1:5" x14ac:dyDescent="0.3">
      <c r="A1316" s="3" t="s">
        <v>325</v>
      </c>
      <c r="B1316" s="3" t="s">
        <v>37</v>
      </c>
      <c r="C1316" s="3" t="s">
        <v>468</v>
      </c>
      <c r="D1316" s="4">
        <f t="shared" ca="1" si="16"/>
        <v>45788</v>
      </c>
      <c r="E1316" s="3" t="s">
        <v>35</v>
      </c>
    </row>
    <row r="1317" spans="1:5" x14ac:dyDescent="0.3">
      <c r="A1317" s="3" t="s">
        <v>493</v>
      </c>
      <c r="B1317" s="3" t="s">
        <v>118</v>
      </c>
      <c r="C1317" s="3" t="s">
        <v>494</v>
      </c>
      <c r="D1317" s="4">
        <f t="shared" ca="1" si="16"/>
        <v>45788</v>
      </c>
      <c r="E1317" s="3" t="s">
        <v>56</v>
      </c>
    </row>
    <row r="1318" spans="1:5" x14ac:dyDescent="0.3">
      <c r="A1318" s="3" t="s">
        <v>339</v>
      </c>
      <c r="B1318" s="3" t="s">
        <v>44</v>
      </c>
      <c r="C1318" s="3" t="s">
        <v>460</v>
      </c>
      <c r="D1318" s="4">
        <f t="shared" ca="1" si="16"/>
        <v>45788</v>
      </c>
      <c r="E1318" s="3" t="s">
        <v>35</v>
      </c>
    </row>
    <row r="1319" spans="1:5" x14ac:dyDescent="0.3">
      <c r="A1319" s="3" t="s">
        <v>420</v>
      </c>
      <c r="B1319" s="3" t="s">
        <v>193</v>
      </c>
      <c r="C1319" s="3" t="s">
        <v>421</v>
      </c>
      <c r="D1319" s="4">
        <f t="shared" ca="1" si="16"/>
        <v>45788</v>
      </c>
      <c r="E1319" s="3" t="s">
        <v>60</v>
      </c>
    </row>
    <row r="1320" spans="1:5" x14ac:dyDescent="0.3">
      <c r="A1320" s="3" t="s">
        <v>533</v>
      </c>
      <c r="B1320" s="3" t="s">
        <v>50</v>
      </c>
      <c r="C1320" s="3" t="s">
        <v>534</v>
      </c>
      <c r="D1320" s="4">
        <f t="shared" ca="1" si="16"/>
        <v>45788</v>
      </c>
      <c r="E1320" s="3" t="s">
        <v>60</v>
      </c>
    </row>
    <row r="1321" spans="1:5" x14ac:dyDescent="0.3">
      <c r="A1321" s="3" t="s">
        <v>412</v>
      </c>
      <c r="B1321" s="3" t="s">
        <v>65</v>
      </c>
      <c r="C1321" s="3" t="s">
        <v>413</v>
      </c>
      <c r="D1321" s="4">
        <f t="shared" ca="1" si="16"/>
        <v>45788</v>
      </c>
      <c r="E1321" s="3" t="s">
        <v>39</v>
      </c>
    </row>
    <row r="1322" spans="1:5" x14ac:dyDescent="0.3">
      <c r="A1322" s="3" t="s">
        <v>249</v>
      </c>
      <c r="B1322" s="3" t="s">
        <v>193</v>
      </c>
      <c r="C1322" s="3" t="s">
        <v>250</v>
      </c>
      <c r="D1322" s="4">
        <f t="shared" ca="1" si="16"/>
        <v>45788</v>
      </c>
      <c r="E1322" s="3" t="s">
        <v>39</v>
      </c>
    </row>
    <row r="1323" spans="1:5" x14ac:dyDescent="0.3">
      <c r="A1323" s="3" t="s">
        <v>311</v>
      </c>
      <c r="B1323" s="3" t="s">
        <v>74</v>
      </c>
      <c r="C1323" s="3" t="s">
        <v>754</v>
      </c>
      <c r="D1323" s="4">
        <f t="shared" ca="1" si="16"/>
        <v>45788</v>
      </c>
      <c r="E1323" s="3" t="s">
        <v>27</v>
      </c>
    </row>
    <row r="1324" spans="1:5" x14ac:dyDescent="0.3">
      <c r="A1324" s="3" t="s">
        <v>24</v>
      </c>
      <c r="B1324" s="3" t="s">
        <v>25</v>
      </c>
      <c r="C1324" s="3" t="s">
        <v>26</v>
      </c>
      <c r="D1324" s="4">
        <f t="shared" ca="1" si="16"/>
        <v>45788</v>
      </c>
      <c r="E1324" s="3" t="s">
        <v>27</v>
      </c>
    </row>
    <row r="1325" spans="1:5" x14ac:dyDescent="0.3">
      <c r="A1325" s="3" t="s">
        <v>377</v>
      </c>
      <c r="B1325" s="3" t="s">
        <v>65</v>
      </c>
      <c r="C1325" s="3" t="s">
        <v>654</v>
      </c>
      <c r="D1325" s="4">
        <f t="shared" ca="1" si="16"/>
        <v>45788</v>
      </c>
      <c r="E1325" s="3" t="s">
        <v>60</v>
      </c>
    </row>
    <row r="1326" spans="1:5" x14ac:dyDescent="0.3">
      <c r="A1326" s="3" t="s">
        <v>803</v>
      </c>
      <c r="B1326" s="3" t="s">
        <v>157</v>
      </c>
      <c r="C1326" s="3" t="s">
        <v>804</v>
      </c>
      <c r="D1326" s="4">
        <f t="shared" ca="1" si="16"/>
        <v>45788</v>
      </c>
      <c r="E1326" s="3" t="s">
        <v>31</v>
      </c>
    </row>
    <row r="1327" spans="1:5" x14ac:dyDescent="0.3">
      <c r="A1327" s="3" t="s">
        <v>560</v>
      </c>
      <c r="B1327" s="3" t="s">
        <v>110</v>
      </c>
      <c r="C1327" s="3" t="s">
        <v>561</v>
      </c>
      <c r="D1327" s="4">
        <f t="shared" ca="1" si="16"/>
        <v>45788</v>
      </c>
      <c r="E1327" s="3" t="s">
        <v>60</v>
      </c>
    </row>
    <row r="1328" spans="1:5" x14ac:dyDescent="0.3">
      <c r="A1328" s="3" t="s">
        <v>43</v>
      </c>
      <c r="B1328" s="3" t="s">
        <v>44</v>
      </c>
      <c r="C1328" s="3" t="s">
        <v>45</v>
      </c>
      <c r="D1328" s="4">
        <f t="shared" ca="1" si="16"/>
        <v>45788</v>
      </c>
      <c r="E1328" s="3" t="s">
        <v>35</v>
      </c>
    </row>
    <row r="1329" spans="1:5" x14ac:dyDescent="0.3">
      <c r="A1329" s="3" t="s">
        <v>725</v>
      </c>
      <c r="B1329" s="3" t="s">
        <v>37</v>
      </c>
      <c r="C1329" s="3" t="s">
        <v>726</v>
      </c>
      <c r="D1329" s="4">
        <f t="shared" ca="1" si="16"/>
        <v>45788</v>
      </c>
      <c r="E1329" s="3" t="s">
        <v>31</v>
      </c>
    </row>
    <row r="1330" spans="1:5" x14ac:dyDescent="0.3">
      <c r="A1330" s="3" t="s">
        <v>299</v>
      </c>
      <c r="B1330" s="3" t="s">
        <v>33</v>
      </c>
      <c r="C1330" s="3" t="s">
        <v>300</v>
      </c>
      <c r="D1330" s="4">
        <f t="shared" ca="1" si="16"/>
        <v>45788</v>
      </c>
      <c r="E1330" s="3" t="s">
        <v>60</v>
      </c>
    </row>
    <row r="1331" spans="1:5" x14ac:dyDescent="0.3">
      <c r="A1331" s="3" t="s">
        <v>251</v>
      </c>
      <c r="B1331" s="3" t="s">
        <v>93</v>
      </c>
      <c r="C1331" s="3" t="s">
        <v>96</v>
      </c>
      <c r="D1331" s="4">
        <f t="shared" ca="1" si="16"/>
        <v>45788</v>
      </c>
      <c r="E1331" s="3" t="s">
        <v>56</v>
      </c>
    </row>
    <row r="1332" spans="1:5" x14ac:dyDescent="0.3">
      <c r="A1332" s="3" t="s">
        <v>593</v>
      </c>
      <c r="B1332" s="3" t="s">
        <v>50</v>
      </c>
      <c r="C1332" s="3" t="s">
        <v>594</v>
      </c>
      <c r="D1332" s="4">
        <f t="shared" ca="1" si="16"/>
        <v>45788</v>
      </c>
      <c r="E1332" s="3" t="s">
        <v>35</v>
      </c>
    </row>
    <row r="1333" spans="1:5" x14ac:dyDescent="0.3">
      <c r="A1333" s="3" t="s">
        <v>671</v>
      </c>
      <c r="B1333" s="3" t="s">
        <v>118</v>
      </c>
      <c r="C1333" s="3" t="s">
        <v>672</v>
      </c>
      <c r="D1333" s="4">
        <f t="shared" ca="1" si="16"/>
        <v>45788</v>
      </c>
      <c r="E1333" s="3" t="s">
        <v>60</v>
      </c>
    </row>
    <row r="1334" spans="1:5" x14ac:dyDescent="0.3">
      <c r="A1334" s="3" t="s">
        <v>112</v>
      </c>
      <c r="B1334" s="3" t="s">
        <v>44</v>
      </c>
      <c r="C1334" s="3" t="s">
        <v>188</v>
      </c>
      <c r="D1334" s="4">
        <f t="shared" ca="1" si="16"/>
        <v>45788</v>
      </c>
      <c r="E1334" s="3" t="s">
        <v>27</v>
      </c>
    </row>
    <row r="1335" spans="1:5" x14ac:dyDescent="0.3">
      <c r="A1335" s="3" t="s">
        <v>137</v>
      </c>
      <c r="B1335" s="3" t="s">
        <v>87</v>
      </c>
      <c r="C1335" s="3" t="s">
        <v>138</v>
      </c>
      <c r="D1335" s="4">
        <f t="shared" ca="1" si="16"/>
        <v>45788</v>
      </c>
      <c r="E1335" s="3" t="s">
        <v>56</v>
      </c>
    </row>
    <row r="1336" spans="1:5" x14ac:dyDescent="0.3">
      <c r="A1336" s="3" t="s">
        <v>325</v>
      </c>
      <c r="B1336" s="3" t="s">
        <v>37</v>
      </c>
      <c r="C1336" s="3" t="s">
        <v>468</v>
      </c>
      <c r="D1336" s="4">
        <f t="shared" ca="1" si="16"/>
        <v>45788</v>
      </c>
      <c r="E1336" s="3" t="s">
        <v>35</v>
      </c>
    </row>
    <row r="1337" spans="1:5" x14ac:dyDescent="0.3">
      <c r="A1337" s="3" t="s">
        <v>479</v>
      </c>
      <c r="B1337" s="3" t="s">
        <v>140</v>
      </c>
      <c r="C1337" s="3" t="s">
        <v>480</v>
      </c>
      <c r="D1337" s="4">
        <f t="shared" ca="1" si="16"/>
        <v>45788</v>
      </c>
      <c r="E1337" s="3" t="s">
        <v>60</v>
      </c>
    </row>
    <row r="1338" spans="1:5" x14ac:dyDescent="0.3">
      <c r="A1338" s="3" t="s">
        <v>650</v>
      </c>
      <c r="B1338" s="3" t="s">
        <v>245</v>
      </c>
      <c r="C1338" s="3" t="s">
        <v>651</v>
      </c>
      <c r="D1338" s="4">
        <f t="shared" ca="1" si="16"/>
        <v>45788</v>
      </c>
      <c r="E1338" s="3" t="s">
        <v>35</v>
      </c>
    </row>
    <row r="1339" spans="1:5" x14ac:dyDescent="0.3">
      <c r="A1339" s="3" t="s">
        <v>637</v>
      </c>
      <c r="B1339" s="3" t="s">
        <v>165</v>
      </c>
      <c r="C1339" s="3" t="s">
        <v>638</v>
      </c>
      <c r="D1339" s="4">
        <f t="shared" ca="1" si="16"/>
        <v>45788</v>
      </c>
      <c r="E1339" s="3" t="s">
        <v>60</v>
      </c>
    </row>
    <row r="1340" spans="1:5" x14ac:dyDescent="0.3">
      <c r="A1340" s="3" t="s">
        <v>455</v>
      </c>
      <c r="B1340" s="3" t="s">
        <v>50</v>
      </c>
      <c r="C1340" s="3" t="s">
        <v>456</v>
      </c>
      <c r="D1340" s="4">
        <f t="shared" ca="1" si="16"/>
        <v>45788</v>
      </c>
      <c r="E1340" s="3" t="s">
        <v>39</v>
      </c>
    </row>
    <row r="1341" spans="1:5" x14ac:dyDescent="0.3">
      <c r="A1341" s="3" t="s">
        <v>430</v>
      </c>
      <c r="B1341" s="3" t="s">
        <v>212</v>
      </c>
      <c r="C1341" s="3" t="s">
        <v>431</v>
      </c>
      <c r="D1341" s="4">
        <f t="shared" ca="1" si="16"/>
        <v>45788</v>
      </c>
      <c r="E1341" s="3" t="s">
        <v>27</v>
      </c>
    </row>
    <row r="1342" spans="1:5" x14ac:dyDescent="0.3">
      <c r="A1342" s="3" t="s">
        <v>139</v>
      </c>
      <c r="B1342" s="3" t="s">
        <v>140</v>
      </c>
      <c r="C1342" s="3" t="s">
        <v>141</v>
      </c>
      <c r="D1342" s="4">
        <f t="shared" ca="1" si="16"/>
        <v>45788</v>
      </c>
      <c r="E1342" s="3" t="s">
        <v>31</v>
      </c>
    </row>
    <row r="1343" spans="1:5" x14ac:dyDescent="0.3">
      <c r="A1343" s="3" t="s">
        <v>708</v>
      </c>
      <c r="B1343" s="3" t="s">
        <v>58</v>
      </c>
      <c r="C1343" s="3" t="s">
        <v>709</v>
      </c>
      <c r="D1343" s="4">
        <f t="shared" ca="1" si="16"/>
        <v>45788</v>
      </c>
      <c r="E1343" s="3" t="s">
        <v>35</v>
      </c>
    </row>
    <row r="1344" spans="1:5" x14ac:dyDescent="0.3">
      <c r="A1344" s="3" t="s">
        <v>346</v>
      </c>
      <c r="B1344" s="3" t="s">
        <v>193</v>
      </c>
      <c r="C1344" s="3" t="s">
        <v>347</v>
      </c>
      <c r="D1344" s="4">
        <f t="shared" ca="1" si="16"/>
        <v>45788</v>
      </c>
      <c r="E1344" s="3" t="s">
        <v>39</v>
      </c>
    </row>
    <row r="1345" spans="1:5" x14ac:dyDescent="0.3">
      <c r="A1345" s="3" t="s">
        <v>810</v>
      </c>
      <c r="B1345" s="3" t="s">
        <v>261</v>
      </c>
      <c r="C1345" s="3" t="s">
        <v>811</v>
      </c>
      <c r="D1345" s="4">
        <f t="shared" ca="1" si="16"/>
        <v>45788</v>
      </c>
      <c r="E1345" s="3" t="s">
        <v>27</v>
      </c>
    </row>
    <row r="1346" spans="1:5" x14ac:dyDescent="0.3">
      <c r="A1346" s="3" t="s">
        <v>89</v>
      </c>
      <c r="B1346" s="3" t="s">
        <v>581</v>
      </c>
      <c r="C1346" s="3" t="s">
        <v>582</v>
      </c>
      <c r="D1346" s="4">
        <f t="shared" ca="1" si="16"/>
        <v>45788</v>
      </c>
      <c r="E1346" s="3" t="s">
        <v>39</v>
      </c>
    </row>
    <row r="1347" spans="1:5" x14ac:dyDescent="0.3">
      <c r="A1347" s="3" t="s">
        <v>46</v>
      </c>
      <c r="B1347" s="3" t="s">
        <v>47</v>
      </c>
      <c r="C1347" s="3" t="s">
        <v>48</v>
      </c>
      <c r="D1347" s="4">
        <f t="shared" ca="1" si="16"/>
        <v>45788</v>
      </c>
      <c r="E1347" s="3" t="s">
        <v>27</v>
      </c>
    </row>
    <row r="1348" spans="1:5" x14ac:dyDescent="0.3">
      <c r="A1348" s="3" t="s">
        <v>491</v>
      </c>
      <c r="B1348" s="3" t="s">
        <v>617</v>
      </c>
      <c r="C1348" s="3" t="s">
        <v>775</v>
      </c>
      <c r="D1348" s="4">
        <f t="shared" ca="1" si="16"/>
        <v>45788</v>
      </c>
      <c r="E1348" s="3" t="s">
        <v>60</v>
      </c>
    </row>
    <row r="1349" spans="1:5" x14ac:dyDescent="0.3">
      <c r="A1349" s="3" t="s">
        <v>211</v>
      </c>
      <c r="B1349" s="3" t="s">
        <v>212</v>
      </c>
      <c r="C1349" s="3" t="s">
        <v>169</v>
      </c>
      <c r="D1349" s="4">
        <f t="shared" ca="1" si="16"/>
        <v>45788</v>
      </c>
      <c r="E1349" s="3" t="s">
        <v>56</v>
      </c>
    </row>
    <row r="1350" spans="1:5" x14ac:dyDescent="0.3">
      <c r="A1350" s="3" t="s">
        <v>36</v>
      </c>
      <c r="B1350" s="3" t="s">
        <v>37</v>
      </c>
      <c r="C1350" s="3" t="s">
        <v>38</v>
      </c>
      <c r="D1350" s="4">
        <f t="shared" ca="1" si="16"/>
        <v>45788</v>
      </c>
      <c r="E1350" s="3" t="s">
        <v>39</v>
      </c>
    </row>
    <row r="1351" spans="1:5" x14ac:dyDescent="0.3">
      <c r="A1351" s="3" t="s">
        <v>388</v>
      </c>
      <c r="B1351" s="3" t="s">
        <v>157</v>
      </c>
      <c r="C1351" s="3" t="s">
        <v>389</v>
      </c>
      <c r="D1351" s="4">
        <f t="shared" ca="1" si="16"/>
        <v>45788</v>
      </c>
      <c r="E1351" s="3" t="s">
        <v>56</v>
      </c>
    </row>
    <row r="1352" spans="1:5" x14ac:dyDescent="0.3">
      <c r="A1352" s="3" t="s">
        <v>144</v>
      </c>
      <c r="B1352" s="3" t="s">
        <v>145</v>
      </c>
      <c r="C1352" s="3" t="s">
        <v>146</v>
      </c>
      <c r="D1352" s="4">
        <f t="shared" ca="1" si="16"/>
        <v>45788</v>
      </c>
      <c r="E1352" s="3" t="s">
        <v>27</v>
      </c>
    </row>
    <row r="1353" spans="1:5" x14ac:dyDescent="0.3">
      <c r="A1353" s="3" t="s">
        <v>716</v>
      </c>
      <c r="B1353" s="3" t="s">
        <v>717</v>
      </c>
      <c r="C1353" s="3" t="s">
        <v>718</v>
      </c>
      <c r="D1353" s="4">
        <f t="shared" ca="1" si="16"/>
        <v>45788</v>
      </c>
      <c r="E1353" s="3" t="s">
        <v>60</v>
      </c>
    </row>
    <row r="1354" spans="1:5" x14ac:dyDescent="0.3">
      <c r="A1354" s="3" t="s">
        <v>632</v>
      </c>
      <c r="B1354" s="3" t="s">
        <v>368</v>
      </c>
      <c r="C1354" s="3" t="s">
        <v>633</v>
      </c>
      <c r="D1354" s="4">
        <f t="shared" ca="1" si="16"/>
        <v>45788</v>
      </c>
      <c r="E1354" s="3" t="s">
        <v>60</v>
      </c>
    </row>
    <row r="1355" spans="1:5" x14ac:dyDescent="0.3">
      <c r="A1355" s="3" t="s">
        <v>655</v>
      </c>
      <c r="B1355" s="3" t="s">
        <v>124</v>
      </c>
      <c r="C1355" s="3" t="s">
        <v>656</v>
      </c>
      <c r="D1355" s="4">
        <f t="shared" ca="1" si="16"/>
        <v>45788</v>
      </c>
      <c r="E1355" s="3" t="s">
        <v>35</v>
      </c>
    </row>
    <row r="1356" spans="1:5" x14ac:dyDescent="0.3">
      <c r="A1356" s="3" t="s">
        <v>596</v>
      </c>
      <c r="B1356" s="3" t="s">
        <v>157</v>
      </c>
      <c r="C1356" s="3" t="s">
        <v>285</v>
      </c>
      <c r="D1356" s="4">
        <f t="shared" ca="1" si="16"/>
        <v>45788</v>
      </c>
      <c r="E1356" s="3" t="s">
        <v>39</v>
      </c>
    </row>
    <row r="1357" spans="1:5" x14ac:dyDescent="0.3">
      <c r="A1357" s="3" t="s">
        <v>684</v>
      </c>
      <c r="B1357" s="3" t="s">
        <v>65</v>
      </c>
      <c r="C1357" s="3" t="s">
        <v>685</v>
      </c>
      <c r="D1357" s="4">
        <f t="shared" ca="1" si="16"/>
        <v>45788</v>
      </c>
      <c r="E1357" s="3" t="s">
        <v>27</v>
      </c>
    </row>
    <row r="1358" spans="1:5" x14ac:dyDescent="0.3">
      <c r="A1358" s="3" t="s">
        <v>576</v>
      </c>
      <c r="B1358" s="3" t="s">
        <v>518</v>
      </c>
      <c r="C1358" s="3" t="s">
        <v>577</v>
      </c>
      <c r="D1358" s="4">
        <f t="shared" ca="1" si="16"/>
        <v>45788</v>
      </c>
      <c r="E1358" s="3" t="s">
        <v>60</v>
      </c>
    </row>
    <row r="1359" spans="1:5" x14ac:dyDescent="0.3">
      <c r="A1359" s="3" t="s">
        <v>706</v>
      </c>
      <c r="B1359" s="3" t="s">
        <v>133</v>
      </c>
      <c r="C1359" s="3" t="s">
        <v>707</v>
      </c>
      <c r="D1359" s="4">
        <f t="shared" ca="1" si="16"/>
        <v>45788</v>
      </c>
      <c r="E1359" s="3" t="s">
        <v>35</v>
      </c>
    </row>
    <row r="1360" spans="1:5" x14ac:dyDescent="0.3">
      <c r="A1360" s="3" t="s">
        <v>491</v>
      </c>
      <c r="B1360" s="3" t="s">
        <v>617</v>
      </c>
      <c r="C1360" s="3" t="s">
        <v>775</v>
      </c>
      <c r="D1360" s="4">
        <f t="shared" ca="1" si="16"/>
        <v>45788</v>
      </c>
      <c r="E1360" s="3" t="s">
        <v>60</v>
      </c>
    </row>
    <row r="1361" spans="1:5" x14ac:dyDescent="0.3">
      <c r="A1361" s="3" t="s">
        <v>704</v>
      </c>
      <c r="B1361" s="3" t="s">
        <v>165</v>
      </c>
      <c r="C1361" s="3" t="s">
        <v>705</v>
      </c>
      <c r="D1361" s="4">
        <f t="shared" ca="1" si="16"/>
        <v>45788</v>
      </c>
      <c r="E1361" s="3" t="s">
        <v>35</v>
      </c>
    </row>
    <row r="1362" spans="1:5" x14ac:dyDescent="0.3">
      <c r="A1362" s="3" t="s">
        <v>745</v>
      </c>
      <c r="B1362" s="3" t="s">
        <v>58</v>
      </c>
      <c r="C1362" s="3" t="s">
        <v>334</v>
      </c>
      <c r="D1362" s="4">
        <f t="shared" ca="1" si="16"/>
        <v>45788</v>
      </c>
      <c r="E1362" s="3" t="s">
        <v>27</v>
      </c>
    </row>
    <row r="1363" spans="1:5" x14ac:dyDescent="0.3">
      <c r="A1363" s="3" t="s">
        <v>409</v>
      </c>
      <c r="B1363" s="3" t="s">
        <v>392</v>
      </c>
      <c r="C1363" s="3" t="s">
        <v>410</v>
      </c>
      <c r="D1363" s="4">
        <f t="shared" ca="1" si="16"/>
        <v>45788</v>
      </c>
      <c r="E1363" s="3" t="s">
        <v>35</v>
      </c>
    </row>
    <row r="1364" spans="1:5" x14ac:dyDescent="0.3">
      <c r="A1364" s="3" t="s">
        <v>296</v>
      </c>
      <c r="B1364" s="3" t="s">
        <v>193</v>
      </c>
      <c r="C1364" s="3" t="s">
        <v>516</v>
      </c>
      <c r="D1364" s="4">
        <f t="shared" ca="1" si="16"/>
        <v>45788</v>
      </c>
      <c r="E1364" s="3" t="s">
        <v>60</v>
      </c>
    </row>
    <row r="1365" spans="1:5" x14ac:dyDescent="0.3">
      <c r="A1365" s="3" t="s">
        <v>73</v>
      </c>
      <c r="B1365" s="3" t="s">
        <v>74</v>
      </c>
      <c r="C1365" s="3" t="s">
        <v>75</v>
      </c>
      <c r="D1365" s="4">
        <f t="shared" ca="1" si="16"/>
        <v>45788</v>
      </c>
      <c r="E1365" s="3" t="s">
        <v>39</v>
      </c>
    </row>
    <row r="1366" spans="1:5" x14ac:dyDescent="0.3">
      <c r="A1366" s="3" t="s">
        <v>508</v>
      </c>
      <c r="B1366" s="3" t="s">
        <v>98</v>
      </c>
      <c r="C1366" s="3" t="s">
        <v>509</v>
      </c>
      <c r="D1366" s="4">
        <f t="shared" ca="1" si="16"/>
        <v>45788</v>
      </c>
      <c r="E1366" s="3" t="s">
        <v>39</v>
      </c>
    </row>
    <row r="1367" spans="1:5" x14ac:dyDescent="0.3">
      <c r="A1367" s="3" t="s">
        <v>491</v>
      </c>
      <c r="B1367" s="3" t="s">
        <v>62</v>
      </c>
      <c r="C1367" s="3" t="s">
        <v>492</v>
      </c>
      <c r="D1367" s="4">
        <f t="shared" ca="1" si="16"/>
        <v>45788</v>
      </c>
      <c r="E1367" s="3" t="s">
        <v>35</v>
      </c>
    </row>
    <row r="1368" spans="1:5" x14ac:dyDescent="0.3">
      <c r="A1368" s="3" t="s">
        <v>234</v>
      </c>
      <c r="B1368" s="3" t="s">
        <v>78</v>
      </c>
      <c r="C1368" s="3" t="s">
        <v>711</v>
      </c>
      <c r="D1368" s="4">
        <f t="shared" ca="1" si="16"/>
        <v>45788</v>
      </c>
      <c r="E1368" s="3" t="s">
        <v>31</v>
      </c>
    </row>
    <row r="1369" spans="1:5" x14ac:dyDescent="0.3">
      <c r="A1369" s="3" t="s">
        <v>776</v>
      </c>
      <c r="B1369" s="3" t="s">
        <v>178</v>
      </c>
      <c r="C1369" s="3" t="s">
        <v>777</v>
      </c>
      <c r="D1369" s="4">
        <f t="shared" ref="D1369:D1465" ca="1" si="17">TODAY()-218</f>
        <v>45819</v>
      </c>
      <c r="E1369" s="3" t="s">
        <v>31</v>
      </c>
    </row>
    <row r="1370" spans="1:5" x14ac:dyDescent="0.3">
      <c r="A1370" s="3" t="s">
        <v>195</v>
      </c>
      <c r="B1370" s="3" t="s">
        <v>157</v>
      </c>
      <c r="C1370" s="3" t="s">
        <v>196</v>
      </c>
      <c r="D1370" s="4">
        <f t="shared" ca="1" si="17"/>
        <v>45819</v>
      </c>
      <c r="E1370" s="3" t="s">
        <v>56</v>
      </c>
    </row>
    <row r="1371" spans="1:5" x14ac:dyDescent="0.3">
      <c r="A1371" s="3" t="s">
        <v>733</v>
      </c>
      <c r="B1371" s="3" t="s">
        <v>118</v>
      </c>
      <c r="C1371" s="3" t="s">
        <v>649</v>
      </c>
      <c r="D1371" s="4">
        <f t="shared" ca="1" si="17"/>
        <v>45819</v>
      </c>
      <c r="E1371" s="3" t="s">
        <v>31</v>
      </c>
    </row>
    <row r="1372" spans="1:5" x14ac:dyDescent="0.3">
      <c r="A1372" s="3" t="s">
        <v>104</v>
      </c>
      <c r="B1372" s="3" t="s">
        <v>47</v>
      </c>
      <c r="C1372" s="3" t="s">
        <v>105</v>
      </c>
      <c r="D1372" s="4">
        <f t="shared" ca="1" si="17"/>
        <v>45819</v>
      </c>
      <c r="E1372" s="3" t="s">
        <v>39</v>
      </c>
    </row>
    <row r="1373" spans="1:5" x14ac:dyDescent="0.3">
      <c r="A1373" s="3" t="s">
        <v>466</v>
      </c>
      <c r="B1373" s="3" t="s">
        <v>65</v>
      </c>
      <c r="C1373" s="3" t="s">
        <v>467</v>
      </c>
      <c r="D1373" s="4">
        <f t="shared" ca="1" si="17"/>
        <v>45819</v>
      </c>
      <c r="E1373" s="3" t="s">
        <v>56</v>
      </c>
    </row>
    <row r="1374" spans="1:5" x14ac:dyDescent="0.3">
      <c r="A1374" s="3" t="s">
        <v>545</v>
      </c>
      <c r="B1374" s="3" t="s">
        <v>58</v>
      </c>
      <c r="C1374" s="3" t="s">
        <v>566</v>
      </c>
      <c r="D1374" s="4">
        <f t="shared" ca="1" si="17"/>
        <v>45819</v>
      </c>
      <c r="E1374" s="3" t="s">
        <v>31</v>
      </c>
    </row>
    <row r="1375" spans="1:5" x14ac:dyDescent="0.3">
      <c r="A1375" s="3" t="s">
        <v>192</v>
      </c>
      <c r="B1375" s="3" t="s">
        <v>193</v>
      </c>
      <c r="C1375" s="3" t="s">
        <v>194</v>
      </c>
      <c r="D1375" s="4">
        <f t="shared" ca="1" si="17"/>
        <v>45819</v>
      </c>
      <c r="E1375" s="3" t="s">
        <v>27</v>
      </c>
    </row>
    <row r="1376" spans="1:5" x14ac:dyDescent="0.3">
      <c r="A1376" s="3" t="s">
        <v>625</v>
      </c>
      <c r="B1376" s="3" t="s">
        <v>74</v>
      </c>
      <c r="C1376" s="3" t="s">
        <v>626</v>
      </c>
      <c r="D1376" s="4">
        <f t="shared" ca="1" si="17"/>
        <v>45819</v>
      </c>
      <c r="E1376" s="3" t="s">
        <v>39</v>
      </c>
    </row>
    <row r="1377" spans="1:5" x14ac:dyDescent="0.3">
      <c r="A1377" s="3" t="s">
        <v>377</v>
      </c>
      <c r="B1377" s="3" t="s">
        <v>65</v>
      </c>
      <c r="C1377" s="3" t="s">
        <v>654</v>
      </c>
      <c r="D1377" s="4">
        <f t="shared" ca="1" si="17"/>
        <v>45819</v>
      </c>
      <c r="E1377" s="3" t="s">
        <v>60</v>
      </c>
    </row>
    <row r="1378" spans="1:5" x14ac:dyDescent="0.3">
      <c r="A1378" s="3" t="s">
        <v>89</v>
      </c>
      <c r="B1378" s="3" t="s">
        <v>90</v>
      </c>
      <c r="C1378" s="3" t="s">
        <v>91</v>
      </c>
      <c r="D1378" s="4">
        <f t="shared" ca="1" si="17"/>
        <v>45819</v>
      </c>
      <c r="E1378" s="3" t="s">
        <v>35</v>
      </c>
    </row>
    <row r="1379" spans="1:5" x14ac:dyDescent="0.3">
      <c r="A1379" s="3" t="s">
        <v>687</v>
      </c>
      <c r="B1379" s="3" t="s">
        <v>25</v>
      </c>
      <c r="C1379" s="3" t="s">
        <v>688</v>
      </c>
      <c r="D1379" s="4">
        <f t="shared" ca="1" si="17"/>
        <v>45819</v>
      </c>
      <c r="E1379" s="3" t="s">
        <v>39</v>
      </c>
    </row>
    <row r="1380" spans="1:5" x14ac:dyDescent="0.3">
      <c r="A1380" s="3" t="s">
        <v>247</v>
      </c>
      <c r="B1380" s="3" t="s">
        <v>118</v>
      </c>
      <c r="C1380" s="3" t="s">
        <v>248</v>
      </c>
      <c r="D1380" s="4">
        <f t="shared" ca="1" si="17"/>
        <v>45819</v>
      </c>
      <c r="E1380" s="3" t="s">
        <v>35</v>
      </c>
    </row>
    <row r="1381" spans="1:5" x14ac:dyDescent="0.3">
      <c r="A1381" s="3" t="s">
        <v>124</v>
      </c>
      <c r="B1381" s="3" t="s">
        <v>270</v>
      </c>
      <c r="C1381" s="3" t="s">
        <v>812</v>
      </c>
      <c r="D1381" s="4">
        <f t="shared" ca="1" si="17"/>
        <v>45819</v>
      </c>
      <c r="E1381" s="3" t="s">
        <v>60</v>
      </c>
    </row>
    <row r="1382" spans="1:5" x14ac:dyDescent="0.3">
      <c r="A1382" s="3" t="s">
        <v>207</v>
      </c>
      <c r="B1382" s="3" t="s">
        <v>44</v>
      </c>
      <c r="C1382" s="3" t="s">
        <v>208</v>
      </c>
      <c r="D1382" s="4">
        <f t="shared" ca="1" si="17"/>
        <v>45819</v>
      </c>
      <c r="E1382" s="3" t="s">
        <v>60</v>
      </c>
    </row>
    <row r="1383" spans="1:5" x14ac:dyDescent="0.3">
      <c r="A1383" s="3" t="s">
        <v>353</v>
      </c>
      <c r="B1383" s="3" t="s">
        <v>50</v>
      </c>
      <c r="C1383" s="3" t="s">
        <v>354</v>
      </c>
      <c r="D1383" s="4">
        <f t="shared" ca="1" si="17"/>
        <v>45819</v>
      </c>
      <c r="E1383" s="3" t="s">
        <v>60</v>
      </c>
    </row>
    <row r="1384" spans="1:5" x14ac:dyDescent="0.3">
      <c r="A1384" s="3" t="s">
        <v>126</v>
      </c>
      <c r="B1384" s="3" t="s">
        <v>65</v>
      </c>
      <c r="C1384" s="3" t="s">
        <v>127</v>
      </c>
      <c r="D1384" s="4">
        <f t="shared" ca="1" si="17"/>
        <v>45819</v>
      </c>
      <c r="E1384" s="3" t="s">
        <v>35</v>
      </c>
    </row>
    <row r="1385" spans="1:5" x14ac:dyDescent="0.3">
      <c r="A1385" s="3" t="s">
        <v>584</v>
      </c>
      <c r="B1385" s="3" t="s">
        <v>121</v>
      </c>
      <c r="C1385" s="3" t="s">
        <v>585</v>
      </c>
      <c r="D1385" s="4">
        <f t="shared" ca="1" si="17"/>
        <v>45819</v>
      </c>
      <c r="E1385" s="3" t="s">
        <v>39</v>
      </c>
    </row>
    <row r="1386" spans="1:5" x14ac:dyDescent="0.3">
      <c r="A1386" s="3" t="s">
        <v>290</v>
      </c>
      <c r="B1386" s="3" t="s">
        <v>58</v>
      </c>
      <c r="C1386" s="3" t="s">
        <v>291</v>
      </c>
      <c r="D1386" s="4">
        <f t="shared" ca="1" si="17"/>
        <v>45819</v>
      </c>
      <c r="E1386" s="3" t="s">
        <v>39</v>
      </c>
    </row>
    <row r="1387" spans="1:5" x14ac:dyDescent="0.3">
      <c r="A1387" s="3" t="s">
        <v>223</v>
      </c>
      <c r="B1387" s="3" t="s">
        <v>58</v>
      </c>
      <c r="C1387" s="3" t="s">
        <v>153</v>
      </c>
      <c r="D1387" s="4">
        <f t="shared" ca="1" si="17"/>
        <v>45819</v>
      </c>
      <c r="E1387" s="3" t="s">
        <v>35</v>
      </c>
    </row>
    <row r="1388" spans="1:5" x14ac:dyDescent="0.3">
      <c r="A1388" s="3" t="s">
        <v>586</v>
      </c>
      <c r="B1388" s="3" t="s">
        <v>193</v>
      </c>
      <c r="C1388" s="3" t="s">
        <v>119</v>
      </c>
      <c r="D1388" s="4">
        <f t="shared" ca="1" si="17"/>
        <v>45819</v>
      </c>
      <c r="E1388" s="3" t="s">
        <v>60</v>
      </c>
    </row>
    <row r="1389" spans="1:5" x14ac:dyDescent="0.3">
      <c r="A1389" s="3" t="s">
        <v>559</v>
      </c>
      <c r="B1389" s="3" t="s">
        <v>33</v>
      </c>
      <c r="C1389" s="3" t="s">
        <v>138</v>
      </c>
      <c r="D1389" s="4">
        <f t="shared" ca="1" si="17"/>
        <v>45819</v>
      </c>
      <c r="E1389" s="3" t="s">
        <v>27</v>
      </c>
    </row>
    <row r="1390" spans="1:5" x14ac:dyDescent="0.3">
      <c r="A1390" s="3" t="s">
        <v>201</v>
      </c>
      <c r="B1390" s="3" t="s">
        <v>37</v>
      </c>
      <c r="C1390" s="3" t="s">
        <v>202</v>
      </c>
      <c r="D1390" s="4">
        <f t="shared" ca="1" si="17"/>
        <v>45819</v>
      </c>
      <c r="E1390" s="3" t="s">
        <v>35</v>
      </c>
    </row>
    <row r="1391" spans="1:5" x14ac:dyDescent="0.3">
      <c r="A1391" s="3" t="s">
        <v>746</v>
      </c>
      <c r="B1391" s="3" t="s">
        <v>25</v>
      </c>
      <c r="C1391" s="3" t="s">
        <v>747</v>
      </c>
      <c r="D1391" s="4">
        <f t="shared" ca="1" si="17"/>
        <v>45819</v>
      </c>
      <c r="E1391" s="3" t="s">
        <v>60</v>
      </c>
    </row>
    <row r="1392" spans="1:5" x14ac:dyDescent="0.3">
      <c r="A1392" s="3" t="s">
        <v>296</v>
      </c>
      <c r="B1392" s="3" t="s">
        <v>193</v>
      </c>
      <c r="C1392" s="3" t="s">
        <v>516</v>
      </c>
      <c r="D1392" s="4">
        <f t="shared" ca="1" si="17"/>
        <v>45819</v>
      </c>
      <c r="E1392" s="3" t="s">
        <v>60</v>
      </c>
    </row>
    <row r="1393" spans="1:5" x14ac:dyDescent="0.3">
      <c r="A1393" s="3" t="s">
        <v>813</v>
      </c>
      <c r="B1393" s="3" t="s">
        <v>641</v>
      </c>
      <c r="C1393" s="3" t="s">
        <v>814</v>
      </c>
      <c r="D1393" s="4">
        <f t="shared" ca="1" si="17"/>
        <v>45819</v>
      </c>
      <c r="E1393" s="3" t="s">
        <v>60</v>
      </c>
    </row>
    <row r="1394" spans="1:5" x14ac:dyDescent="0.3">
      <c r="A1394" s="3" t="s">
        <v>407</v>
      </c>
      <c r="B1394" s="3" t="s">
        <v>87</v>
      </c>
      <c r="C1394" s="3" t="s">
        <v>408</v>
      </c>
      <c r="D1394" s="4">
        <f t="shared" ca="1" si="17"/>
        <v>45819</v>
      </c>
      <c r="E1394" s="3" t="s">
        <v>39</v>
      </c>
    </row>
    <row r="1395" spans="1:5" x14ac:dyDescent="0.3">
      <c r="A1395" s="3" t="s">
        <v>249</v>
      </c>
      <c r="B1395" s="3" t="s">
        <v>193</v>
      </c>
      <c r="C1395" s="3" t="s">
        <v>250</v>
      </c>
      <c r="D1395" s="4">
        <f t="shared" ca="1" si="17"/>
        <v>45819</v>
      </c>
      <c r="E1395" s="3" t="s">
        <v>39</v>
      </c>
    </row>
    <row r="1396" spans="1:5" x14ac:dyDescent="0.3">
      <c r="A1396" s="3" t="s">
        <v>529</v>
      </c>
      <c r="B1396" s="3" t="s">
        <v>58</v>
      </c>
      <c r="C1396" s="3" t="s">
        <v>530</v>
      </c>
      <c r="D1396" s="4">
        <f t="shared" ca="1" si="17"/>
        <v>45819</v>
      </c>
      <c r="E1396" s="3" t="s">
        <v>27</v>
      </c>
    </row>
    <row r="1397" spans="1:5" x14ac:dyDescent="0.3">
      <c r="A1397" s="3" t="s">
        <v>602</v>
      </c>
      <c r="B1397" s="3" t="s">
        <v>326</v>
      </c>
      <c r="C1397" s="3" t="s">
        <v>603</v>
      </c>
      <c r="D1397" s="4">
        <f t="shared" ca="1" si="17"/>
        <v>45819</v>
      </c>
      <c r="E1397" s="3" t="s">
        <v>31</v>
      </c>
    </row>
    <row r="1398" spans="1:5" x14ac:dyDescent="0.3">
      <c r="A1398" s="3" t="s">
        <v>591</v>
      </c>
      <c r="B1398" s="3" t="s">
        <v>193</v>
      </c>
      <c r="C1398" s="3" t="s">
        <v>592</v>
      </c>
      <c r="D1398" s="4">
        <f t="shared" ca="1" si="17"/>
        <v>45819</v>
      </c>
      <c r="E1398" s="3" t="s">
        <v>60</v>
      </c>
    </row>
    <row r="1399" spans="1:5" x14ac:dyDescent="0.3">
      <c r="A1399" s="3" t="s">
        <v>269</v>
      </c>
      <c r="B1399" s="3" t="s">
        <v>270</v>
      </c>
      <c r="C1399" s="3" t="s">
        <v>241</v>
      </c>
      <c r="D1399" s="4">
        <f t="shared" ca="1" si="17"/>
        <v>45819</v>
      </c>
      <c r="E1399" s="3" t="s">
        <v>60</v>
      </c>
    </row>
    <row r="1400" spans="1:5" x14ac:dyDescent="0.3">
      <c r="A1400" s="3" t="s">
        <v>723</v>
      </c>
      <c r="B1400" s="3" t="s">
        <v>331</v>
      </c>
      <c r="C1400" s="3" t="s">
        <v>724</v>
      </c>
      <c r="D1400" s="4">
        <f t="shared" ca="1" si="17"/>
        <v>45819</v>
      </c>
      <c r="E1400" s="3" t="s">
        <v>60</v>
      </c>
    </row>
    <row r="1401" spans="1:5" x14ac:dyDescent="0.3">
      <c r="A1401" s="3" t="s">
        <v>762</v>
      </c>
      <c r="B1401" s="3" t="s">
        <v>87</v>
      </c>
      <c r="C1401" s="3" t="s">
        <v>763</v>
      </c>
      <c r="D1401" s="4">
        <f t="shared" ca="1" si="17"/>
        <v>45819</v>
      </c>
      <c r="E1401" s="3" t="s">
        <v>35</v>
      </c>
    </row>
    <row r="1402" spans="1:5" x14ac:dyDescent="0.3">
      <c r="A1402" s="3" t="s">
        <v>497</v>
      </c>
      <c r="B1402" s="3" t="s">
        <v>442</v>
      </c>
      <c r="C1402" s="3" t="s">
        <v>498</v>
      </c>
      <c r="D1402" s="4">
        <f t="shared" ca="1" si="17"/>
        <v>45819</v>
      </c>
      <c r="E1402" s="3" t="s">
        <v>35</v>
      </c>
    </row>
    <row r="1403" spans="1:5" x14ac:dyDescent="0.3">
      <c r="A1403" s="3" t="s">
        <v>609</v>
      </c>
      <c r="B1403" s="3" t="s">
        <v>307</v>
      </c>
      <c r="C1403" s="3" t="s">
        <v>610</v>
      </c>
      <c r="D1403" s="4">
        <f t="shared" ca="1" si="17"/>
        <v>45819</v>
      </c>
      <c r="E1403" s="3" t="s">
        <v>60</v>
      </c>
    </row>
    <row r="1404" spans="1:5" x14ac:dyDescent="0.3">
      <c r="A1404" s="3" t="s">
        <v>636</v>
      </c>
      <c r="B1404" s="3" t="s">
        <v>71</v>
      </c>
      <c r="C1404" s="3" t="s">
        <v>200</v>
      </c>
      <c r="D1404" s="4">
        <f t="shared" ca="1" si="17"/>
        <v>45819</v>
      </c>
      <c r="E1404" s="3" t="s">
        <v>60</v>
      </c>
    </row>
    <row r="1405" spans="1:5" x14ac:dyDescent="0.3">
      <c r="A1405" s="3" t="s">
        <v>766</v>
      </c>
      <c r="B1405" s="3" t="s">
        <v>331</v>
      </c>
      <c r="C1405" s="3" t="s">
        <v>767</v>
      </c>
      <c r="D1405" s="4">
        <f t="shared" ca="1" si="17"/>
        <v>45819</v>
      </c>
      <c r="E1405" s="3" t="s">
        <v>60</v>
      </c>
    </row>
    <row r="1406" spans="1:5" x14ac:dyDescent="0.3">
      <c r="A1406" s="3" t="s">
        <v>801</v>
      </c>
      <c r="B1406" s="3" t="s">
        <v>669</v>
      </c>
      <c r="C1406" s="3" t="s">
        <v>802</v>
      </c>
      <c r="D1406" s="4">
        <f t="shared" ca="1" si="17"/>
        <v>45819</v>
      </c>
      <c r="E1406" s="3" t="s">
        <v>56</v>
      </c>
    </row>
    <row r="1407" spans="1:5" x14ac:dyDescent="0.3">
      <c r="A1407" s="3" t="s">
        <v>692</v>
      </c>
      <c r="B1407" s="3" t="s">
        <v>193</v>
      </c>
      <c r="C1407" s="3" t="s">
        <v>693</v>
      </c>
      <c r="D1407" s="4">
        <f t="shared" ca="1" si="17"/>
        <v>45819</v>
      </c>
      <c r="E1407" s="3" t="s">
        <v>31</v>
      </c>
    </row>
    <row r="1408" spans="1:5" x14ac:dyDescent="0.3">
      <c r="A1408" s="3" t="s">
        <v>760</v>
      </c>
      <c r="B1408" s="3" t="s">
        <v>50</v>
      </c>
      <c r="C1408" s="3" t="s">
        <v>761</v>
      </c>
      <c r="D1408" s="4">
        <f t="shared" ca="1" si="17"/>
        <v>45819</v>
      </c>
      <c r="E1408" s="3" t="s">
        <v>31</v>
      </c>
    </row>
    <row r="1409" spans="1:5" x14ac:dyDescent="0.3">
      <c r="A1409" s="3" t="s">
        <v>232</v>
      </c>
      <c r="B1409" s="3" t="s">
        <v>41</v>
      </c>
      <c r="C1409" s="3" t="s">
        <v>233</v>
      </c>
      <c r="D1409" s="4">
        <f t="shared" ca="1" si="17"/>
        <v>45819</v>
      </c>
      <c r="E1409" s="3" t="s">
        <v>27</v>
      </c>
    </row>
    <row r="1410" spans="1:5" x14ac:dyDescent="0.3">
      <c r="A1410" s="3" t="s">
        <v>274</v>
      </c>
      <c r="B1410" s="3" t="s">
        <v>275</v>
      </c>
      <c r="C1410" s="3" t="s">
        <v>91</v>
      </c>
      <c r="D1410" s="4">
        <f t="shared" ca="1" si="17"/>
        <v>45819</v>
      </c>
      <c r="E1410" s="3" t="s">
        <v>39</v>
      </c>
    </row>
    <row r="1411" spans="1:5" x14ac:dyDescent="0.3">
      <c r="A1411" s="3" t="s">
        <v>794</v>
      </c>
      <c r="B1411" s="3" t="s">
        <v>87</v>
      </c>
      <c r="C1411" s="3" t="s">
        <v>795</v>
      </c>
      <c r="D1411" s="4">
        <f t="shared" ca="1" si="17"/>
        <v>45819</v>
      </c>
      <c r="E1411" s="3" t="s">
        <v>35</v>
      </c>
    </row>
    <row r="1412" spans="1:5" x14ac:dyDescent="0.3">
      <c r="A1412" s="3" t="s">
        <v>639</v>
      </c>
      <c r="B1412" s="3" t="s">
        <v>65</v>
      </c>
      <c r="C1412" s="3" t="s">
        <v>640</v>
      </c>
      <c r="D1412" s="4">
        <f t="shared" ca="1" si="17"/>
        <v>45819</v>
      </c>
      <c r="E1412" s="3" t="s">
        <v>31</v>
      </c>
    </row>
    <row r="1413" spans="1:5" x14ac:dyDescent="0.3">
      <c r="A1413" s="3" t="s">
        <v>339</v>
      </c>
      <c r="B1413" s="3" t="s">
        <v>397</v>
      </c>
      <c r="C1413" s="3" t="s">
        <v>386</v>
      </c>
      <c r="D1413" s="4">
        <f t="shared" ca="1" si="17"/>
        <v>45819</v>
      </c>
      <c r="E1413" s="3" t="s">
        <v>60</v>
      </c>
    </row>
    <row r="1414" spans="1:5" x14ac:dyDescent="0.3">
      <c r="A1414" s="3" t="s">
        <v>139</v>
      </c>
      <c r="B1414" s="3" t="s">
        <v>446</v>
      </c>
      <c r="C1414" s="3" t="s">
        <v>788</v>
      </c>
      <c r="D1414" s="4">
        <f t="shared" ca="1" si="17"/>
        <v>45819</v>
      </c>
      <c r="E1414" s="3" t="s">
        <v>56</v>
      </c>
    </row>
    <row r="1415" spans="1:5" x14ac:dyDescent="0.3">
      <c r="A1415" s="3" t="s">
        <v>475</v>
      </c>
      <c r="B1415" s="3" t="s">
        <v>33</v>
      </c>
      <c r="C1415" s="3" t="s">
        <v>476</v>
      </c>
      <c r="D1415" s="4">
        <f t="shared" ca="1" si="17"/>
        <v>45819</v>
      </c>
      <c r="E1415" s="3" t="s">
        <v>60</v>
      </c>
    </row>
    <row r="1416" spans="1:5" x14ac:dyDescent="0.3">
      <c r="A1416" s="3" t="s">
        <v>555</v>
      </c>
      <c r="B1416" s="3" t="s">
        <v>37</v>
      </c>
      <c r="C1416" s="3" t="s">
        <v>556</v>
      </c>
      <c r="D1416" s="4">
        <f t="shared" ca="1" si="17"/>
        <v>45819</v>
      </c>
      <c r="E1416" s="3" t="s">
        <v>60</v>
      </c>
    </row>
    <row r="1417" spans="1:5" x14ac:dyDescent="0.3">
      <c r="A1417" s="3" t="s">
        <v>117</v>
      </c>
      <c r="B1417" s="3" t="s">
        <v>118</v>
      </c>
      <c r="C1417" s="3" t="s">
        <v>119</v>
      </c>
      <c r="D1417" s="4">
        <f t="shared" ca="1" si="17"/>
        <v>45819</v>
      </c>
      <c r="E1417" s="3" t="s">
        <v>60</v>
      </c>
    </row>
    <row r="1418" spans="1:5" x14ac:dyDescent="0.3">
      <c r="A1418" s="3" t="s">
        <v>309</v>
      </c>
      <c r="B1418" s="3" t="s">
        <v>150</v>
      </c>
      <c r="C1418" s="3" t="s">
        <v>310</v>
      </c>
      <c r="D1418" s="4">
        <f t="shared" ca="1" si="17"/>
        <v>45819</v>
      </c>
      <c r="E1418" s="3" t="s">
        <v>56</v>
      </c>
    </row>
    <row r="1419" spans="1:5" x14ac:dyDescent="0.3">
      <c r="A1419" s="3" t="s">
        <v>73</v>
      </c>
      <c r="B1419" s="3" t="s">
        <v>87</v>
      </c>
      <c r="C1419" s="3" t="s">
        <v>278</v>
      </c>
      <c r="D1419" s="4">
        <f t="shared" ca="1" si="17"/>
        <v>45819</v>
      </c>
      <c r="E1419" s="3" t="s">
        <v>39</v>
      </c>
    </row>
    <row r="1420" spans="1:5" x14ac:dyDescent="0.3">
      <c r="A1420" s="3" t="s">
        <v>152</v>
      </c>
      <c r="B1420" s="3" t="s">
        <v>65</v>
      </c>
      <c r="C1420" s="3" t="s">
        <v>153</v>
      </c>
      <c r="D1420" s="4">
        <f t="shared" ca="1" si="17"/>
        <v>45819</v>
      </c>
      <c r="E1420" s="3" t="s">
        <v>27</v>
      </c>
    </row>
    <row r="1421" spans="1:5" x14ac:dyDescent="0.3">
      <c r="A1421" s="3" t="s">
        <v>768</v>
      </c>
      <c r="B1421" s="3" t="s">
        <v>58</v>
      </c>
      <c r="C1421" s="3" t="s">
        <v>769</v>
      </c>
      <c r="D1421" s="4">
        <f t="shared" ca="1" si="17"/>
        <v>45819</v>
      </c>
      <c r="E1421" s="3" t="s">
        <v>31</v>
      </c>
    </row>
    <row r="1422" spans="1:5" x14ac:dyDescent="0.3">
      <c r="A1422" s="3" t="s">
        <v>311</v>
      </c>
      <c r="B1422" s="3" t="s">
        <v>312</v>
      </c>
      <c r="C1422" s="3" t="s">
        <v>313</v>
      </c>
      <c r="D1422" s="4">
        <f t="shared" ca="1" si="17"/>
        <v>45819</v>
      </c>
      <c r="E1422" s="3" t="s">
        <v>60</v>
      </c>
    </row>
    <row r="1423" spans="1:5" x14ac:dyDescent="0.3">
      <c r="A1423" s="3" t="s">
        <v>345</v>
      </c>
      <c r="B1423" s="3" t="s">
        <v>307</v>
      </c>
      <c r="C1423" s="3" t="s">
        <v>66</v>
      </c>
      <c r="D1423" s="4">
        <f t="shared" ca="1" si="17"/>
        <v>45819</v>
      </c>
      <c r="E1423" s="3" t="s">
        <v>31</v>
      </c>
    </row>
    <row r="1424" spans="1:5" x14ac:dyDescent="0.3">
      <c r="A1424" s="3" t="s">
        <v>345</v>
      </c>
      <c r="B1424" s="3" t="s">
        <v>307</v>
      </c>
      <c r="C1424" s="3" t="s">
        <v>66</v>
      </c>
      <c r="D1424" s="4">
        <f t="shared" ca="1" si="17"/>
        <v>45819</v>
      </c>
      <c r="E1424" s="3" t="s">
        <v>31</v>
      </c>
    </row>
    <row r="1425" spans="1:5" x14ac:dyDescent="0.3">
      <c r="A1425" s="3" t="s">
        <v>772</v>
      </c>
      <c r="B1425" s="3" t="s">
        <v>50</v>
      </c>
      <c r="C1425" s="3" t="s">
        <v>216</v>
      </c>
      <c r="D1425" s="4">
        <f t="shared" ca="1" si="17"/>
        <v>45819</v>
      </c>
      <c r="E1425" s="3" t="s">
        <v>56</v>
      </c>
    </row>
    <row r="1426" spans="1:5" x14ac:dyDescent="0.3">
      <c r="A1426" s="3" t="s">
        <v>332</v>
      </c>
      <c r="B1426" s="3" t="s">
        <v>58</v>
      </c>
      <c r="C1426" s="3" t="s">
        <v>605</v>
      </c>
      <c r="D1426" s="4">
        <f t="shared" ca="1" si="17"/>
        <v>45819</v>
      </c>
      <c r="E1426" s="3" t="s">
        <v>39</v>
      </c>
    </row>
    <row r="1427" spans="1:5" x14ac:dyDescent="0.3">
      <c r="A1427" s="3" t="s">
        <v>28</v>
      </c>
      <c r="B1427" s="3" t="s">
        <v>29</v>
      </c>
      <c r="C1427" s="3" t="s">
        <v>30</v>
      </c>
      <c r="D1427" s="4">
        <f t="shared" ca="1" si="17"/>
        <v>45819</v>
      </c>
      <c r="E1427" s="3" t="s">
        <v>31</v>
      </c>
    </row>
    <row r="1428" spans="1:5" x14ac:dyDescent="0.3">
      <c r="A1428" s="3" t="s">
        <v>750</v>
      </c>
      <c r="B1428" s="3" t="s">
        <v>33</v>
      </c>
      <c r="C1428" s="3" t="s">
        <v>751</v>
      </c>
      <c r="D1428" s="4">
        <f t="shared" ca="1" si="17"/>
        <v>45819</v>
      </c>
      <c r="E1428" s="3" t="s">
        <v>31</v>
      </c>
    </row>
    <row r="1429" spans="1:5" x14ac:dyDescent="0.3">
      <c r="A1429" s="3" t="s">
        <v>61</v>
      </c>
      <c r="B1429" s="3" t="s">
        <v>333</v>
      </c>
      <c r="C1429" s="3" t="s">
        <v>352</v>
      </c>
      <c r="D1429" s="4">
        <f t="shared" ca="1" si="17"/>
        <v>45819</v>
      </c>
      <c r="E1429" s="3" t="s">
        <v>31</v>
      </c>
    </row>
    <row r="1430" spans="1:5" x14ac:dyDescent="0.3">
      <c r="A1430" s="3" t="s">
        <v>377</v>
      </c>
      <c r="B1430" s="3" t="s">
        <v>50</v>
      </c>
      <c r="C1430" s="3" t="s">
        <v>378</v>
      </c>
      <c r="D1430" s="4">
        <f t="shared" ca="1" si="17"/>
        <v>45819</v>
      </c>
      <c r="E1430" s="3" t="s">
        <v>60</v>
      </c>
    </row>
    <row r="1431" spans="1:5" x14ac:dyDescent="0.3">
      <c r="A1431" s="3" t="s">
        <v>395</v>
      </c>
      <c r="B1431" s="3" t="s">
        <v>37</v>
      </c>
      <c r="C1431" s="3" t="s">
        <v>396</v>
      </c>
      <c r="D1431" s="4">
        <f t="shared" ca="1" si="17"/>
        <v>45819</v>
      </c>
      <c r="E1431" s="3" t="s">
        <v>39</v>
      </c>
    </row>
    <row r="1432" spans="1:5" x14ac:dyDescent="0.3">
      <c r="A1432" s="3" t="s">
        <v>736</v>
      </c>
      <c r="B1432" s="3" t="s">
        <v>331</v>
      </c>
      <c r="C1432" s="3" t="s">
        <v>737</v>
      </c>
      <c r="D1432" s="4">
        <f t="shared" ca="1" si="17"/>
        <v>45819</v>
      </c>
      <c r="E1432" s="3" t="s">
        <v>39</v>
      </c>
    </row>
    <row r="1433" spans="1:5" x14ac:dyDescent="0.3">
      <c r="A1433" s="3" t="s">
        <v>660</v>
      </c>
      <c r="B1433" s="3" t="s">
        <v>211</v>
      </c>
      <c r="C1433" s="3" t="s">
        <v>661</v>
      </c>
      <c r="D1433" s="4">
        <f t="shared" ca="1" si="17"/>
        <v>45819</v>
      </c>
      <c r="E1433" s="3" t="s">
        <v>56</v>
      </c>
    </row>
    <row r="1434" spans="1:5" x14ac:dyDescent="0.3">
      <c r="A1434" s="3" t="s">
        <v>167</v>
      </c>
      <c r="B1434" s="3" t="s">
        <v>168</v>
      </c>
      <c r="C1434" s="3" t="s">
        <v>169</v>
      </c>
      <c r="D1434" s="4">
        <f t="shared" ca="1" si="17"/>
        <v>45819</v>
      </c>
      <c r="E1434" s="3" t="s">
        <v>39</v>
      </c>
    </row>
    <row r="1435" spans="1:5" x14ac:dyDescent="0.3">
      <c r="A1435" s="3" t="s">
        <v>144</v>
      </c>
      <c r="B1435" s="3" t="s">
        <v>552</v>
      </c>
      <c r="C1435" s="3" t="s">
        <v>262</v>
      </c>
      <c r="D1435" s="4">
        <f t="shared" ca="1" si="17"/>
        <v>45819</v>
      </c>
      <c r="E1435" s="3" t="s">
        <v>39</v>
      </c>
    </row>
    <row r="1436" spans="1:5" x14ac:dyDescent="0.3">
      <c r="A1436" s="3" t="s">
        <v>195</v>
      </c>
      <c r="B1436" s="3" t="s">
        <v>157</v>
      </c>
      <c r="C1436" s="3" t="s">
        <v>196</v>
      </c>
      <c r="D1436" s="4">
        <f t="shared" ca="1" si="17"/>
        <v>45819</v>
      </c>
      <c r="E1436" s="3" t="s">
        <v>56</v>
      </c>
    </row>
    <row r="1437" spans="1:5" x14ac:dyDescent="0.3">
      <c r="A1437" s="3" t="s">
        <v>671</v>
      </c>
      <c r="B1437" s="3" t="s">
        <v>118</v>
      </c>
      <c r="C1437" s="3" t="s">
        <v>672</v>
      </c>
      <c r="D1437" s="4">
        <f t="shared" ca="1" si="17"/>
        <v>45819</v>
      </c>
      <c r="E1437" s="3" t="s">
        <v>60</v>
      </c>
    </row>
    <row r="1438" spans="1:5" x14ac:dyDescent="0.3">
      <c r="A1438" s="3" t="s">
        <v>815</v>
      </c>
      <c r="B1438" s="3" t="s">
        <v>65</v>
      </c>
      <c r="C1438" s="3" t="s">
        <v>816</v>
      </c>
      <c r="D1438" s="4">
        <f t="shared" ca="1" si="17"/>
        <v>45819</v>
      </c>
      <c r="E1438" s="3" t="s">
        <v>35</v>
      </c>
    </row>
    <row r="1439" spans="1:5" x14ac:dyDescent="0.3">
      <c r="A1439" s="3" t="s">
        <v>621</v>
      </c>
      <c r="B1439" s="3" t="s">
        <v>295</v>
      </c>
      <c r="C1439" s="3" t="s">
        <v>622</v>
      </c>
      <c r="D1439" s="4">
        <f t="shared" ca="1" si="17"/>
        <v>45819</v>
      </c>
      <c r="E1439" s="3" t="s">
        <v>31</v>
      </c>
    </row>
    <row r="1440" spans="1:5" x14ac:dyDescent="0.3">
      <c r="A1440" s="3" t="s">
        <v>738</v>
      </c>
      <c r="B1440" s="3" t="s">
        <v>74</v>
      </c>
      <c r="C1440" s="3" t="s">
        <v>739</v>
      </c>
      <c r="D1440" s="4">
        <f t="shared" ca="1" si="17"/>
        <v>45819</v>
      </c>
      <c r="E1440" s="3" t="s">
        <v>31</v>
      </c>
    </row>
    <row r="1441" spans="1:5" x14ac:dyDescent="0.3">
      <c r="A1441" s="3" t="s">
        <v>470</v>
      </c>
      <c r="B1441" s="3" t="s">
        <v>47</v>
      </c>
      <c r="C1441" s="3" t="s">
        <v>542</v>
      </c>
      <c r="D1441" s="4">
        <f t="shared" ca="1" si="17"/>
        <v>45819</v>
      </c>
      <c r="E1441" s="3" t="s">
        <v>39</v>
      </c>
    </row>
    <row r="1442" spans="1:5" x14ac:dyDescent="0.3">
      <c r="A1442" s="3" t="s">
        <v>810</v>
      </c>
      <c r="B1442" s="3" t="s">
        <v>261</v>
      </c>
      <c r="C1442" s="3" t="s">
        <v>811</v>
      </c>
      <c r="D1442" s="4">
        <f t="shared" ca="1" si="17"/>
        <v>45819</v>
      </c>
      <c r="E1442" s="3" t="s">
        <v>27</v>
      </c>
    </row>
    <row r="1443" spans="1:5" x14ac:dyDescent="0.3">
      <c r="A1443" s="3" t="s">
        <v>64</v>
      </c>
      <c r="B1443" s="3" t="s">
        <v>65</v>
      </c>
      <c r="C1443" s="3" t="s">
        <v>66</v>
      </c>
      <c r="D1443" s="4">
        <f t="shared" ca="1" si="17"/>
        <v>45819</v>
      </c>
      <c r="E1443" s="3" t="s">
        <v>39</v>
      </c>
    </row>
    <row r="1444" spans="1:5" x14ac:dyDescent="0.3">
      <c r="A1444" s="3" t="s">
        <v>439</v>
      </c>
      <c r="B1444" s="3" t="s">
        <v>65</v>
      </c>
      <c r="C1444" s="3" t="s">
        <v>440</v>
      </c>
      <c r="D1444" s="4">
        <f t="shared" ca="1" si="17"/>
        <v>45819</v>
      </c>
      <c r="E1444" s="3" t="s">
        <v>27</v>
      </c>
    </row>
    <row r="1445" spans="1:5" x14ac:dyDescent="0.3">
      <c r="A1445" s="3" t="s">
        <v>251</v>
      </c>
      <c r="B1445" s="3" t="s">
        <v>93</v>
      </c>
      <c r="C1445" s="3" t="s">
        <v>96</v>
      </c>
      <c r="D1445" s="4">
        <f t="shared" ca="1" si="17"/>
        <v>45819</v>
      </c>
      <c r="E1445" s="3" t="s">
        <v>56</v>
      </c>
    </row>
    <row r="1446" spans="1:5" x14ac:dyDescent="0.3">
      <c r="A1446" s="3" t="s">
        <v>616</v>
      </c>
      <c r="B1446" s="3" t="s">
        <v>617</v>
      </c>
      <c r="C1446" s="3" t="s">
        <v>618</v>
      </c>
      <c r="D1446" s="4">
        <f t="shared" ca="1" si="17"/>
        <v>45819</v>
      </c>
      <c r="E1446" s="3" t="s">
        <v>39</v>
      </c>
    </row>
    <row r="1447" spans="1:5" x14ac:dyDescent="0.3">
      <c r="A1447" s="3" t="s">
        <v>102</v>
      </c>
      <c r="B1447" s="3" t="s">
        <v>37</v>
      </c>
      <c r="C1447" s="3" t="s">
        <v>103</v>
      </c>
      <c r="D1447" s="4">
        <f t="shared" ca="1" si="17"/>
        <v>45819</v>
      </c>
      <c r="E1447" s="3" t="s">
        <v>35</v>
      </c>
    </row>
    <row r="1448" spans="1:5" x14ac:dyDescent="0.3">
      <c r="A1448" s="3" t="s">
        <v>764</v>
      </c>
      <c r="B1448" s="3" t="s">
        <v>356</v>
      </c>
      <c r="C1448" s="3" t="s">
        <v>582</v>
      </c>
      <c r="D1448" s="4">
        <f t="shared" ca="1" si="17"/>
        <v>45819</v>
      </c>
      <c r="E1448" s="3" t="s">
        <v>39</v>
      </c>
    </row>
    <row r="1449" spans="1:5" x14ac:dyDescent="0.3">
      <c r="A1449" s="3" t="s">
        <v>607</v>
      </c>
      <c r="B1449" s="3" t="s">
        <v>284</v>
      </c>
      <c r="C1449" s="3" t="s">
        <v>608</v>
      </c>
      <c r="D1449" s="4">
        <f t="shared" ca="1" si="17"/>
        <v>45819</v>
      </c>
      <c r="E1449" s="3" t="s">
        <v>39</v>
      </c>
    </row>
    <row r="1450" spans="1:5" x14ac:dyDescent="0.3">
      <c r="A1450" s="3" t="s">
        <v>311</v>
      </c>
      <c r="B1450" s="3" t="s">
        <v>41</v>
      </c>
      <c r="C1450" s="3" t="s">
        <v>63</v>
      </c>
      <c r="D1450" s="4">
        <f t="shared" ca="1" si="17"/>
        <v>45819</v>
      </c>
      <c r="E1450" s="3" t="s">
        <v>35</v>
      </c>
    </row>
    <row r="1451" spans="1:5" x14ac:dyDescent="0.3">
      <c r="A1451" s="3" t="s">
        <v>412</v>
      </c>
      <c r="B1451" s="3" t="s">
        <v>65</v>
      </c>
      <c r="C1451" s="3" t="s">
        <v>413</v>
      </c>
      <c r="D1451" s="4">
        <f t="shared" ca="1" si="17"/>
        <v>45819</v>
      </c>
      <c r="E1451" s="3" t="s">
        <v>39</v>
      </c>
    </row>
    <row r="1452" spans="1:5" x14ac:dyDescent="0.3">
      <c r="A1452" s="3" t="s">
        <v>607</v>
      </c>
      <c r="B1452" s="3" t="s">
        <v>504</v>
      </c>
      <c r="C1452" s="3" t="s">
        <v>262</v>
      </c>
      <c r="D1452" s="4">
        <f t="shared" ca="1" si="17"/>
        <v>45819</v>
      </c>
      <c r="E1452" s="3" t="s">
        <v>39</v>
      </c>
    </row>
    <row r="1453" spans="1:5" x14ac:dyDescent="0.3">
      <c r="A1453" s="3" t="s">
        <v>487</v>
      </c>
      <c r="B1453" s="3" t="s">
        <v>140</v>
      </c>
      <c r="C1453" s="3" t="s">
        <v>488</v>
      </c>
      <c r="D1453" s="4">
        <f t="shared" ca="1" si="17"/>
        <v>45819</v>
      </c>
      <c r="E1453" s="3" t="s">
        <v>60</v>
      </c>
    </row>
    <row r="1454" spans="1:5" x14ac:dyDescent="0.3">
      <c r="A1454" s="3" t="s">
        <v>562</v>
      </c>
      <c r="B1454" s="3" t="s">
        <v>523</v>
      </c>
      <c r="C1454" s="3" t="s">
        <v>563</v>
      </c>
      <c r="D1454" s="4">
        <f t="shared" ca="1" si="17"/>
        <v>45819</v>
      </c>
      <c r="E1454" s="3" t="s">
        <v>56</v>
      </c>
    </row>
    <row r="1455" spans="1:5" x14ac:dyDescent="0.3">
      <c r="A1455" s="3" t="s">
        <v>736</v>
      </c>
      <c r="B1455" s="3" t="s">
        <v>331</v>
      </c>
      <c r="C1455" s="3" t="s">
        <v>737</v>
      </c>
      <c r="D1455" s="4">
        <f t="shared" ca="1" si="17"/>
        <v>45819</v>
      </c>
      <c r="E1455" s="3" t="s">
        <v>39</v>
      </c>
    </row>
    <row r="1456" spans="1:5" x14ac:dyDescent="0.3">
      <c r="A1456" s="3" t="s">
        <v>675</v>
      </c>
      <c r="B1456" s="3" t="s">
        <v>37</v>
      </c>
      <c r="C1456" s="3" t="s">
        <v>676</v>
      </c>
      <c r="D1456" s="4">
        <f t="shared" ca="1" si="17"/>
        <v>45819</v>
      </c>
      <c r="E1456" s="3" t="s">
        <v>35</v>
      </c>
    </row>
    <row r="1457" spans="1:5" x14ac:dyDescent="0.3">
      <c r="A1457" s="3" t="s">
        <v>591</v>
      </c>
      <c r="B1457" s="3" t="s">
        <v>193</v>
      </c>
      <c r="C1457" s="3" t="s">
        <v>592</v>
      </c>
      <c r="D1457" s="4">
        <f t="shared" ca="1" si="17"/>
        <v>45819</v>
      </c>
      <c r="E1457" s="3" t="s">
        <v>60</v>
      </c>
    </row>
    <row r="1458" spans="1:5" x14ac:dyDescent="0.3">
      <c r="A1458" s="3" t="s">
        <v>156</v>
      </c>
      <c r="B1458" s="3" t="s">
        <v>157</v>
      </c>
      <c r="C1458" s="3" t="s">
        <v>158</v>
      </c>
      <c r="D1458" s="4">
        <f t="shared" ca="1" si="17"/>
        <v>45819</v>
      </c>
      <c r="E1458" s="3" t="s">
        <v>60</v>
      </c>
    </row>
    <row r="1459" spans="1:5" x14ac:dyDescent="0.3">
      <c r="A1459" s="3" t="s">
        <v>387</v>
      </c>
      <c r="B1459" s="3" t="s">
        <v>25</v>
      </c>
      <c r="C1459" s="3" t="s">
        <v>108</v>
      </c>
      <c r="D1459" s="4">
        <f t="shared" ca="1" si="17"/>
        <v>45819</v>
      </c>
      <c r="E1459" s="3" t="s">
        <v>60</v>
      </c>
    </row>
    <row r="1460" spans="1:5" x14ac:dyDescent="0.3">
      <c r="A1460" s="3" t="s">
        <v>710</v>
      </c>
      <c r="B1460" s="3" t="s">
        <v>193</v>
      </c>
      <c r="C1460" s="3" t="s">
        <v>200</v>
      </c>
      <c r="D1460" s="4">
        <f t="shared" ca="1" si="17"/>
        <v>45819</v>
      </c>
      <c r="E1460" s="3" t="s">
        <v>39</v>
      </c>
    </row>
    <row r="1461" spans="1:5" x14ac:dyDescent="0.3">
      <c r="A1461" s="3" t="s">
        <v>73</v>
      </c>
      <c r="B1461" s="3" t="s">
        <v>87</v>
      </c>
      <c r="C1461" s="3" t="s">
        <v>278</v>
      </c>
      <c r="D1461" s="4">
        <f t="shared" ca="1" si="17"/>
        <v>45819</v>
      </c>
      <c r="E1461" s="3" t="s">
        <v>39</v>
      </c>
    </row>
    <row r="1462" spans="1:5" x14ac:dyDescent="0.3">
      <c r="A1462" s="3" t="s">
        <v>745</v>
      </c>
      <c r="B1462" s="3" t="s">
        <v>58</v>
      </c>
      <c r="C1462" s="3" t="s">
        <v>334</v>
      </c>
      <c r="D1462" s="4">
        <f t="shared" ca="1" si="17"/>
        <v>45819</v>
      </c>
      <c r="E1462" s="3" t="s">
        <v>27</v>
      </c>
    </row>
    <row r="1463" spans="1:5" x14ac:dyDescent="0.3">
      <c r="A1463" s="3" t="s">
        <v>209</v>
      </c>
      <c r="B1463" s="3" t="s">
        <v>62</v>
      </c>
      <c r="C1463" s="3" t="s">
        <v>282</v>
      </c>
      <c r="D1463" s="4">
        <f t="shared" ca="1" si="17"/>
        <v>45819</v>
      </c>
      <c r="E1463" s="3" t="s">
        <v>60</v>
      </c>
    </row>
    <row r="1464" spans="1:5" x14ac:dyDescent="0.3">
      <c r="A1464" s="3" t="s">
        <v>57</v>
      </c>
      <c r="B1464" s="3" t="s">
        <v>245</v>
      </c>
      <c r="C1464" s="3" t="s">
        <v>569</v>
      </c>
      <c r="D1464" s="4">
        <f t="shared" ca="1" si="17"/>
        <v>45819</v>
      </c>
      <c r="E1464" s="3" t="s">
        <v>60</v>
      </c>
    </row>
    <row r="1465" spans="1:5" x14ac:dyDescent="0.3">
      <c r="A1465" s="3" t="s">
        <v>106</v>
      </c>
      <c r="B1465" s="3" t="s">
        <v>65</v>
      </c>
      <c r="C1465" s="3" t="s">
        <v>262</v>
      </c>
      <c r="D1465" s="4">
        <f t="shared" ca="1" si="17"/>
        <v>45819</v>
      </c>
      <c r="E1465" s="3" t="s">
        <v>60</v>
      </c>
    </row>
    <row r="1466" spans="1:5" x14ac:dyDescent="0.3">
      <c r="A1466" s="3" t="s">
        <v>573</v>
      </c>
      <c r="B1466" s="3" t="s">
        <v>47</v>
      </c>
      <c r="C1466" s="3" t="s">
        <v>574</v>
      </c>
      <c r="D1466" s="4">
        <f t="shared" ref="D1466:D1566" ca="1" si="18">TODAY()-188</f>
        <v>45849</v>
      </c>
      <c r="E1466" s="3" t="s">
        <v>27</v>
      </c>
    </row>
    <row r="1467" spans="1:5" x14ac:dyDescent="0.3">
      <c r="A1467" s="3" t="s">
        <v>219</v>
      </c>
      <c r="B1467" s="3" t="s">
        <v>157</v>
      </c>
      <c r="C1467" s="3" t="s">
        <v>220</v>
      </c>
      <c r="D1467" s="4">
        <f t="shared" ca="1" si="18"/>
        <v>45849</v>
      </c>
      <c r="E1467" s="3" t="s">
        <v>31</v>
      </c>
    </row>
    <row r="1468" spans="1:5" x14ac:dyDescent="0.3">
      <c r="A1468" s="3" t="s">
        <v>54</v>
      </c>
      <c r="B1468" s="3" t="s">
        <v>37</v>
      </c>
      <c r="C1468" s="3" t="s">
        <v>55</v>
      </c>
      <c r="D1468" s="4">
        <f t="shared" ca="1" si="18"/>
        <v>45849</v>
      </c>
      <c r="E1468" s="3" t="s">
        <v>56</v>
      </c>
    </row>
    <row r="1469" spans="1:5" x14ac:dyDescent="0.3">
      <c r="A1469" s="3" t="s">
        <v>545</v>
      </c>
      <c r="B1469" s="3" t="s">
        <v>58</v>
      </c>
      <c r="C1469" s="3" t="s">
        <v>566</v>
      </c>
      <c r="D1469" s="4">
        <f t="shared" ca="1" si="18"/>
        <v>45849</v>
      </c>
      <c r="E1469" s="3" t="s">
        <v>31</v>
      </c>
    </row>
    <row r="1470" spans="1:5" x14ac:dyDescent="0.3">
      <c r="A1470" s="3" t="s">
        <v>510</v>
      </c>
      <c r="B1470" s="3" t="s">
        <v>65</v>
      </c>
      <c r="C1470" s="3" t="s">
        <v>611</v>
      </c>
      <c r="D1470" s="4">
        <f t="shared" ca="1" si="18"/>
        <v>45849</v>
      </c>
      <c r="E1470" s="3" t="s">
        <v>35</v>
      </c>
    </row>
    <row r="1471" spans="1:5" x14ac:dyDescent="0.3">
      <c r="A1471" s="3" t="s">
        <v>604</v>
      </c>
      <c r="B1471" s="3" t="s">
        <v>392</v>
      </c>
      <c r="C1471" s="3" t="s">
        <v>500</v>
      </c>
      <c r="D1471" s="4">
        <f t="shared" ca="1" si="18"/>
        <v>45849</v>
      </c>
      <c r="E1471" s="3" t="s">
        <v>39</v>
      </c>
    </row>
    <row r="1472" spans="1:5" x14ac:dyDescent="0.3">
      <c r="A1472" s="3" t="s">
        <v>240</v>
      </c>
      <c r="B1472" s="3" t="s">
        <v>124</v>
      </c>
      <c r="C1472" s="3" t="s">
        <v>241</v>
      </c>
      <c r="D1472" s="4">
        <f t="shared" ca="1" si="18"/>
        <v>45849</v>
      </c>
      <c r="E1472" s="3" t="s">
        <v>35</v>
      </c>
    </row>
    <row r="1473" spans="1:5" x14ac:dyDescent="0.3">
      <c r="A1473" s="3" t="s">
        <v>437</v>
      </c>
      <c r="B1473" s="3" t="s">
        <v>62</v>
      </c>
      <c r="C1473" s="3" t="s">
        <v>438</v>
      </c>
      <c r="D1473" s="4">
        <f t="shared" ca="1" si="18"/>
        <v>45849</v>
      </c>
      <c r="E1473" s="3" t="s">
        <v>60</v>
      </c>
    </row>
    <row r="1474" spans="1:5" x14ac:dyDescent="0.3">
      <c r="A1474" s="3" t="s">
        <v>130</v>
      </c>
      <c r="B1474" s="3" t="s">
        <v>118</v>
      </c>
      <c r="C1474" s="3" t="s">
        <v>817</v>
      </c>
      <c r="D1474" s="4">
        <f t="shared" ca="1" si="18"/>
        <v>45849</v>
      </c>
      <c r="E1474" s="3" t="s">
        <v>27</v>
      </c>
    </row>
    <row r="1475" spans="1:5" x14ac:dyDescent="0.3">
      <c r="A1475" s="3" t="s">
        <v>664</v>
      </c>
      <c r="B1475" s="3" t="s">
        <v>162</v>
      </c>
      <c r="C1475" s="3" t="s">
        <v>665</v>
      </c>
      <c r="D1475" s="4">
        <f t="shared" ca="1" si="18"/>
        <v>45849</v>
      </c>
      <c r="E1475" s="3" t="s">
        <v>39</v>
      </c>
    </row>
    <row r="1476" spans="1:5" x14ac:dyDescent="0.3">
      <c r="A1476" s="3" t="s">
        <v>54</v>
      </c>
      <c r="B1476" s="3" t="s">
        <v>37</v>
      </c>
      <c r="C1476" s="3" t="s">
        <v>55</v>
      </c>
      <c r="D1476" s="4">
        <f t="shared" ca="1" si="18"/>
        <v>45849</v>
      </c>
      <c r="E1476" s="3" t="s">
        <v>56</v>
      </c>
    </row>
    <row r="1477" spans="1:5" x14ac:dyDescent="0.3">
      <c r="A1477" s="3" t="s">
        <v>805</v>
      </c>
      <c r="B1477" s="3" t="s">
        <v>162</v>
      </c>
      <c r="C1477" s="3" t="s">
        <v>806</v>
      </c>
      <c r="D1477" s="4">
        <f t="shared" ca="1" si="18"/>
        <v>45849</v>
      </c>
      <c r="E1477" s="3" t="s">
        <v>35</v>
      </c>
    </row>
    <row r="1478" spans="1:5" x14ac:dyDescent="0.3">
      <c r="A1478" s="3" t="s">
        <v>584</v>
      </c>
      <c r="B1478" s="3" t="s">
        <v>121</v>
      </c>
      <c r="C1478" s="3" t="s">
        <v>585</v>
      </c>
      <c r="D1478" s="4">
        <f t="shared" ca="1" si="18"/>
        <v>45849</v>
      </c>
      <c r="E1478" s="3" t="s">
        <v>39</v>
      </c>
    </row>
    <row r="1479" spans="1:5" x14ac:dyDescent="0.3">
      <c r="A1479" s="3" t="s">
        <v>40</v>
      </c>
      <c r="B1479" s="3" t="s">
        <v>162</v>
      </c>
      <c r="C1479" s="3" t="s">
        <v>427</v>
      </c>
      <c r="D1479" s="4">
        <f t="shared" ca="1" si="18"/>
        <v>45849</v>
      </c>
      <c r="E1479" s="3" t="s">
        <v>56</v>
      </c>
    </row>
    <row r="1480" spans="1:5" x14ac:dyDescent="0.3">
      <c r="A1480" s="3" t="s">
        <v>531</v>
      </c>
      <c r="B1480" s="3" t="s">
        <v>193</v>
      </c>
      <c r="C1480" s="3" t="s">
        <v>532</v>
      </c>
      <c r="D1480" s="4">
        <f t="shared" ca="1" si="18"/>
        <v>45849</v>
      </c>
      <c r="E1480" s="3" t="s">
        <v>39</v>
      </c>
    </row>
    <row r="1481" spans="1:5" x14ac:dyDescent="0.3">
      <c r="A1481" s="3" t="s">
        <v>607</v>
      </c>
      <c r="B1481" s="3" t="s">
        <v>504</v>
      </c>
      <c r="C1481" s="3" t="s">
        <v>262</v>
      </c>
      <c r="D1481" s="4">
        <f t="shared" ca="1" si="18"/>
        <v>45849</v>
      </c>
      <c r="E1481" s="3" t="s">
        <v>39</v>
      </c>
    </row>
    <row r="1482" spans="1:5" x14ac:dyDescent="0.3">
      <c r="A1482" s="3" t="s">
        <v>437</v>
      </c>
      <c r="B1482" s="3" t="s">
        <v>62</v>
      </c>
      <c r="C1482" s="3" t="s">
        <v>438</v>
      </c>
      <c r="D1482" s="4">
        <f t="shared" ca="1" si="18"/>
        <v>45849</v>
      </c>
      <c r="E1482" s="3" t="s">
        <v>60</v>
      </c>
    </row>
    <row r="1483" spans="1:5" x14ac:dyDescent="0.3">
      <c r="A1483" s="3" t="s">
        <v>650</v>
      </c>
      <c r="B1483" s="3" t="s">
        <v>298</v>
      </c>
      <c r="C1483" s="3" t="s">
        <v>789</v>
      </c>
      <c r="D1483" s="4">
        <f t="shared" ca="1" si="18"/>
        <v>45849</v>
      </c>
      <c r="E1483" s="3" t="s">
        <v>60</v>
      </c>
    </row>
    <row r="1484" spans="1:5" x14ac:dyDescent="0.3">
      <c r="A1484" s="3" t="s">
        <v>67</v>
      </c>
      <c r="B1484" s="3" t="s">
        <v>68</v>
      </c>
      <c r="C1484" s="3" t="s">
        <v>69</v>
      </c>
      <c r="D1484" s="4">
        <f t="shared" ca="1" si="18"/>
        <v>45849</v>
      </c>
      <c r="E1484" s="3" t="s">
        <v>31</v>
      </c>
    </row>
    <row r="1485" spans="1:5" x14ac:dyDescent="0.3">
      <c r="A1485" s="3" t="s">
        <v>152</v>
      </c>
      <c r="B1485" s="3" t="s">
        <v>65</v>
      </c>
      <c r="C1485" s="3" t="s">
        <v>153</v>
      </c>
      <c r="D1485" s="4">
        <f t="shared" ca="1" si="18"/>
        <v>45849</v>
      </c>
      <c r="E1485" s="3" t="s">
        <v>27</v>
      </c>
    </row>
    <row r="1486" spans="1:5" x14ac:dyDescent="0.3">
      <c r="A1486" s="3" t="s">
        <v>236</v>
      </c>
      <c r="B1486" s="3" t="s">
        <v>65</v>
      </c>
      <c r="C1486" s="3" t="s">
        <v>237</v>
      </c>
      <c r="D1486" s="4">
        <f t="shared" ca="1" si="18"/>
        <v>45849</v>
      </c>
      <c r="E1486" s="3" t="s">
        <v>56</v>
      </c>
    </row>
    <row r="1487" spans="1:5" x14ac:dyDescent="0.3">
      <c r="A1487" s="3" t="s">
        <v>180</v>
      </c>
      <c r="B1487" s="3" t="s">
        <v>50</v>
      </c>
      <c r="C1487" s="3" t="s">
        <v>181</v>
      </c>
      <c r="D1487" s="4">
        <f t="shared" ca="1" si="18"/>
        <v>45849</v>
      </c>
      <c r="E1487" s="3" t="s">
        <v>39</v>
      </c>
    </row>
    <row r="1488" spans="1:5" x14ac:dyDescent="0.3">
      <c r="A1488" s="3" t="s">
        <v>286</v>
      </c>
      <c r="B1488" s="3" t="s">
        <v>178</v>
      </c>
      <c r="C1488" s="3" t="s">
        <v>287</v>
      </c>
      <c r="D1488" s="4">
        <f t="shared" ca="1" si="18"/>
        <v>45849</v>
      </c>
      <c r="E1488" s="3" t="s">
        <v>60</v>
      </c>
    </row>
    <row r="1489" spans="1:5" x14ac:dyDescent="0.3">
      <c r="A1489" s="3" t="s">
        <v>435</v>
      </c>
      <c r="B1489" s="3" t="s">
        <v>65</v>
      </c>
      <c r="C1489" s="3" t="s">
        <v>436</v>
      </c>
      <c r="D1489" s="4">
        <f t="shared" ca="1" si="18"/>
        <v>45849</v>
      </c>
      <c r="E1489" s="3" t="s">
        <v>31</v>
      </c>
    </row>
    <row r="1490" spans="1:5" x14ac:dyDescent="0.3">
      <c r="A1490" s="3" t="s">
        <v>445</v>
      </c>
      <c r="B1490" s="3" t="s">
        <v>446</v>
      </c>
      <c r="C1490" s="3" t="s">
        <v>447</v>
      </c>
      <c r="D1490" s="4">
        <f t="shared" ca="1" si="18"/>
        <v>45849</v>
      </c>
      <c r="E1490" s="3" t="s">
        <v>60</v>
      </c>
    </row>
    <row r="1491" spans="1:5" x14ac:dyDescent="0.3">
      <c r="A1491" s="3" t="s">
        <v>706</v>
      </c>
      <c r="B1491" s="3" t="s">
        <v>133</v>
      </c>
      <c r="C1491" s="3" t="s">
        <v>707</v>
      </c>
      <c r="D1491" s="4">
        <f t="shared" ca="1" si="18"/>
        <v>45849</v>
      </c>
      <c r="E1491" s="3" t="s">
        <v>35</v>
      </c>
    </row>
    <row r="1492" spans="1:5" x14ac:dyDescent="0.3">
      <c r="A1492" s="3" t="s">
        <v>102</v>
      </c>
      <c r="B1492" s="3" t="s">
        <v>25</v>
      </c>
      <c r="C1492" s="3" t="s">
        <v>742</v>
      </c>
      <c r="D1492" s="4">
        <f t="shared" ca="1" si="18"/>
        <v>45849</v>
      </c>
      <c r="E1492" s="3" t="s">
        <v>31</v>
      </c>
    </row>
    <row r="1493" spans="1:5" x14ac:dyDescent="0.3">
      <c r="A1493" s="3" t="s">
        <v>721</v>
      </c>
      <c r="B1493" s="3" t="s">
        <v>71</v>
      </c>
      <c r="C1493" s="3" t="s">
        <v>722</v>
      </c>
      <c r="D1493" s="4">
        <f t="shared" ca="1" si="18"/>
        <v>45849</v>
      </c>
      <c r="E1493" s="3" t="s">
        <v>60</v>
      </c>
    </row>
    <row r="1494" spans="1:5" x14ac:dyDescent="0.3">
      <c r="A1494" s="3" t="s">
        <v>199</v>
      </c>
      <c r="B1494" s="3" t="s">
        <v>157</v>
      </c>
      <c r="C1494" s="3" t="s">
        <v>200</v>
      </c>
      <c r="D1494" s="4">
        <f t="shared" ca="1" si="18"/>
        <v>45849</v>
      </c>
      <c r="E1494" s="3" t="s">
        <v>60</v>
      </c>
    </row>
    <row r="1495" spans="1:5" x14ac:dyDescent="0.3">
      <c r="A1495" s="3" t="s">
        <v>702</v>
      </c>
      <c r="B1495" s="3" t="s">
        <v>58</v>
      </c>
      <c r="C1495" s="3" t="s">
        <v>703</v>
      </c>
      <c r="D1495" s="4">
        <f t="shared" ca="1" si="18"/>
        <v>45849</v>
      </c>
      <c r="E1495" s="3" t="s">
        <v>39</v>
      </c>
    </row>
    <row r="1496" spans="1:5" x14ac:dyDescent="0.3">
      <c r="A1496" s="3" t="s">
        <v>750</v>
      </c>
      <c r="B1496" s="3" t="s">
        <v>33</v>
      </c>
      <c r="C1496" s="3" t="s">
        <v>751</v>
      </c>
      <c r="D1496" s="4">
        <f t="shared" ca="1" si="18"/>
        <v>45849</v>
      </c>
      <c r="E1496" s="3" t="s">
        <v>31</v>
      </c>
    </row>
    <row r="1497" spans="1:5" x14ac:dyDescent="0.3">
      <c r="A1497" s="3" t="s">
        <v>430</v>
      </c>
      <c r="B1497" s="3" t="s">
        <v>212</v>
      </c>
      <c r="C1497" s="3" t="s">
        <v>431</v>
      </c>
      <c r="D1497" s="4">
        <f t="shared" ca="1" si="18"/>
        <v>45849</v>
      </c>
      <c r="E1497" s="3" t="s">
        <v>27</v>
      </c>
    </row>
    <row r="1498" spans="1:5" x14ac:dyDescent="0.3">
      <c r="A1498" s="3" t="s">
        <v>541</v>
      </c>
      <c r="B1498" s="3" t="s">
        <v>65</v>
      </c>
      <c r="C1498" s="3" t="s">
        <v>352</v>
      </c>
      <c r="D1498" s="4">
        <f t="shared" ca="1" si="18"/>
        <v>45849</v>
      </c>
      <c r="E1498" s="3" t="s">
        <v>60</v>
      </c>
    </row>
    <row r="1499" spans="1:5" x14ac:dyDescent="0.3">
      <c r="A1499" s="3" t="s">
        <v>175</v>
      </c>
      <c r="B1499" s="3" t="s">
        <v>93</v>
      </c>
      <c r="C1499" s="3" t="s">
        <v>176</v>
      </c>
      <c r="D1499" s="4">
        <f t="shared" ca="1" si="18"/>
        <v>45849</v>
      </c>
      <c r="E1499" s="3" t="s">
        <v>60</v>
      </c>
    </row>
    <row r="1500" spans="1:5" x14ac:dyDescent="0.3">
      <c r="A1500" s="3" t="s">
        <v>37</v>
      </c>
      <c r="B1500" s="3" t="s">
        <v>71</v>
      </c>
      <c r="C1500" s="3" t="s">
        <v>460</v>
      </c>
      <c r="D1500" s="4">
        <f t="shared" ca="1" si="18"/>
        <v>45849</v>
      </c>
      <c r="E1500" s="3" t="s">
        <v>31</v>
      </c>
    </row>
    <row r="1501" spans="1:5" x14ac:dyDescent="0.3">
      <c r="A1501" s="3" t="s">
        <v>778</v>
      </c>
      <c r="B1501" s="3" t="s">
        <v>157</v>
      </c>
      <c r="C1501" s="3" t="s">
        <v>431</v>
      </c>
      <c r="D1501" s="4">
        <f t="shared" ca="1" si="18"/>
        <v>45849</v>
      </c>
      <c r="E1501" s="3" t="s">
        <v>31</v>
      </c>
    </row>
    <row r="1502" spans="1:5" x14ac:dyDescent="0.3">
      <c r="A1502" s="3" t="s">
        <v>499</v>
      </c>
      <c r="B1502" s="3" t="s">
        <v>165</v>
      </c>
      <c r="C1502" s="3" t="s">
        <v>500</v>
      </c>
      <c r="D1502" s="4">
        <f t="shared" ca="1" si="18"/>
        <v>45849</v>
      </c>
      <c r="E1502" s="3" t="s">
        <v>27</v>
      </c>
    </row>
    <row r="1503" spans="1:5" x14ac:dyDescent="0.3">
      <c r="A1503" s="3" t="s">
        <v>281</v>
      </c>
      <c r="B1503" s="3" t="s">
        <v>74</v>
      </c>
      <c r="C1503" s="3" t="s">
        <v>282</v>
      </c>
      <c r="D1503" s="4">
        <f t="shared" ca="1" si="18"/>
        <v>45849</v>
      </c>
      <c r="E1503" s="3" t="s">
        <v>39</v>
      </c>
    </row>
    <row r="1504" spans="1:5" x14ac:dyDescent="0.3">
      <c r="A1504" s="3" t="s">
        <v>92</v>
      </c>
      <c r="B1504" s="3" t="s">
        <v>93</v>
      </c>
      <c r="C1504" s="3" t="s">
        <v>94</v>
      </c>
      <c r="D1504" s="4">
        <f t="shared" ca="1" si="18"/>
        <v>45849</v>
      </c>
      <c r="E1504" s="3" t="s">
        <v>56</v>
      </c>
    </row>
    <row r="1505" spans="1:5" x14ac:dyDescent="0.3">
      <c r="A1505" s="3" t="s">
        <v>139</v>
      </c>
      <c r="B1505" s="3" t="s">
        <v>140</v>
      </c>
      <c r="C1505" s="3" t="s">
        <v>141</v>
      </c>
      <c r="D1505" s="4">
        <f t="shared" ca="1" si="18"/>
        <v>45849</v>
      </c>
      <c r="E1505" s="3" t="s">
        <v>31</v>
      </c>
    </row>
    <row r="1506" spans="1:5" x14ac:dyDescent="0.3">
      <c r="A1506" s="3" t="s">
        <v>562</v>
      </c>
      <c r="B1506" s="3" t="s">
        <v>523</v>
      </c>
      <c r="C1506" s="3" t="s">
        <v>563</v>
      </c>
      <c r="D1506" s="4">
        <f t="shared" ca="1" si="18"/>
        <v>45849</v>
      </c>
      <c r="E1506" s="3" t="s">
        <v>56</v>
      </c>
    </row>
    <row r="1507" spans="1:5" x14ac:dyDescent="0.3">
      <c r="A1507" s="3" t="s">
        <v>648</v>
      </c>
      <c r="B1507" s="3" t="s">
        <v>87</v>
      </c>
      <c r="C1507" s="3" t="s">
        <v>649</v>
      </c>
      <c r="D1507" s="4">
        <f t="shared" ca="1" si="18"/>
        <v>45849</v>
      </c>
      <c r="E1507" s="3" t="s">
        <v>31</v>
      </c>
    </row>
    <row r="1508" spans="1:5" x14ac:dyDescent="0.3">
      <c r="A1508" s="3" t="s">
        <v>106</v>
      </c>
      <c r="B1508" s="3" t="s">
        <v>107</v>
      </c>
      <c r="C1508" s="3" t="s">
        <v>108</v>
      </c>
      <c r="D1508" s="4">
        <f t="shared" ca="1" si="18"/>
        <v>45849</v>
      </c>
      <c r="E1508" s="3" t="s">
        <v>31</v>
      </c>
    </row>
    <row r="1509" spans="1:5" x14ac:dyDescent="0.3">
      <c r="A1509" s="3" t="s">
        <v>687</v>
      </c>
      <c r="B1509" s="3" t="s">
        <v>25</v>
      </c>
      <c r="C1509" s="3" t="s">
        <v>688</v>
      </c>
      <c r="D1509" s="4">
        <f t="shared" ca="1" si="18"/>
        <v>45849</v>
      </c>
      <c r="E1509" s="3" t="s">
        <v>39</v>
      </c>
    </row>
    <row r="1510" spans="1:5" x14ac:dyDescent="0.3">
      <c r="A1510" s="3" t="s">
        <v>309</v>
      </c>
      <c r="B1510" s="3" t="s">
        <v>168</v>
      </c>
      <c r="C1510" s="3" t="s">
        <v>481</v>
      </c>
      <c r="D1510" s="4">
        <f t="shared" ca="1" si="18"/>
        <v>45849</v>
      </c>
      <c r="E1510" s="3" t="s">
        <v>31</v>
      </c>
    </row>
    <row r="1511" spans="1:5" x14ac:dyDescent="0.3">
      <c r="A1511" s="3" t="s">
        <v>545</v>
      </c>
      <c r="B1511" s="3" t="s">
        <v>58</v>
      </c>
      <c r="C1511" s="3" t="s">
        <v>566</v>
      </c>
      <c r="D1511" s="4">
        <f t="shared" ca="1" si="18"/>
        <v>45849</v>
      </c>
      <c r="E1511" s="3" t="s">
        <v>31</v>
      </c>
    </row>
    <row r="1512" spans="1:5" x14ac:dyDescent="0.3">
      <c r="A1512" s="3" t="s">
        <v>393</v>
      </c>
      <c r="B1512" s="3" t="s">
        <v>74</v>
      </c>
      <c r="C1512" s="3" t="s">
        <v>394</v>
      </c>
      <c r="D1512" s="4">
        <f t="shared" ca="1" si="18"/>
        <v>45849</v>
      </c>
      <c r="E1512" s="3" t="s">
        <v>56</v>
      </c>
    </row>
    <row r="1513" spans="1:5" x14ac:dyDescent="0.3">
      <c r="A1513" s="3" t="s">
        <v>323</v>
      </c>
      <c r="B1513" s="3" t="s">
        <v>50</v>
      </c>
      <c r="C1513" s="3" t="s">
        <v>324</v>
      </c>
      <c r="D1513" s="4">
        <f t="shared" ca="1" si="18"/>
        <v>45849</v>
      </c>
      <c r="E1513" s="3" t="s">
        <v>39</v>
      </c>
    </row>
    <row r="1514" spans="1:5" x14ac:dyDescent="0.3">
      <c r="A1514" s="3" t="s">
        <v>803</v>
      </c>
      <c r="B1514" s="3" t="s">
        <v>157</v>
      </c>
      <c r="C1514" s="3" t="s">
        <v>804</v>
      </c>
      <c r="D1514" s="4">
        <f t="shared" ca="1" si="18"/>
        <v>45849</v>
      </c>
      <c r="E1514" s="3" t="s">
        <v>31</v>
      </c>
    </row>
    <row r="1515" spans="1:5" x14ac:dyDescent="0.3">
      <c r="A1515" s="3" t="s">
        <v>560</v>
      </c>
      <c r="B1515" s="3" t="s">
        <v>110</v>
      </c>
      <c r="C1515" s="3" t="s">
        <v>561</v>
      </c>
      <c r="D1515" s="4">
        <f t="shared" ca="1" si="18"/>
        <v>45849</v>
      </c>
      <c r="E1515" s="3" t="s">
        <v>60</v>
      </c>
    </row>
    <row r="1516" spans="1:5" x14ac:dyDescent="0.3">
      <c r="A1516" s="3" t="s">
        <v>801</v>
      </c>
      <c r="B1516" s="3" t="s">
        <v>669</v>
      </c>
      <c r="C1516" s="3" t="s">
        <v>802</v>
      </c>
      <c r="D1516" s="4">
        <f t="shared" ca="1" si="18"/>
        <v>45849</v>
      </c>
      <c r="E1516" s="3" t="s">
        <v>56</v>
      </c>
    </row>
    <row r="1517" spans="1:5" x14ac:dyDescent="0.3">
      <c r="A1517" s="3" t="s">
        <v>263</v>
      </c>
      <c r="B1517" s="3" t="s">
        <v>44</v>
      </c>
      <c r="C1517" s="3" t="s">
        <v>431</v>
      </c>
      <c r="D1517" s="4">
        <f t="shared" ca="1" si="18"/>
        <v>45849</v>
      </c>
      <c r="E1517" s="3" t="s">
        <v>60</v>
      </c>
    </row>
    <row r="1518" spans="1:5" x14ac:dyDescent="0.3">
      <c r="A1518" s="3" t="s">
        <v>736</v>
      </c>
      <c r="B1518" s="3" t="s">
        <v>331</v>
      </c>
      <c r="C1518" s="3" t="s">
        <v>737</v>
      </c>
      <c r="D1518" s="4">
        <f t="shared" ca="1" si="18"/>
        <v>45849</v>
      </c>
      <c r="E1518" s="3" t="s">
        <v>39</v>
      </c>
    </row>
    <row r="1519" spans="1:5" x14ac:dyDescent="0.3">
      <c r="A1519" s="3" t="s">
        <v>764</v>
      </c>
      <c r="B1519" s="3" t="s">
        <v>356</v>
      </c>
      <c r="C1519" s="3" t="s">
        <v>582</v>
      </c>
      <c r="D1519" s="4">
        <f t="shared" ca="1" si="18"/>
        <v>45849</v>
      </c>
      <c r="E1519" s="3" t="s">
        <v>39</v>
      </c>
    </row>
    <row r="1520" spans="1:5" x14ac:dyDescent="0.3">
      <c r="A1520" s="3" t="s">
        <v>267</v>
      </c>
      <c r="B1520" s="3" t="s">
        <v>65</v>
      </c>
      <c r="C1520" s="3" t="s">
        <v>268</v>
      </c>
      <c r="D1520" s="4">
        <f t="shared" ca="1" si="18"/>
        <v>45849</v>
      </c>
      <c r="E1520" s="3" t="s">
        <v>60</v>
      </c>
    </row>
    <row r="1521" spans="1:5" x14ac:dyDescent="0.3">
      <c r="A1521" s="3" t="s">
        <v>766</v>
      </c>
      <c r="B1521" s="3" t="s">
        <v>331</v>
      </c>
      <c r="C1521" s="3" t="s">
        <v>767</v>
      </c>
      <c r="D1521" s="4">
        <f t="shared" ca="1" si="18"/>
        <v>45849</v>
      </c>
      <c r="E1521" s="3" t="s">
        <v>60</v>
      </c>
    </row>
    <row r="1522" spans="1:5" x14ac:dyDescent="0.3">
      <c r="A1522" s="3" t="s">
        <v>223</v>
      </c>
      <c r="B1522" s="3" t="s">
        <v>58</v>
      </c>
      <c r="C1522" s="3" t="s">
        <v>153</v>
      </c>
      <c r="D1522" s="4">
        <f t="shared" ca="1" si="18"/>
        <v>45849</v>
      </c>
      <c r="E1522" s="3" t="s">
        <v>35</v>
      </c>
    </row>
    <row r="1523" spans="1:5" x14ac:dyDescent="0.3">
      <c r="A1523" s="3" t="s">
        <v>547</v>
      </c>
      <c r="B1523" s="3" t="s">
        <v>47</v>
      </c>
      <c r="C1523" s="3" t="s">
        <v>548</v>
      </c>
      <c r="D1523" s="4">
        <f t="shared" ca="1" si="18"/>
        <v>45849</v>
      </c>
      <c r="E1523" s="3" t="s">
        <v>56</v>
      </c>
    </row>
    <row r="1524" spans="1:5" x14ac:dyDescent="0.3">
      <c r="A1524" s="3" t="s">
        <v>766</v>
      </c>
      <c r="B1524" s="3" t="s">
        <v>331</v>
      </c>
      <c r="C1524" s="3" t="s">
        <v>767</v>
      </c>
      <c r="D1524" s="4">
        <f t="shared" ca="1" si="18"/>
        <v>45849</v>
      </c>
      <c r="E1524" s="3" t="s">
        <v>60</v>
      </c>
    </row>
    <row r="1525" spans="1:5" x14ac:dyDescent="0.3">
      <c r="A1525" s="3" t="s">
        <v>292</v>
      </c>
      <c r="B1525" s="3" t="s">
        <v>118</v>
      </c>
      <c r="C1525" s="3" t="s">
        <v>293</v>
      </c>
      <c r="D1525" s="4">
        <f t="shared" ca="1" si="18"/>
        <v>45849</v>
      </c>
      <c r="E1525" s="3" t="s">
        <v>60</v>
      </c>
    </row>
    <row r="1526" spans="1:5" x14ac:dyDescent="0.3">
      <c r="A1526" s="3" t="s">
        <v>668</v>
      </c>
      <c r="B1526" s="3" t="s">
        <v>669</v>
      </c>
      <c r="C1526" s="3" t="s">
        <v>670</v>
      </c>
      <c r="D1526" s="4">
        <f t="shared" ca="1" si="18"/>
        <v>45849</v>
      </c>
      <c r="E1526" s="3" t="s">
        <v>60</v>
      </c>
    </row>
    <row r="1527" spans="1:5" x14ac:dyDescent="0.3">
      <c r="A1527" s="3" t="s">
        <v>588</v>
      </c>
      <c r="B1527" s="3" t="s">
        <v>74</v>
      </c>
      <c r="C1527" s="3" t="s">
        <v>216</v>
      </c>
      <c r="D1527" s="4">
        <f t="shared" ca="1" si="18"/>
        <v>45849</v>
      </c>
      <c r="E1527" s="3" t="s">
        <v>35</v>
      </c>
    </row>
    <row r="1528" spans="1:5" x14ac:dyDescent="0.3">
      <c r="A1528" s="3" t="s">
        <v>455</v>
      </c>
      <c r="B1528" s="3" t="s">
        <v>50</v>
      </c>
      <c r="C1528" s="3" t="s">
        <v>456</v>
      </c>
      <c r="D1528" s="4">
        <f t="shared" ca="1" si="18"/>
        <v>45849</v>
      </c>
      <c r="E1528" s="3" t="s">
        <v>39</v>
      </c>
    </row>
    <row r="1529" spans="1:5" x14ac:dyDescent="0.3">
      <c r="A1529" s="3" t="s">
        <v>815</v>
      </c>
      <c r="B1529" s="3" t="s">
        <v>65</v>
      </c>
      <c r="C1529" s="3" t="s">
        <v>816</v>
      </c>
      <c r="D1529" s="4">
        <f t="shared" ca="1" si="18"/>
        <v>45849</v>
      </c>
      <c r="E1529" s="3" t="s">
        <v>35</v>
      </c>
    </row>
    <row r="1530" spans="1:5" x14ac:dyDescent="0.3">
      <c r="A1530" s="3" t="s">
        <v>668</v>
      </c>
      <c r="B1530" s="3" t="s">
        <v>669</v>
      </c>
      <c r="C1530" s="3" t="s">
        <v>670</v>
      </c>
      <c r="D1530" s="4">
        <f t="shared" ca="1" si="18"/>
        <v>45849</v>
      </c>
      <c r="E1530" s="3" t="s">
        <v>60</v>
      </c>
    </row>
    <row r="1531" spans="1:5" x14ac:dyDescent="0.3">
      <c r="A1531" s="3" t="s">
        <v>422</v>
      </c>
      <c r="B1531" s="3" t="s">
        <v>423</v>
      </c>
      <c r="C1531" s="3" t="s">
        <v>424</v>
      </c>
      <c r="D1531" s="4">
        <f t="shared" ca="1" si="18"/>
        <v>45849</v>
      </c>
      <c r="E1531" s="3" t="s">
        <v>60</v>
      </c>
    </row>
    <row r="1532" spans="1:5" x14ac:dyDescent="0.3">
      <c r="A1532" s="3" t="s">
        <v>256</v>
      </c>
      <c r="B1532" s="3" t="s">
        <v>257</v>
      </c>
      <c r="C1532" s="3" t="s">
        <v>258</v>
      </c>
      <c r="D1532" s="4">
        <f t="shared" ca="1" si="18"/>
        <v>45849</v>
      </c>
      <c r="E1532" s="3" t="s">
        <v>60</v>
      </c>
    </row>
    <row r="1533" spans="1:5" x14ac:dyDescent="0.3">
      <c r="A1533" s="3" t="s">
        <v>760</v>
      </c>
      <c r="B1533" s="3" t="s">
        <v>50</v>
      </c>
      <c r="C1533" s="3" t="s">
        <v>761</v>
      </c>
      <c r="D1533" s="4">
        <f t="shared" ca="1" si="18"/>
        <v>45849</v>
      </c>
      <c r="E1533" s="3" t="s">
        <v>31</v>
      </c>
    </row>
    <row r="1534" spans="1:5" x14ac:dyDescent="0.3">
      <c r="A1534" s="3" t="s">
        <v>768</v>
      </c>
      <c r="B1534" s="3" t="s">
        <v>58</v>
      </c>
      <c r="C1534" s="3" t="s">
        <v>769</v>
      </c>
      <c r="D1534" s="4">
        <f t="shared" ca="1" si="18"/>
        <v>45849</v>
      </c>
      <c r="E1534" s="3" t="s">
        <v>31</v>
      </c>
    </row>
    <row r="1535" spans="1:5" x14ac:dyDescent="0.3">
      <c r="A1535" s="3" t="s">
        <v>154</v>
      </c>
      <c r="B1535" s="3" t="s">
        <v>87</v>
      </c>
      <c r="C1535" s="3" t="s">
        <v>690</v>
      </c>
      <c r="D1535" s="4">
        <f t="shared" ca="1" si="18"/>
        <v>45849</v>
      </c>
      <c r="E1535" s="3" t="s">
        <v>60</v>
      </c>
    </row>
    <row r="1536" spans="1:5" x14ac:dyDescent="0.3">
      <c r="A1536" s="3" t="s">
        <v>57</v>
      </c>
      <c r="B1536" s="3" t="s">
        <v>245</v>
      </c>
      <c r="C1536" s="3" t="s">
        <v>569</v>
      </c>
      <c r="D1536" s="4">
        <f t="shared" ca="1" si="18"/>
        <v>45849</v>
      </c>
      <c r="E1536" s="3" t="s">
        <v>60</v>
      </c>
    </row>
    <row r="1537" spans="1:5" x14ac:dyDescent="0.3">
      <c r="A1537" s="3" t="s">
        <v>106</v>
      </c>
      <c r="B1537" s="3" t="s">
        <v>65</v>
      </c>
      <c r="C1537" s="3" t="s">
        <v>262</v>
      </c>
      <c r="D1537" s="4">
        <f t="shared" ca="1" si="18"/>
        <v>45849</v>
      </c>
      <c r="E1537" s="3" t="s">
        <v>60</v>
      </c>
    </row>
    <row r="1538" spans="1:5" x14ac:dyDescent="0.3">
      <c r="A1538" s="3" t="s">
        <v>228</v>
      </c>
      <c r="B1538" s="3" t="s">
        <v>118</v>
      </c>
      <c r="C1538" s="3" t="s">
        <v>229</v>
      </c>
      <c r="D1538" s="4">
        <f t="shared" ca="1" si="18"/>
        <v>45849</v>
      </c>
      <c r="E1538" s="3" t="s">
        <v>31</v>
      </c>
    </row>
    <row r="1539" spans="1:5" x14ac:dyDescent="0.3">
      <c r="A1539" s="3" t="s">
        <v>491</v>
      </c>
      <c r="B1539" s="3" t="s">
        <v>62</v>
      </c>
      <c r="C1539" s="3" t="s">
        <v>492</v>
      </c>
      <c r="D1539" s="4">
        <f t="shared" ca="1" si="18"/>
        <v>45849</v>
      </c>
      <c r="E1539" s="3" t="s">
        <v>35</v>
      </c>
    </row>
    <row r="1540" spans="1:5" x14ac:dyDescent="0.3">
      <c r="A1540" s="3" t="s">
        <v>28</v>
      </c>
      <c r="B1540" s="3" t="s">
        <v>29</v>
      </c>
      <c r="C1540" s="3" t="s">
        <v>30</v>
      </c>
      <c r="D1540" s="4">
        <f t="shared" ca="1" si="18"/>
        <v>45849</v>
      </c>
      <c r="E1540" s="3" t="s">
        <v>31</v>
      </c>
    </row>
    <row r="1541" spans="1:5" x14ac:dyDescent="0.3">
      <c r="A1541" s="3" t="s">
        <v>367</v>
      </c>
      <c r="B1541" s="3" t="s">
        <v>368</v>
      </c>
      <c r="C1541" s="3" t="s">
        <v>369</v>
      </c>
      <c r="D1541" s="4">
        <f t="shared" ca="1" si="18"/>
        <v>45849</v>
      </c>
      <c r="E1541" s="3" t="s">
        <v>39</v>
      </c>
    </row>
    <row r="1542" spans="1:5" x14ac:dyDescent="0.3">
      <c r="A1542" s="3" t="s">
        <v>409</v>
      </c>
      <c r="B1542" s="3" t="s">
        <v>392</v>
      </c>
      <c r="C1542" s="3" t="s">
        <v>410</v>
      </c>
      <c r="D1542" s="4">
        <f t="shared" ca="1" si="18"/>
        <v>45849</v>
      </c>
      <c r="E1542" s="3" t="s">
        <v>35</v>
      </c>
    </row>
    <row r="1543" spans="1:5" x14ac:dyDescent="0.3">
      <c r="A1543" s="3" t="s">
        <v>234</v>
      </c>
      <c r="B1543" s="3" t="s">
        <v>78</v>
      </c>
      <c r="C1543" s="3" t="s">
        <v>711</v>
      </c>
      <c r="D1543" s="4">
        <f t="shared" ca="1" si="18"/>
        <v>45849</v>
      </c>
      <c r="E1543" s="3" t="s">
        <v>31</v>
      </c>
    </row>
    <row r="1544" spans="1:5" x14ac:dyDescent="0.3">
      <c r="A1544" s="3" t="s">
        <v>283</v>
      </c>
      <c r="B1544" s="3" t="s">
        <v>284</v>
      </c>
      <c r="C1544" s="3" t="s">
        <v>285</v>
      </c>
      <c r="D1544" s="4">
        <f t="shared" ca="1" si="18"/>
        <v>45849</v>
      </c>
      <c r="E1544" s="3" t="s">
        <v>60</v>
      </c>
    </row>
    <row r="1545" spans="1:5" x14ac:dyDescent="0.3">
      <c r="A1545" s="3" t="s">
        <v>407</v>
      </c>
      <c r="B1545" s="3" t="s">
        <v>87</v>
      </c>
      <c r="C1545" s="3" t="s">
        <v>408</v>
      </c>
      <c r="D1545" s="4">
        <f t="shared" ca="1" si="18"/>
        <v>45849</v>
      </c>
      <c r="E1545" s="3" t="s">
        <v>39</v>
      </c>
    </row>
    <row r="1546" spans="1:5" x14ac:dyDescent="0.3">
      <c r="A1546" s="3" t="s">
        <v>591</v>
      </c>
      <c r="B1546" s="3" t="s">
        <v>193</v>
      </c>
      <c r="C1546" s="3" t="s">
        <v>592</v>
      </c>
      <c r="D1546" s="4">
        <f t="shared" ca="1" si="18"/>
        <v>45849</v>
      </c>
      <c r="E1546" s="3" t="s">
        <v>60</v>
      </c>
    </row>
    <row r="1547" spans="1:5" x14ac:dyDescent="0.3">
      <c r="A1547" s="3" t="s">
        <v>418</v>
      </c>
      <c r="B1547" s="3" t="s">
        <v>47</v>
      </c>
      <c r="C1547" s="3" t="s">
        <v>419</v>
      </c>
      <c r="D1547" s="4">
        <f t="shared" ca="1" si="18"/>
        <v>45849</v>
      </c>
      <c r="E1547" s="3" t="s">
        <v>60</v>
      </c>
    </row>
    <row r="1548" spans="1:5" x14ac:dyDescent="0.3">
      <c r="A1548" s="3" t="s">
        <v>462</v>
      </c>
      <c r="B1548" s="3" t="s">
        <v>359</v>
      </c>
      <c r="C1548" s="3" t="s">
        <v>463</v>
      </c>
      <c r="D1548" s="4">
        <f t="shared" ca="1" si="18"/>
        <v>45849</v>
      </c>
      <c r="E1548" s="3" t="s">
        <v>39</v>
      </c>
    </row>
    <row r="1549" spans="1:5" x14ac:dyDescent="0.3">
      <c r="A1549" s="3" t="s">
        <v>328</v>
      </c>
      <c r="B1549" s="3" t="s">
        <v>193</v>
      </c>
      <c r="C1549" s="3" t="s">
        <v>329</v>
      </c>
      <c r="D1549" s="4">
        <f t="shared" ca="1" si="18"/>
        <v>45849</v>
      </c>
      <c r="E1549" s="3" t="s">
        <v>60</v>
      </c>
    </row>
    <row r="1550" spans="1:5" x14ac:dyDescent="0.3">
      <c r="A1550" s="3" t="s">
        <v>365</v>
      </c>
      <c r="B1550" s="3" t="s">
        <v>58</v>
      </c>
      <c r="C1550" s="3" t="s">
        <v>366</v>
      </c>
      <c r="D1550" s="4">
        <f t="shared" ca="1" si="18"/>
        <v>45849</v>
      </c>
      <c r="E1550" s="3" t="s">
        <v>39</v>
      </c>
    </row>
    <row r="1551" spans="1:5" x14ac:dyDescent="0.3">
      <c r="A1551" s="3" t="s">
        <v>343</v>
      </c>
      <c r="B1551" s="3" t="s">
        <v>157</v>
      </c>
      <c r="C1551" s="3" t="s">
        <v>344</v>
      </c>
      <c r="D1551" s="4">
        <f t="shared" ca="1" si="18"/>
        <v>45849</v>
      </c>
      <c r="E1551" s="3" t="s">
        <v>27</v>
      </c>
    </row>
    <row r="1552" spans="1:5" x14ac:dyDescent="0.3">
      <c r="A1552" s="3" t="s">
        <v>309</v>
      </c>
      <c r="B1552" s="3" t="s">
        <v>168</v>
      </c>
      <c r="C1552" s="3" t="s">
        <v>481</v>
      </c>
      <c r="D1552" s="4">
        <f t="shared" ca="1" si="18"/>
        <v>45849</v>
      </c>
      <c r="E1552" s="3" t="s">
        <v>31</v>
      </c>
    </row>
    <row r="1553" spans="1:5" x14ac:dyDescent="0.3">
      <c r="A1553" s="3" t="s">
        <v>746</v>
      </c>
      <c r="B1553" s="3" t="s">
        <v>25</v>
      </c>
      <c r="C1553" s="3" t="s">
        <v>747</v>
      </c>
      <c r="D1553" s="4">
        <f t="shared" ca="1" si="18"/>
        <v>45849</v>
      </c>
      <c r="E1553" s="3" t="s">
        <v>60</v>
      </c>
    </row>
    <row r="1554" spans="1:5" x14ac:dyDescent="0.3">
      <c r="A1554" s="3" t="s">
        <v>671</v>
      </c>
      <c r="B1554" s="3" t="s">
        <v>118</v>
      </c>
      <c r="C1554" s="3" t="s">
        <v>672</v>
      </c>
      <c r="D1554" s="4">
        <f t="shared" ca="1" si="18"/>
        <v>45849</v>
      </c>
      <c r="E1554" s="3" t="s">
        <v>60</v>
      </c>
    </row>
    <row r="1555" spans="1:5" x14ac:dyDescent="0.3">
      <c r="A1555" s="3" t="s">
        <v>263</v>
      </c>
      <c r="B1555" s="3" t="s">
        <v>44</v>
      </c>
      <c r="C1555" s="3" t="s">
        <v>431</v>
      </c>
      <c r="D1555" s="4">
        <f t="shared" ca="1" si="18"/>
        <v>45849</v>
      </c>
      <c r="E1555" s="3" t="s">
        <v>60</v>
      </c>
    </row>
    <row r="1556" spans="1:5" x14ac:dyDescent="0.3">
      <c r="A1556" s="3" t="s">
        <v>230</v>
      </c>
      <c r="B1556" s="3" t="s">
        <v>118</v>
      </c>
      <c r="C1556" s="3" t="s">
        <v>119</v>
      </c>
      <c r="D1556" s="4">
        <f t="shared" ca="1" si="18"/>
        <v>45849</v>
      </c>
      <c r="E1556" s="3" t="s">
        <v>56</v>
      </c>
    </row>
    <row r="1557" spans="1:5" x14ac:dyDescent="0.3">
      <c r="A1557" s="3" t="s">
        <v>794</v>
      </c>
      <c r="B1557" s="3" t="s">
        <v>87</v>
      </c>
      <c r="C1557" s="3" t="s">
        <v>795</v>
      </c>
      <c r="D1557" s="4">
        <f t="shared" ca="1" si="18"/>
        <v>45849</v>
      </c>
      <c r="E1557" s="3" t="s">
        <v>35</v>
      </c>
    </row>
    <row r="1558" spans="1:5" x14ac:dyDescent="0.3">
      <c r="A1558" s="3" t="s">
        <v>462</v>
      </c>
      <c r="B1558" s="3" t="s">
        <v>359</v>
      </c>
      <c r="C1558" s="3" t="s">
        <v>463</v>
      </c>
      <c r="D1558" s="4">
        <f t="shared" ca="1" si="18"/>
        <v>45849</v>
      </c>
      <c r="E1558" s="3" t="s">
        <v>39</v>
      </c>
    </row>
    <row r="1559" spans="1:5" x14ac:dyDescent="0.3">
      <c r="A1559" s="3" t="s">
        <v>379</v>
      </c>
      <c r="B1559" s="3" t="s">
        <v>65</v>
      </c>
      <c r="C1559" s="3" t="s">
        <v>380</v>
      </c>
      <c r="D1559" s="4">
        <f t="shared" ca="1" si="18"/>
        <v>45849</v>
      </c>
      <c r="E1559" s="3" t="s">
        <v>39</v>
      </c>
    </row>
    <row r="1560" spans="1:5" x14ac:dyDescent="0.3">
      <c r="A1560" s="3" t="s">
        <v>36</v>
      </c>
      <c r="B1560" s="3" t="s">
        <v>37</v>
      </c>
      <c r="C1560" s="3" t="s">
        <v>38</v>
      </c>
      <c r="D1560" s="4">
        <f t="shared" ca="1" si="18"/>
        <v>45849</v>
      </c>
      <c r="E1560" s="3" t="s">
        <v>39</v>
      </c>
    </row>
    <row r="1561" spans="1:5" x14ac:dyDescent="0.3">
      <c r="A1561" s="3" t="s">
        <v>40</v>
      </c>
      <c r="B1561" s="3" t="s">
        <v>41</v>
      </c>
      <c r="C1561" s="3" t="s">
        <v>42</v>
      </c>
      <c r="D1561" s="4">
        <f t="shared" ca="1" si="18"/>
        <v>45849</v>
      </c>
      <c r="E1561" s="3" t="s">
        <v>39</v>
      </c>
    </row>
    <row r="1562" spans="1:5" x14ac:dyDescent="0.3">
      <c r="A1562" s="3" t="s">
        <v>400</v>
      </c>
      <c r="B1562" s="3" t="s">
        <v>58</v>
      </c>
      <c r="C1562" s="3" t="s">
        <v>472</v>
      </c>
      <c r="D1562" s="4">
        <f t="shared" ca="1" si="18"/>
        <v>45849</v>
      </c>
      <c r="E1562" s="3" t="s">
        <v>27</v>
      </c>
    </row>
    <row r="1563" spans="1:5" x14ac:dyDescent="0.3">
      <c r="A1563" s="3" t="s">
        <v>209</v>
      </c>
      <c r="B1563" s="3" t="s">
        <v>68</v>
      </c>
      <c r="C1563" s="3" t="s">
        <v>151</v>
      </c>
      <c r="D1563" s="4">
        <f t="shared" ca="1" si="18"/>
        <v>45849</v>
      </c>
      <c r="E1563" s="3" t="s">
        <v>39</v>
      </c>
    </row>
    <row r="1564" spans="1:5" x14ac:dyDescent="0.3">
      <c r="A1564" s="3" t="s">
        <v>677</v>
      </c>
      <c r="B1564" s="3" t="s">
        <v>442</v>
      </c>
      <c r="C1564" s="3" t="s">
        <v>678</v>
      </c>
      <c r="D1564" s="4">
        <f t="shared" ca="1" si="18"/>
        <v>45849</v>
      </c>
      <c r="E1564" s="3" t="s">
        <v>60</v>
      </c>
    </row>
    <row r="1565" spans="1:5" x14ac:dyDescent="0.3">
      <c r="A1565" s="3" t="s">
        <v>192</v>
      </c>
      <c r="B1565" s="3" t="s">
        <v>193</v>
      </c>
      <c r="C1565" s="3" t="s">
        <v>194</v>
      </c>
      <c r="D1565" s="4">
        <f t="shared" ca="1" si="18"/>
        <v>45849</v>
      </c>
      <c r="E1565" s="3" t="s">
        <v>27</v>
      </c>
    </row>
    <row r="1566" spans="1:5" x14ac:dyDescent="0.3">
      <c r="A1566" s="3" t="s">
        <v>537</v>
      </c>
      <c r="B1566" s="3" t="s">
        <v>157</v>
      </c>
      <c r="C1566" s="3" t="s">
        <v>538</v>
      </c>
      <c r="D1566" s="4">
        <f t="shared" ca="1" si="18"/>
        <v>45849</v>
      </c>
      <c r="E1566" s="3" t="s">
        <v>31</v>
      </c>
    </row>
    <row r="1567" spans="1:5" x14ac:dyDescent="0.3">
      <c r="A1567" s="3" t="s">
        <v>217</v>
      </c>
      <c r="B1567" s="3" t="s">
        <v>87</v>
      </c>
      <c r="C1567" s="3" t="s">
        <v>218</v>
      </c>
      <c r="D1567" s="4">
        <f t="shared" ref="D1567:D1670" ca="1" si="19">TODAY()-157</f>
        <v>45880</v>
      </c>
      <c r="E1567" s="3" t="s">
        <v>31</v>
      </c>
    </row>
    <row r="1568" spans="1:5" x14ac:dyDescent="0.3">
      <c r="A1568" s="3" t="s">
        <v>803</v>
      </c>
      <c r="B1568" s="3" t="s">
        <v>157</v>
      </c>
      <c r="C1568" s="3" t="s">
        <v>804</v>
      </c>
      <c r="D1568" s="4">
        <f t="shared" ca="1" si="19"/>
        <v>45880</v>
      </c>
      <c r="E1568" s="3" t="s">
        <v>31</v>
      </c>
    </row>
    <row r="1569" spans="1:5" x14ac:dyDescent="0.3">
      <c r="A1569" s="3" t="s">
        <v>276</v>
      </c>
      <c r="B1569" s="3" t="s">
        <v>50</v>
      </c>
      <c r="C1569" s="3" t="s">
        <v>277</v>
      </c>
      <c r="D1569" s="4">
        <f t="shared" ca="1" si="19"/>
        <v>45880</v>
      </c>
      <c r="E1569" s="3" t="s">
        <v>60</v>
      </c>
    </row>
    <row r="1570" spans="1:5" x14ac:dyDescent="0.3">
      <c r="A1570" s="3" t="s">
        <v>604</v>
      </c>
      <c r="B1570" s="3" t="s">
        <v>50</v>
      </c>
      <c r="C1570" s="3" t="s">
        <v>652</v>
      </c>
      <c r="D1570" s="4">
        <f t="shared" ca="1" si="19"/>
        <v>45880</v>
      </c>
      <c r="E1570" s="3" t="s">
        <v>60</v>
      </c>
    </row>
    <row r="1571" spans="1:5" x14ac:dyDescent="0.3">
      <c r="A1571" s="3" t="s">
        <v>571</v>
      </c>
      <c r="B1571" s="3" t="s">
        <v>245</v>
      </c>
      <c r="C1571" s="3" t="s">
        <v>572</v>
      </c>
      <c r="D1571" s="4">
        <f t="shared" ca="1" si="19"/>
        <v>45880</v>
      </c>
      <c r="E1571" s="3" t="s">
        <v>60</v>
      </c>
    </row>
    <row r="1572" spans="1:5" x14ac:dyDescent="0.3">
      <c r="A1572" s="3" t="s">
        <v>43</v>
      </c>
      <c r="B1572" s="3" t="s">
        <v>44</v>
      </c>
      <c r="C1572" s="3" t="s">
        <v>45</v>
      </c>
      <c r="D1572" s="4">
        <f t="shared" ca="1" si="19"/>
        <v>45880</v>
      </c>
      <c r="E1572" s="3" t="s">
        <v>35</v>
      </c>
    </row>
    <row r="1573" spans="1:5" x14ac:dyDescent="0.3">
      <c r="A1573" s="3" t="s">
        <v>636</v>
      </c>
      <c r="B1573" s="3" t="s">
        <v>71</v>
      </c>
      <c r="C1573" s="3" t="s">
        <v>200</v>
      </c>
      <c r="D1573" s="4">
        <f t="shared" ca="1" si="19"/>
        <v>45880</v>
      </c>
      <c r="E1573" s="3" t="s">
        <v>60</v>
      </c>
    </row>
    <row r="1574" spans="1:5" x14ac:dyDescent="0.3">
      <c r="A1574" s="3" t="s">
        <v>470</v>
      </c>
      <c r="B1574" s="3" t="s">
        <v>47</v>
      </c>
      <c r="C1574" s="3" t="s">
        <v>542</v>
      </c>
      <c r="D1574" s="4">
        <f t="shared" ca="1" si="19"/>
        <v>45880</v>
      </c>
      <c r="E1574" s="3" t="s">
        <v>39</v>
      </c>
    </row>
    <row r="1575" spans="1:5" x14ac:dyDescent="0.3">
      <c r="A1575" s="3" t="s">
        <v>254</v>
      </c>
      <c r="B1575" s="3" t="s">
        <v>25</v>
      </c>
      <c r="C1575" s="3" t="s">
        <v>255</v>
      </c>
      <c r="D1575" s="4">
        <f t="shared" ca="1" si="19"/>
        <v>45880</v>
      </c>
      <c r="E1575" s="3" t="s">
        <v>35</v>
      </c>
    </row>
    <row r="1576" spans="1:5" x14ac:dyDescent="0.3">
      <c r="A1576" s="3" t="s">
        <v>420</v>
      </c>
      <c r="B1576" s="3" t="s">
        <v>193</v>
      </c>
      <c r="C1576" s="3" t="s">
        <v>421</v>
      </c>
      <c r="D1576" s="4">
        <f t="shared" ca="1" si="19"/>
        <v>45880</v>
      </c>
      <c r="E1576" s="3" t="s">
        <v>60</v>
      </c>
    </row>
    <row r="1577" spans="1:5" x14ac:dyDescent="0.3">
      <c r="A1577" s="3" t="s">
        <v>363</v>
      </c>
      <c r="B1577" s="3" t="s">
        <v>178</v>
      </c>
      <c r="C1577" s="3" t="s">
        <v>570</v>
      </c>
      <c r="D1577" s="4">
        <f t="shared" ca="1" si="19"/>
        <v>45880</v>
      </c>
      <c r="E1577" s="3" t="s">
        <v>35</v>
      </c>
    </row>
    <row r="1578" spans="1:5" x14ac:dyDescent="0.3">
      <c r="A1578" s="3" t="s">
        <v>700</v>
      </c>
      <c r="B1578" s="3" t="s">
        <v>162</v>
      </c>
      <c r="C1578" s="3" t="s">
        <v>701</v>
      </c>
      <c r="D1578" s="4">
        <f t="shared" ca="1" si="19"/>
        <v>45880</v>
      </c>
      <c r="E1578" s="3" t="s">
        <v>35</v>
      </c>
    </row>
    <row r="1579" spans="1:5" x14ac:dyDescent="0.3">
      <c r="A1579" s="3" t="s">
        <v>294</v>
      </c>
      <c r="B1579" s="3" t="s">
        <v>295</v>
      </c>
      <c r="C1579" s="3" t="s">
        <v>179</v>
      </c>
      <c r="D1579" s="4">
        <f t="shared" ca="1" si="19"/>
        <v>45880</v>
      </c>
      <c r="E1579" s="3" t="s">
        <v>27</v>
      </c>
    </row>
    <row r="1580" spans="1:5" x14ac:dyDescent="0.3">
      <c r="A1580" s="3" t="s">
        <v>650</v>
      </c>
      <c r="B1580" s="3" t="s">
        <v>298</v>
      </c>
      <c r="C1580" s="3" t="s">
        <v>789</v>
      </c>
      <c r="D1580" s="4">
        <f t="shared" ca="1" si="19"/>
        <v>45880</v>
      </c>
      <c r="E1580" s="3" t="s">
        <v>60</v>
      </c>
    </row>
    <row r="1581" spans="1:5" x14ac:dyDescent="0.3">
      <c r="A1581" s="3" t="s">
        <v>520</v>
      </c>
      <c r="B1581" s="3" t="s">
        <v>65</v>
      </c>
      <c r="C1581" s="3" t="s">
        <v>521</v>
      </c>
      <c r="D1581" s="4">
        <f t="shared" ca="1" si="19"/>
        <v>45880</v>
      </c>
      <c r="E1581" s="3" t="s">
        <v>27</v>
      </c>
    </row>
    <row r="1582" spans="1:5" x14ac:dyDescent="0.3">
      <c r="A1582" s="3" t="s">
        <v>575</v>
      </c>
      <c r="B1582" s="3" t="s">
        <v>93</v>
      </c>
      <c r="C1582" s="3" t="s">
        <v>119</v>
      </c>
      <c r="D1582" s="4">
        <f t="shared" ca="1" si="19"/>
        <v>45880</v>
      </c>
      <c r="E1582" s="3" t="s">
        <v>27</v>
      </c>
    </row>
    <row r="1583" spans="1:5" x14ac:dyDescent="0.3">
      <c r="A1583" s="3" t="s">
        <v>600</v>
      </c>
      <c r="B1583" s="3" t="s">
        <v>71</v>
      </c>
      <c r="C1583" s="3" t="s">
        <v>601</v>
      </c>
      <c r="D1583" s="4">
        <f t="shared" ca="1" si="19"/>
        <v>45880</v>
      </c>
      <c r="E1583" s="3" t="s">
        <v>56</v>
      </c>
    </row>
    <row r="1584" spans="1:5" x14ac:dyDescent="0.3">
      <c r="A1584" s="3" t="s">
        <v>677</v>
      </c>
      <c r="B1584" s="3" t="s">
        <v>442</v>
      </c>
      <c r="C1584" s="3" t="s">
        <v>678</v>
      </c>
      <c r="D1584" s="4">
        <f t="shared" ca="1" si="19"/>
        <v>45880</v>
      </c>
      <c r="E1584" s="3" t="s">
        <v>60</v>
      </c>
    </row>
    <row r="1585" spans="1:5" x14ac:dyDescent="0.3">
      <c r="A1585" s="3" t="s">
        <v>673</v>
      </c>
      <c r="B1585" s="3" t="s">
        <v>442</v>
      </c>
      <c r="C1585" s="3" t="s">
        <v>674</v>
      </c>
      <c r="D1585" s="4">
        <f t="shared" ca="1" si="19"/>
        <v>45880</v>
      </c>
      <c r="E1585" s="3" t="s">
        <v>27</v>
      </c>
    </row>
    <row r="1586" spans="1:5" x14ac:dyDescent="0.3">
      <c r="A1586" s="3" t="s">
        <v>402</v>
      </c>
      <c r="B1586" s="3" t="s">
        <v>62</v>
      </c>
      <c r="C1586" s="3" t="s">
        <v>403</v>
      </c>
      <c r="D1586" s="4">
        <f t="shared" ca="1" si="19"/>
        <v>45880</v>
      </c>
      <c r="E1586" s="3" t="s">
        <v>39</v>
      </c>
    </row>
    <row r="1587" spans="1:5" x14ac:dyDescent="0.3">
      <c r="A1587" s="3" t="s">
        <v>244</v>
      </c>
      <c r="B1587" s="3" t="s">
        <v>245</v>
      </c>
      <c r="C1587" s="3" t="s">
        <v>246</v>
      </c>
      <c r="D1587" s="4">
        <f t="shared" ca="1" si="19"/>
        <v>45880</v>
      </c>
      <c r="E1587" s="3" t="s">
        <v>35</v>
      </c>
    </row>
    <row r="1588" spans="1:5" x14ac:dyDescent="0.3">
      <c r="A1588" s="3" t="s">
        <v>335</v>
      </c>
      <c r="B1588" s="3" t="s">
        <v>58</v>
      </c>
      <c r="C1588" s="3" t="s">
        <v>336</v>
      </c>
      <c r="D1588" s="4">
        <f t="shared" ca="1" si="19"/>
        <v>45880</v>
      </c>
      <c r="E1588" s="3" t="s">
        <v>60</v>
      </c>
    </row>
    <row r="1589" spans="1:5" x14ac:dyDescent="0.3">
      <c r="A1589" s="3" t="s">
        <v>343</v>
      </c>
      <c r="B1589" s="3" t="s">
        <v>157</v>
      </c>
      <c r="C1589" s="3" t="s">
        <v>344</v>
      </c>
      <c r="D1589" s="4">
        <f t="shared" ca="1" si="19"/>
        <v>45880</v>
      </c>
      <c r="E1589" s="3" t="s">
        <v>27</v>
      </c>
    </row>
    <row r="1590" spans="1:5" x14ac:dyDescent="0.3">
      <c r="A1590" s="3" t="s">
        <v>734</v>
      </c>
      <c r="B1590" s="3" t="s">
        <v>47</v>
      </c>
      <c r="C1590" s="3" t="s">
        <v>735</v>
      </c>
      <c r="D1590" s="4">
        <f t="shared" ca="1" si="19"/>
        <v>45880</v>
      </c>
      <c r="E1590" s="3" t="s">
        <v>31</v>
      </c>
    </row>
    <row r="1591" spans="1:5" x14ac:dyDescent="0.3">
      <c r="A1591" s="3" t="s">
        <v>784</v>
      </c>
      <c r="B1591" s="3" t="s">
        <v>368</v>
      </c>
      <c r="C1591" s="3" t="s">
        <v>785</v>
      </c>
      <c r="D1591" s="4">
        <f t="shared" ca="1" si="19"/>
        <v>45880</v>
      </c>
      <c r="E1591" s="3" t="s">
        <v>31</v>
      </c>
    </row>
    <row r="1592" spans="1:5" x14ac:dyDescent="0.3">
      <c r="A1592" s="3" t="s">
        <v>184</v>
      </c>
      <c r="B1592" s="3" t="s">
        <v>87</v>
      </c>
      <c r="C1592" s="3" t="s">
        <v>316</v>
      </c>
      <c r="D1592" s="4">
        <f t="shared" ca="1" si="19"/>
        <v>45880</v>
      </c>
      <c r="E1592" s="3" t="s">
        <v>60</v>
      </c>
    </row>
    <row r="1593" spans="1:5" x14ac:dyDescent="0.3">
      <c r="A1593" s="3" t="s">
        <v>192</v>
      </c>
      <c r="B1593" s="3" t="s">
        <v>193</v>
      </c>
      <c r="C1593" s="3" t="s">
        <v>755</v>
      </c>
      <c r="D1593" s="4">
        <f t="shared" ca="1" si="19"/>
        <v>45880</v>
      </c>
      <c r="E1593" s="3" t="s">
        <v>39</v>
      </c>
    </row>
    <row r="1594" spans="1:5" x14ac:dyDescent="0.3">
      <c r="A1594" s="3" t="s">
        <v>139</v>
      </c>
      <c r="B1594" s="3" t="s">
        <v>446</v>
      </c>
      <c r="C1594" s="3" t="s">
        <v>788</v>
      </c>
      <c r="D1594" s="4">
        <f t="shared" ca="1" si="19"/>
        <v>45880</v>
      </c>
      <c r="E1594" s="3" t="s">
        <v>56</v>
      </c>
    </row>
    <row r="1595" spans="1:5" x14ac:dyDescent="0.3">
      <c r="A1595" s="3" t="s">
        <v>283</v>
      </c>
      <c r="B1595" s="3" t="s">
        <v>284</v>
      </c>
      <c r="C1595" s="3" t="s">
        <v>285</v>
      </c>
      <c r="D1595" s="4">
        <f t="shared" ca="1" si="19"/>
        <v>45880</v>
      </c>
      <c r="E1595" s="3" t="s">
        <v>60</v>
      </c>
    </row>
    <row r="1596" spans="1:5" x14ac:dyDescent="0.3">
      <c r="A1596" s="3" t="s">
        <v>752</v>
      </c>
      <c r="B1596" s="3" t="s">
        <v>245</v>
      </c>
      <c r="C1596" s="3" t="s">
        <v>753</v>
      </c>
      <c r="D1596" s="4">
        <f t="shared" ca="1" si="19"/>
        <v>45880</v>
      </c>
      <c r="E1596" s="3" t="s">
        <v>35</v>
      </c>
    </row>
    <row r="1597" spans="1:5" x14ac:dyDescent="0.3">
      <c r="A1597" s="3" t="s">
        <v>686</v>
      </c>
      <c r="B1597" s="3" t="s">
        <v>607</v>
      </c>
      <c r="C1597" s="3" t="s">
        <v>241</v>
      </c>
      <c r="D1597" s="4">
        <f t="shared" ca="1" si="19"/>
        <v>45880</v>
      </c>
      <c r="E1597" s="3" t="s">
        <v>27</v>
      </c>
    </row>
    <row r="1598" spans="1:5" x14ac:dyDescent="0.3">
      <c r="A1598" s="3" t="s">
        <v>684</v>
      </c>
      <c r="B1598" s="3" t="s">
        <v>65</v>
      </c>
      <c r="C1598" s="3" t="s">
        <v>685</v>
      </c>
      <c r="D1598" s="4">
        <f t="shared" ca="1" si="19"/>
        <v>45880</v>
      </c>
      <c r="E1598" s="3" t="s">
        <v>27</v>
      </c>
    </row>
    <row r="1599" spans="1:5" x14ac:dyDescent="0.3">
      <c r="A1599" s="3" t="s">
        <v>259</v>
      </c>
      <c r="B1599" s="3" t="s">
        <v>47</v>
      </c>
      <c r="C1599" s="3" t="s">
        <v>260</v>
      </c>
      <c r="D1599" s="4">
        <f t="shared" ca="1" si="19"/>
        <v>45880</v>
      </c>
      <c r="E1599" s="3" t="s">
        <v>39</v>
      </c>
    </row>
    <row r="1600" spans="1:5" x14ac:dyDescent="0.3">
      <c r="A1600" s="3" t="s">
        <v>395</v>
      </c>
      <c r="B1600" s="3" t="s">
        <v>37</v>
      </c>
      <c r="C1600" s="3" t="s">
        <v>396</v>
      </c>
      <c r="D1600" s="4">
        <f t="shared" ca="1" si="19"/>
        <v>45880</v>
      </c>
      <c r="E1600" s="3" t="s">
        <v>39</v>
      </c>
    </row>
    <row r="1601" spans="1:5" x14ac:dyDescent="0.3">
      <c r="A1601" s="3" t="s">
        <v>664</v>
      </c>
      <c r="B1601" s="3" t="s">
        <v>162</v>
      </c>
      <c r="C1601" s="3" t="s">
        <v>665</v>
      </c>
      <c r="D1601" s="4">
        <f t="shared" ca="1" si="19"/>
        <v>45880</v>
      </c>
      <c r="E1601" s="3" t="s">
        <v>39</v>
      </c>
    </row>
    <row r="1602" spans="1:5" x14ac:dyDescent="0.3">
      <c r="A1602" s="3" t="s">
        <v>567</v>
      </c>
      <c r="B1602" s="3" t="s">
        <v>150</v>
      </c>
      <c r="C1602" s="3" t="s">
        <v>568</v>
      </c>
      <c r="D1602" s="4">
        <f t="shared" ca="1" si="19"/>
        <v>45880</v>
      </c>
      <c r="E1602" s="3" t="s">
        <v>60</v>
      </c>
    </row>
    <row r="1603" spans="1:5" x14ac:dyDescent="0.3">
      <c r="A1603" s="3" t="s">
        <v>734</v>
      </c>
      <c r="B1603" s="3" t="s">
        <v>47</v>
      </c>
      <c r="C1603" s="3" t="s">
        <v>735</v>
      </c>
      <c r="D1603" s="4">
        <f t="shared" ca="1" si="19"/>
        <v>45880</v>
      </c>
      <c r="E1603" s="3" t="s">
        <v>31</v>
      </c>
    </row>
    <row r="1604" spans="1:5" x14ac:dyDescent="0.3">
      <c r="A1604" s="3" t="s">
        <v>152</v>
      </c>
      <c r="B1604" s="3" t="s">
        <v>93</v>
      </c>
      <c r="C1604" s="3" t="s">
        <v>484</v>
      </c>
      <c r="D1604" s="4">
        <f t="shared" ca="1" si="19"/>
        <v>45880</v>
      </c>
      <c r="E1604" s="3" t="s">
        <v>27</v>
      </c>
    </row>
    <row r="1605" spans="1:5" x14ac:dyDescent="0.3">
      <c r="A1605" s="3" t="s">
        <v>139</v>
      </c>
      <c r="B1605" s="3" t="s">
        <v>446</v>
      </c>
      <c r="C1605" s="3" t="s">
        <v>788</v>
      </c>
      <c r="D1605" s="4">
        <f t="shared" ca="1" si="19"/>
        <v>45880</v>
      </c>
      <c r="E1605" s="3" t="s">
        <v>56</v>
      </c>
    </row>
    <row r="1606" spans="1:5" x14ac:dyDescent="0.3">
      <c r="A1606" s="3" t="s">
        <v>301</v>
      </c>
      <c r="B1606" s="3" t="s">
        <v>165</v>
      </c>
      <c r="C1606" s="3" t="s">
        <v>302</v>
      </c>
      <c r="D1606" s="4">
        <f t="shared" ca="1" si="19"/>
        <v>45880</v>
      </c>
      <c r="E1606" s="3" t="s">
        <v>60</v>
      </c>
    </row>
    <row r="1607" spans="1:5" x14ac:dyDescent="0.3">
      <c r="A1607" s="3" t="s">
        <v>543</v>
      </c>
      <c r="B1607" s="3" t="s">
        <v>326</v>
      </c>
      <c r="C1607" s="3" t="s">
        <v>544</v>
      </c>
      <c r="D1607" s="4">
        <f t="shared" ca="1" si="19"/>
        <v>45880</v>
      </c>
      <c r="E1607" s="3" t="s">
        <v>31</v>
      </c>
    </row>
    <row r="1608" spans="1:5" x14ac:dyDescent="0.3">
      <c r="A1608" s="3" t="s">
        <v>529</v>
      </c>
      <c r="B1608" s="3" t="s">
        <v>58</v>
      </c>
      <c r="C1608" s="3" t="s">
        <v>530</v>
      </c>
      <c r="D1608" s="4">
        <f t="shared" ca="1" si="19"/>
        <v>45880</v>
      </c>
      <c r="E1608" s="3" t="s">
        <v>27</v>
      </c>
    </row>
    <row r="1609" spans="1:5" x14ac:dyDescent="0.3">
      <c r="A1609" s="3" t="s">
        <v>349</v>
      </c>
      <c r="B1609" s="3" t="s">
        <v>326</v>
      </c>
      <c r="C1609" s="3" t="s">
        <v>350</v>
      </c>
      <c r="D1609" s="4">
        <f t="shared" ca="1" si="19"/>
        <v>45880</v>
      </c>
      <c r="E1609" s="3" t="s">
        <v>60</v>
      </c>
    </row>
    <row r="1610" spans="1:5" x14ac:dyDescent="0.3">
      <c r="A1610" s="3" t="s">
        <v>482</v>
      </c>
      <c r="B1610" s="3" t="s">
        <v>157</v>
      </c>
      <c r="C1610" s="3" t="s">
        <v>483</v>
      </c>
      <c r="D1610" s="4">
        <f t="shared" ca="1" si="19"/>
        <v>45880</v>
      </c>
      <c r="E1610" s="3" t="s">
        <v>35</v>
      </c>
    </row>
    <row r="1611" spans="1:5" x14ac:dyDescent="0.3">
      <c r="A1611" s="3" t="s">
        <v>254</v>
      </c>
      <c r="B1611" s="3" t="s">
        <v>25</v>
      </c>
      <c r="C1611" s="3" t="s">
        <v>255</v>
      </c>
      <c r="D1611" s="4">
        <f t="shared" ca="1" si="19"/>
        <v>45880</v>
      </c>
      <c r="E1611" s="3" t="s">
        <v>35</v>
      </c>
    </row>
    <row r="1612" spans="1:5" x14ac:dyDescent="0.3">
      <c r="A1612" s="3" t="s">
        <v>197</v>
      </c>
      <c r="B1612" s="3" t="s">
        <v>37</v>
      </c>
      <c r="C1612" s="3" t="s">
        <v>198</v>
      </c>
      <c r="D1612" s="4">
        <f t="shared" ca="1" si="19"/>
        <v>45880</v>
      </c>
      <c r="E1612" s="3" t="s">
        <v>60</v>
      </c>
    </row>
    <row r="1613" spans="1:5" x14ac:dyDescent="0.3">
      <c r="A1613" s="3" t="s">
        <v>443</v>
      </c>
      <c r="B1613" s="3" t="s">
        <v>368</v>
      </c>
      <c r="C1613" s="3" t="s">
        <v>444</v>
      </c>
      <c r="D1613" s="4">
        <f t="shared" ca="1" si="19"/>
        <v>45880</v>
      </c>
      <c r="E1613" s="3" t="s">
        <v>35</v>
      </c>
    </row>
    <row r="1614" spans="1:5" x14ac:dyDescent="0.3">
      <c r="A1614" s="3" t="s">
        <v>304</v>
      </c>
      <c r="B1614" s="3" t="s">
        <v>65</v>
      </c>
      <c r="C1614" s="3" t="s">
        <v>305</v>
      </c>
      <c r="D1614" s="4">
        <f t="shared" ca="1" si="19"/>
        <v>45880</v>
      </c>
      <c r="E1614" s="3" t="s">
        <v>27</v>
      </c>
    </row>
    <row r="1615" spans="1:5" x14ac:dyDescent="0.3">
      <c r="A1615" s="3" t="s">
        <v>596</v>
      </c>
      <c r="B1615" s="3" t="s">
        <v>93</v>
      </c>
      <c r="C1615" s="3" t="s">
        <v>597</v>
      </c>
      <c r="D1615" s="4">
        <f t="shared" ca="1" si="19"/>
        <v>45880</v>
      </c>
      <c r="E1615" s="3" t="s">
        <v>27</v>
      </c>
    </row>
    <row r="1616" spans="1:5" x14ac:dyDescent="0.3">
      <c r="A1616" s="3" t="s">
        <v>167</v>
      </c>
      <c r="B1616" s="3" t="s">
        <v>168</v>
      </c>
      <c r="C1616" s="3" t="s">
        <v>169</v>
      </c>
      <c r="D1616" s="4">
        <f t="shared" ca="1" si="19"/>
        <v>45880</v>
      </c>
      <c r="E1616" s="3" t="s">
        <v>39</v>
      </c>
    </row>
    <row r="1617" spans="1:5" x14ac:dyDescent="0.3">
      <c r="A1617" s="3" t="s">
        <v>205</v>
      </c>
      <c r="B1617" s="3" t="s">
        <v>65</v>
      </c>
      <c r="C1617" s="3" t="s">
        <v>206</v>
      </c>
      <c r="D1617" s="4">
        <f t="shared" ca="1" si="19"/>
        <v>45880</v>
      </c>
      <c r="E1617" s="3" t="s">
        <v>39</v>
      </c>
    </row>
    <row r="1618" spans="1:5" x14ac:dyDescent="0.3">
      <c r="A1618" s="3" t="s">
        <v>740</v>
      </c>
      <c r="B1618" s="3" t="s">
        <v>93</v>
      </c>
      <c r="C1618" s="3" t="s">
        <v>741</v>
      </c>
      <c r="D1618" s="4">
        <f t="shared" ca="1" si="19"/>
        <v>45880</v>
      </c>
      <c r="E1618" s="3" t="s">
        <v>60</v>
      </c>
    </row>
    <row r="1619" spans="1:5" x14ac:dyDescent="0.3">
      <c r="A1619" s="3" t="s">
        <v>77</v>
      </c>
      <c r="B1619" s="3" t="s">
        <v>78</v>
      </c>
      <c r="C1619" s="3" t="s">
        <v>79</v>
      </c>
      <c r="D1619" s="4">
        <f t="shared" ca="1" si="19"/>
        <v>45880</v>
      </c>
      <c r="E1619" s="3" t="s">
        <v>31</v>
      </c>
    </row>
    <row r="1620" spans="1:5" x14ac:dyDescent="0.3">
      <c r="A1620" s="3" t="s">
        <v>265</v>
      </c>
      <c r="B1620" s="3" t="s">
        <v>33</v>
      </c>
      <c r="C1620" s="3" t="s">
        <v>266</v>
      </c>
      <c r="D1620" s="4">
        <f t="shared" ca="1" si="19"/>
        <v>45880</v>
      </c>
      <c r="E1620" s="3" t="s">
        <v>56</v>
      </c>
    </row>
    <row r="1621" spans="1:5" x14ac:dyDescent="0.3">
      <c r="A1621" s="3" t="s">
        <v>461</v>
      </c>
      <c r="B1621" s="3" t="s">
        <v>140</v>
      </c>
      <c r="C1621" s="3" t="s">
        <v>431</v>
      </c>
      <c r="D1621" s="4">
        <f t="shared" ca="1" si="19"/>
        <v>45880</v>
      </c>
      <c r="E1621" s="3" t="s">
        <v>39</v>
      </c>
    </row>
    <row r="1622" spans="1:5" x14ac:dyDescent="0.3">
      <c r="A1622" s="3" t="s">
        <v>367</v>
      </c>
      <c r="B1622" s="3" t="s">
        <v>368</v>
      </c>
      <c r="C1622" s="3" t="s">
        <v>369</v>
      </c>
      <c r="D1622" s="4">
        <f t="shared" ca="1" si="19"/>
        <v>45880</v>
      </c>
      <c r="E1622" s="3" t="s">
        <v>39</v>
      </c>
    </row>
    <row r="1623" spans="1:5" x14ac:dyDescent="0.3">
      <c r="A1623" s="3" t="s">
        <v>619</v>
      </c>
      <c r="B1623" s="3" t="s">
        <v>298</v>
      </c>
      <c r="C1623" s="3" t="s">
        <v>620</v>
      </c>
      <c r="D1623" s="4">
        <f t="shared" ca="1" si="19"/>
        <v>45880</v>
      </c>
      <c r="E1623" s="3" t="s">
        <v>60</v>
      </c>
    </row>
    <row r="1624" spans="1:5" x14ac:dyDescent="0.3">
      <c r="A1624" s="3" t="s">
        <v>240</v>
      </c>
      <c r="B1624" s="3" t="s">
        <v>124</v>
      </c>
      <c r="C1624" s="3" t="s">
        <v>241</v>
      </c>
      <c r="D1624" s="4">
        <f t="shared" ca="1" si="19"/>
        <v>45880</v>
      </c>
      <c r="E1624" s="3" t="s">
        <v>35</v>
      </c>
    </row>
    <row r="1625" spans="1:5" x14ac:dyDescent="0.3">
      <c r="A1625" s="3" t="s">
        <v>375</v>
      </c>
      <c r="B1625" s="3" t="s">
        <v>50</v>
      </c>
      <c r="C1625" s="3" t="s">
        <v>411</v>
      </c>
      <c r="D1625" s="4">
        <f t="shared" ca="1" si="19"/>
        <v>45880</v>
      </c>
      <c r="E1625" s="3" t="s">
        <v>31</v>
      </c>
    </row>
    <row r="1626" spans="1:5" x14ac:dyDescent="0.3">
      <c r="A1626" s="3" t="s">
        <v>470</v>
      </c>
      <c r="B1626" s="3" t="s">
        <v>47</v>
      </c>
      <c r="C1626" s="3" t="s">
        <v>542</v>
      </c>
      <c r="D1626" s="4">
        <f t="shared" ca="1" si="19"/>
        <v>45880</v>
      </c>
      <c r="E1626" s="3" t="s">
        <v>39</v>
      </c>
    </row>
    <row r="1627" spans="1:5" x14ac:dyDescent="0.3">
      <c r="A1627" s="3" t="s">
        <v>588</v>
      </c>
      <c r="B1627" s="3" t="s">
        <v>245</v>
      </c>
      <c r="C1627" s="3" t="s">
        <v>796</v>
      </c>
      <c r="D1627" s="4">
        <f t="shared" ca="1" si="19"/>
        <v>45880</v>
      </c>
      <c r="E1627" s="3" t="s">
        <v>60</v>
      </c>
    </row>
    <row r="1628" spans="1:5" x14ac:dyDescent="0.3">
      <c r="A1628" s="3" t="s">
        <v>750</v>
      </c>
      <c r="B1628" s="3" t="s">
        <v>33</v>
      </c>
      <c r="C1628" s="3" t="s">
        <v>751</v>
      </c>
      <c r="D1628" s="4">
        <f t="shared" ca="1" si="19"/>
        <v>45880</v>
      </c>
      <c r="E1628" s="3" t="s">
        <v>31</v>
      </c>
    </row>
    <row r="1629" spans="1:5" x14ac:dyDescent="0.3">
      <c r="A1629" s="3" t="s">
        <v>770</v>
      </c>
      <c r="B1629" s="3" t="s">
        <v>47</v>
      </c>
      <c r="C1629" s="3" t="s">
        <v>771</v>
      </c>
      <c r="D1629" s="4">
        <f t="shared" ca="1" si="19"/>
        <v>45880</v>
      </c>
      <c r="E1629" s="3" t="s">
        <v>60</v>
      </c>
    </row>
    <row r="1630" spans="1:5" x14ac:dyDescent="0.3">
      <c r="A1630" s="3" t="s">
        <v>363</v>
      </c>
      <c r="B1630" s="3" t="s">
        <v>178</v>
      </c>
      <c r="C1630" s="3" t="s">
        <v>570</v>
      </c>
      <c r="D1630" s="4">
        <f t="shared" ca="1" si="19"/>
        <v>45880</v>
      </c>
      <c r="E1630" s="3" t="s">
        <v>35</v>
      </c>
    </row>
    <row r="1631" spans="1:5" x14ac:dyDescent="0.3">
      <c r="A1631" s="3" t="s">
        <v>725</v>
      </c>
      <c r="B1631" s="3" t="s">
        <v>37</v>
      </c>
      <c r="C1631" s="3" t="s">
        <v>726</v>
      </c>
      <c r="D1631" s="4">
        <f t="shared" ca="1" si="19"/>
        <v>45880</v>
      </c>
      <c r="E1631" s="3" t="s">
        <v>31</v>
      </c>
    </row>
    <row r="1632" spans="1:5" x14ac:dyDescent="0.3">
      <c r="A1632" s="3" t="s">
        <v>252</v>
      </c>
      <c r="B1632" s="3" t="s">
        <v>50</v>
      </c>
      <c r="C1632" s="3" t="s">
        <v>253</v>
      </c>
      <c r="D1632" s="4">
        <f t="shared" ca="1" si="19"/>
        <v>45880</v>
      </c>
      <c r="E1632" s="3" t="s">
        <v>39</v>
      </c>
    </row>
    <row r="1633" spans="1:5" x14ac:dyDescent="0.3">
      <c r="A1633" s="3" t="s">
        <v>813</v>
      </c>
      <c r="B1633" s="3" t="s">
        <v>641</v>
      </c>
      <c r="C1633" s="3" t="s">
        <v>814</v>
      </c>
      <c r="D1633" s="4">
        <f t="shared" ca="1" si="19"/>
        <v>45880</v>
      </c>
      <c r="E1633" s="3" t="s">
        <v>60</v>
      </c>
    </row>
    <row r="1634" spans="1:5" x14ac:dyDescent="0.3">
      <c r="A1634" s="3" t="s">
        <v>175</v>
      </c>
      <c r="B1634" s="3" t="s">
        <v>47</v>
      </c>
      <c r="C1634" s="3" t="s">
        <v>376</v>
      </c>
      <c r="D1634" s="4">
        <f t="shared" ca="1" si="19"/>
        <v>45880</v>
      </c>
      <c r="E1634" s="3" t="s">
        <v>31</v>
      </c>
    </row>
    <row r="1635" spans="1:5" x14ac:dyDescent="0.3">
      <c r="A1635" s="3" t="s">
        <v>317</v>
      </c>
      <c r="B1635" s="3" t="s">
        <v>157</v>
      </c>
      <c r="C1635" s="3" t="s">
        <v>318</v>
      </c>
      <c r="D1635" s="4">
        <f t="shared" ca="1" si="19"/>
        <v>45880</v>
      </c>
      <c r="E1635" s="3" t="s">
        <v>39</v>
      </c>
    </row>
    <row r="1636" spans="1:5" x14ac:dyDescent="0.3">
      <c r="A1636" s="3" t="s">
        <v>636</v>
      </c>
      <c r="B1636" s="3" t="s">
        <v>65</v>
      </c>
      <c r="C1636" s="3" t="s">
        <v>679</v>
      </c>
      <c r="D1636" s="4">
        <f t="shared" ca="1" si="19"/>
        <v>45880</v>
      </c>
      <c r="E1636" s="3" t="s">
        <v>39</v>
      </c>
    </row>
    <row r="1637" spans="1:5" x14ac:dyDescent="0.3">
      <c r="A1637" s="3" t="s">
        <v>223</v>
      </c>
      <c r="B1637" s="3" t="s">
        <v>58</v>
      </c>
      <c r="C1637" s="3" t="s">
        <v>153</v>
      </c>
      <c r="D1637" s="4">
        <f t="shared" ca="1" si="19"/>
        <v>45880</v>
      </c>
      <c r="E1637" s="3" t="s">
        <v>35</v>
      </c>
    </row>
    <row r="1638" spans="1:5" x14ac:dyDescent="0.3">
      <c r="A1638" s="3" t="s">
        <v>256</v>
      </c>
      <c r="B1638" s="3" t="s">
        <v>312</v>
      </c>
      <c r="C1638" s="3" t="s">
        <v>469</v>
      </c>
      <c r="D1638" s="4">
        <f t="shared" ca="1" si="19"/>
        <v>45880</v>
      </c>
      <c r="E1638" s="3" t="s">
        <v>60</v>
      </c>
    </row>
    <row r="1639" spans="1:5" x14ac:dyDescent="0.3">
      <c r="A1639" s="3" t="s">
        <v>632</v>
      </c>
      <c r="B1639" s="3" t="s">
        <v>368</v>
      </c>
      <c r="C1639" s="3" t="s">
        <v>633</v>
      </c>
      <c r="D1639" s="4">
        <f t="shared" ca="1" si="19"/>
        <v>45880</v>
      </c>
      <c r="E1639" s="3" t="s">
        <v>60</v>
      </c>
    </row>
    <row r="1640" spans="1:5" x14ac:dyDescent="0.3">
      <c r="A1640" s="3" t="s">
        <v>770</v>
      </c>
      <c r="B1640" s="3" t="s">
        <v>47</v>
      </c>
      <c r="C1640" s="3" t="s">
        <v>771</v>
      </c>
      <c r="D1640" s="4">
        <f t="shared" ca="1" si="19"/>
        <v>45880</v>
      </c>
      <c r="E1640" s="3" t="s">
        <v>60</v>
      </c>
    </row>
    <row r="1641" spans="1:5" x14ac:dyDescent="0.3">
      <c r="A1641" s="3" t="s">
        <v>288</v>
      </c>
      <c r="B1641" s="3" t="s">
        <v>37</v>
      </c>
      <c r="C1641" s="3" t="s">
        <v>787</v>
      </c>
      <c r="D1641" s="4">
        <f t="shared" ca="1" si="19"/>
        <v>45880</v>
      </c>
      <c r="E1641" s="3" t="s">
        <v>56</v>
      </c>
    </row>
    <row r="1642" spans="1:5" x14ac:dyDescent="0.3">
      <c r="A1642" s="3" t="s">
        <v>130</v>
      </c>
      <c r="B1642" s="3" t="s">
        <v>118</v>
      </c>
      <c r="C1642" s="3" t="s">
        <v>817</v>
      </c>
      <c r="D1642" s="4">
        <f t="shared" ca="1" si="19"/>
        <v>45880</v>
      </c>
      <c r="E1642" s="3" t="s">
        <v>27</v>
      </c>
    </row>
    <row r="1643" spans="1:5" x14ac:dyDescent="0.3">
      <c r="A1643" s="3" t="s">
        <v>335</v>
      </c>
      <c r="B1643" s="3" t="s">
        <v>58</v>
      </c>
      <c r="C1643" s="3" t="s">
        <v>336</v>
      </c>
      <c r="D1643" s="4">
        <f t="shared" ca="1" si="19"/>
        <v>45880</v>
      </c>
      <c r="E1643" s="3" t="s">
        <v>60</v>
      </c>
    </row>
    <row r="1644" spans="1:5" x14ac:dyDescent="0.3">
      <c r="A1644" s="3" t="s">
        <v>704</v>
      </c>
      <c r="B1644" s="3" t="s">
        <v>165</v>
      </c>
      <c r="C1644" s="3" t="s">
        <v>705</v>
      </c>
      <c r="D1644" s="4">
        <f t="shared" ca="1" si="19"/>
        <v>45880</v>
      </c>
      <c r="E1644" s="3" t="s">
        <v>35</v>
      </c>
    </row>
    <row r="1645" spans="1:5" x14ac:dyDescent="0.3">
      <c r="A1645" s="3" t="s">
        <v>89</v>
      </c>
      <c r="B1645" s="3" t="s">
        <v>90</v>
      </c>
      <c r="C1645" s="3" t="s">
        <v>91</v>
      </c>
      <c r="D1645" s="4">
        <f t="shared" ca="1" si="19"/>
        <v>45880</v>
      </c>
      <c r="E1645" s="3" t="s">
        <v>35</v>
      </c>
    </row>
    <row r="1646" spans="1:5" x14ac:dyDescent="0.3">
      <c r="A1646" s="3" t="s">
        <v>299</v>
      </c>
      <c r="B1646" s="3" t="s">
        <v>33</v>
      </c>
      <c r="C1646" s="3" t="s">
        <v>300</v>
      </c>
      <c r="D1646" s="4">
        <f t="shared" ca="1" si="19"/>
        <v>45880</v>
      </c>
      <c r="E1646" s="3" t="s">
        <v>60</v>
      </c>
    </row>
    <row r="1647" spans="1:5" x14ac:dyDescent="0.3">
      <c r="A1647" s="3" t="s">
        <v>729</v>
      </c>
      <c r="B1647" s="3" t="s">
        <v>58</v>
      </c>
      <c r="C1647" s="3" t="s">
        <v>730</v>
      </c>
      <c r="D1647" s="4">
        <f t="shared" ca="1" si="19"/>
        <v>45880</v>
      </c>
      <c r="E1647" s="3" t="s">
        <v>35</v>
      </c>
    </row>
    <row r="1648" spans="1:5" x14ac:dyDescent="0.3">
      <c r="A1648" s="3" t="s">
        <v>527</v>
      </c>
      <c r="B1648" s="3" t="s">
        <v>118</v>
      </c>
      <c r="C1648" s="3" t="s">
        <v>528</v>
      </c>
      <c r="D1648" s="4">
        <f t="shared" ca="1" si="19"/>
        <v>45880</v>
      </c>
      <c r="E1648" s="3" t="s">
        <v>31</v>
      </c>
    </row>
    <row r="1649" spans="1:5" x14ac:dyDescent="0.3">
      <c r="A1649" s="3" t="s">
        <v>249</v>
      </c>
      <c r="B1649" s="3" t="s">
        <v>193</v>
      </c>
      <c r="C1649" s="3" t="s">
        <v>250</v>
      </c>
      <c r="D1649" s="4">
        <f t="shared" ca="1" si="19"/>
        <v>45880</v>
      </c>
      <c r="E1649" s="3" t="s">
        <v>39</v>
      </c>
    </row>
    <row r="1650" spans="1:5" x14ac:dyDescent="0.3">
      <c r="A1650" s="3" t="s">
        <v>388</v>
      </c>
      <c r="B1650" s="3" t="s">
        <v>157</v>
      </c>
      <c r="C1650" s="3" t="s">
        <v>389</v>
      </c>
      <c r="D1650" s="4">
        <f t="shared" ca="1" si="19"/>
        <v>45880</v>
      </c>
      <c r="E1650" s="3" t="s">
        <v>56</v>
      </c>
    </row>
    <row r="1651" spans="1:5" x14ac:dyDescent="0.3">
      <c r="A1651" s="3" t="s">
        <v>228</v>
      </c>
      <c r="B1651" s="3" t="s">
        <v>118</v>
      </c>
      <c r="C1651" s="3" t="s">
        <v>229</v>
      </c>
      <c r="D1651" s="4">
        <f t="shared" ca="1" si="19"/>
        <v>45880</v>
      </c>
      <c r="E1651" s="3" t="s">
        <v>31</v>
      </c>
    </row>
    <row r="1652" spans="1:5" x14ac:dyDescent="0.3">
      <c r="A1652" s="3" t="s">
        <v>83</v>
      </c>
      <c r="B1652" s="3" t="s">
        <v>84</v>
      </c>
      <c r="C1652" s="3" t="s">
        <v>85</v>
      </c>
      <c r="D1652" s="4">
        <f t="shared" ca="1" si="19"/>
        <v>45880</v>
      </c>
      <c r="E1652" s="3" t="s">
        <v>27</v>
      </c>
    </row>
    <row r="1653" spans="1:5" x14ac:dyDescent="0.3">
      <c r="A1653" s="3" t="s">
        <v>482</v>
      </c>
      <c r="B1653" s="3" t="s">
        <v>157</v>
      </c>
      <c r="C1653" s="3" t="s">
        <v>483</v>
      </c>
      <c r="D1653" s="4">
        <f t="shared" ca="1" si="19"/>
        <v>45880</v>
      </c>
      <c r="E1653" s="3" t="s">
        <v>35</v>
      </c>
    </row>
    <row r="1654" spans="1:5" x14ac:dyDescent="0.3">
      <c r="A1654" s="3" t="s">
        <v>497</v>
      </c>
      <c r="B1654" s="3" t="s">
        <v>442</v>
      </c>
      <c r="C1654" s="3" t="s">
        <v>498</v>
      </c>
      <c r="D1654" s="4">
        <f t="shared" ca="1" si="19"/>
        <v>45880</v>
      </c>
      <c r="E1654" s="3" t="s">
        <v>35</v>
      </c>
    </row>
    <row r="1655" spans="1:5" x14ac:dyDescent="0.3">
      <c r="A1655" s="3" t="s">
        <v>758</v>
      </c>
      <c r="B1655" s="3" t="s">
        <v>759</v>
      </c>
      <c r="C1655" s="3" t="s">
        <v>396</v>
      </c>
      <c r="D1655" s="4">
        <f t="shared" ca="1" si="19"/>
        <v>45880</v>
      </c>
      <c r="E1655" s="3" t="s">
        <v>39</v>
      </c>
    </row>
    <row r="1656" spans="1:5" x14ac:dyDescent="0.3">
      <c r="A1656" s="3" t="s">
        <v>668</v>
      </c>
      <c r="B1656" s="3" t="s">
        <v>669</v>
      </c>
      <c r="C1656" s="3" t="s">
        <v>670</v>
      </c>
      <c r="D1656" s="4">
        <f t="shared" ca="1" si="19"/>
        <v>45880</v>
      </c>
      <c r="E1656" s="3" t="s">
        <v>60</v>
      </c>
    </row>
    <row r="1657" spans="1:5" x14ac:dyDescent="0.3">
      <c r="A1657" s="3" t="s">
        <v>810</v>
      </c>
      <c r="B1657" s="3" t="s">
        <v>261</v>
      </c>
      <c r="C1657" s="3" t="s">
        <v>811</v>
      </c>
      <c r="D1657" s="4">
        <f t="shared" ca="1" si="19"/>
        <v>45880</v>
      </c>
      <c r="E1657" s="3" t="s">
        <v>27</v>
      </c>
    </row>
    <row r="1658" spans="1:5" x14ac:dyDescent="0.3">
      <c r="A1658" s="3" t="s">
        <v>71</v>
      </c>
      <c r="B1658" s="3" t="s">
        <v>50</v>
      </c>
      <c r="C1658" s="3" t="s">
        <v>691</v>
      </c>
      <c r="D1658" s="4">
        <f t="shared" ca="1" si="19"/>
        <v>45880</v>
      </c>
      <c r="E1658" s="3" t="s">
        <v>31</v>
      </c>
    </row>
    <row r="1659" spans="1:5" x14ac:dyDescent="0.3">
      <c r="A1659" s="3" t="s">
        <v>400</v>
      </c>
      <c r="B1659" s="3" t="s">
        <v>37</v>
      </c>
      <c r="C1659" s="3" t="s">
        <v>401</v>
      </c>
      <c r="D1659" s="4">
        <f t="shared" ca="1" si="19"/>
        <v>45880</v>
      </c>
      <c r="E1659" s="3" t="s">
        <v>35</v>
      </c>
    </row>
    <row r="1660" spans="1:5" x14ac:dyDescent="0.3">
      <c r="A1660" s="3" t="s">
        <v>578</v>
      </c>
      <c r="B1660" s="3" t="s">
        <v>579</v>
      </c>
      <c r="C1660" s="3" t="s">
        <v>580</v>
      </c>
      <c r="D1660" s="4">
        <f t="shared" ca="1" si="19"/>
        <v>45880</v>
      </c>
      <c r="E1660" s="3" t="s">
        <v>60</v>
      </c>
    </row>
    <row r="1661" spans="1:5" x14ac:dyDescent="0.3">
      <c r="A1661" s="3" t="s">
        <v>184</v>
      </c>
      <c r="B1661" s="3" t="s">
        <v>87</v>
      </c>
      <c r="C1661" s="3" t="s">
        <v>316</v>
      </c>
      <c r="D1661" s="4">
        <f t="shared" ca="1" si="19"/>
        <v>45880</v>
      </c>
      <c r="E1661" s="3" t="s">
        <v>60</v>
      </c>
    </row>
    <row r="1662" spans="1:5" x14ac:dyDescent="0.3">
      <c r="A1662" s="3" t="s">
        <v>40</v>
      </c>
      <c r="B1662" s="3" t="s">
        <v>162</v>
      </c>
      <c r="C1662" s="3" t="s">
        <v>427</v>
      </c>
      <c r="D1662" s="4">
        <f t="shared" ca="1" si="19"/>
        <v>45880</v>
      </c>
      <c r="E1662" s="3" t="s">
        <v>56</v>
      </c>
    </row>
    <row r="1663" spans="1:5" x14ac:dyDescent="0.3">
      <c r="A1663" s="3" t="s">
        <v>102</v>
      </c>
      <c r="B1663" s="3" t="s">
        <v>25</v>
      </c>
      <c r="C1663" s="3" t="s">
        <v>742</v>
      </c>
      <c r="D1663" s="4">
        <f t="shared" ca="1" si="19"/>
        <v>45880</v>
      </c>
      <c r="E1663" s="3" t="s">
        <v>31</v>
      </c>
    </row>
    <row r="1664" spans="1:5" x14ac:dyDescent="0.3">
      <c r="A1664" s="3" t="s">
        <v>407</v>
      </c>
      <c r="B1664" s="3" t="s">
        <v>87</v>
      </c>
      <c r="C1664" s="3" t="s">
        <v>408</v>
      </c>
      <c r="D1664" s="4">
        <f t="shared" ca="1" si="19"/>
        <v>45880</v>
      </c>
      <c r="E1664" s="3" t="s">
        <v>39</v>
      </c>
    </row>
    <row r="1665" spans="1:5" x14ac:dyDescent="0.3">
      <c r="A1665" s="3" t="s">
        <v>73</v>
      </c>
      <c r="B1665" s="3" t="s">
        <v>87</v>
      </c>
      <c r="C1665" s="3" t="s">
        <v>278</v>
      </c>
      <c r="D1665" s="4">
        <f t="shared" ca="1" si="19"/>
        <v>45880</v>
      </c>
      <c r="E1665" s="3" t="s">
        <v>39</v>
      </c>
    </row>
    <row r="1666" spans="1:5" x14ac:dyDescent="0.3">
      <c r="A1666" s="3" t="s">
        <v>738</v>
      </c>
      <c r="B1666" s="3" t="s">
        <v>74</v>
      </c>
      <c r="C1666" s="3" t="s">
        <v>739</v>
      </c>
      <c r="D1666" s="4">
        <f t="shared" ca="1" si="19"/>
        <v>45880</v>
      </c>
      <c r="E1666" s="3" t="s">
        <v>31</v>
      </c>
    </row>
    <row r="1667" spans="1:5" x14ac:dyDescent="0.3">
      <c r="A1667" s="3" t="s">
        <v>130</v>
      </c>
      <c r="B1667" s="3" t="s">
        <v>47</v>
      </c>
      <c r="C1667" s="3" t="s">
        <v>131</v>
      </c>
      <c r="D1667" s="4">
        <f t="shared" ca="1" si="19"/>
        <v>45880</v>
      </c>
      <c r="E1667" s="3" t="s">
        <v>56</v>
      </c>
    </row>
    <row r="1668" spans="1:5" x14ac:dyDescent="0.3">
      <c r="A1668" s="3" t="s">
        <v>37</v>
      </c>
      <c r="B1668" s="3" t="s">
        <v>71</v>
      </c>
      <c r="C1668" s="3" t="s">
        <v>460</v>
      </c>
      <c r="D1668" s="4">
        <f t="shared" ca="1" si="19"/>
        <v>45880</v>
      </c>
      <c r="E1668" s="3" t="s">
        <v>31</v>
      </c>
    </row>
    <row r="1669" spans="1:5" x14ac:dyDescent="0.3">
      <c r="A1669" s="3" t="s">
        <v>602</v>
      </c>
      <c r="B1669" s="3" t="s">
        <v>326</v>
      </c>
      <c r="C1669" s="3" t="s">
        <v>603</v>
      </c>
      <c r="D1669" s="4">
        <f t="shared" ca="1" si="19"/>
        <v>45880</v>
      </c>
      <c r="E1669" s="3" t="s">
        <v>31</v>
      </c>
    </row>
    <row r="1670" spans="1:5" x14ac:dyDescent="0.3">
      <c r="A1670" s="3" t="s">
        <v>52</v>
      </c>
      <c r="B1670" s="3" t="s">
        <v>33</v>
      </c>
      <c r="C1670" s="3" t="s">
        <v>53</v>
      </c>
      <c r="D1670" s="4">
        <f t="shared" ca="1" si="19"/>
        <v>45880</v>
      </c>
      <c r="E1670" s="3" t="s">
        <v>39</v>
      </c>
    </row>
    <row r="1671" spans="1:5" x14ac:dyDescent="0.3">
      <c r="A1671" s="3" t="s">
        <v>499</v>
      </c>
      <c r="B1671" s="3" t="s">
        <v>165</v>
      </c>
      <c r="C1671" s="3" t="s">
        <v>500</v>
      </c>
      <c r="D1671" s="4">
        <f t="shared" ref="D1671:D1772" ca="1" si="20">TODAY()-127</f>
        <v>45910</v>
      </c>
      <c r="E1671" s="3" t="s">
        <v>27</v>
      </c>
    </row>
    <row r="1672" spans="1:5" x14ac:dyDescent="0.3">
      <c r="A1672" s="3" t="s">
        <v>738</v>
      </c>
      <c r="B1672" s="3" t="s">
        <v>74</v>
      </c>
      <c r="C1672" s="3" t="s">
        <v>739</v>
      </c>
      <c r="D1672" s="4">
        <f t="shared" ca="1" si="20"/>
        <v>45910</v>
      </c>
      <c r="E1672" s="3" t="s">
        <v>31</v>
      </c>
    </row>
    <row r="1673" spans="1:5" x14ac:dyDescent="0.3">
      <c r="A1673" s="3" t="s">
        <v>657</v>
      </c>
      <c r="B1673" s="3" t="s">
        <v>65</v>
      </c>
      <c r="C1673" s="3" t="s">
        <v>658</v>
      </c>
      <c r="D1673" s="4">
        <f t="shared" ca="1" si="20"/>
        <v>45910</v>
      </c>
      <c r="E1673" s="3" t="s">
        <v>27</v>
      </c>
    </row>
    <row r="1674" spans="1:5" x14ac:dyDescent="0.3">
      <c r="A1674" s="3" t="s">
        <v>363</v>
      </c>
      <c r="B1674" s="3" t="s">
        <v>71</v>
      </c>
      <c r="C1674" s="3" t="s">
        <v>26</v>
      </c>
      <c r="D1674" s="4">
        <f t="shared" ca="1" si="20"/>
        <v>45910</v>
      </c>
      <c r="E1674" s="3" t="s">
        <v>56</v>
      </c>
    </row>
    <row r="1675" spans="1:5" x14ac:dyDescent="0.3">
      <c r="A1675" s="3" t="s">
        <v>106</v>
      </c>
      <c r="B1675" s="3" t="s">
        <v>65</v>
      </c>
      <c r="C1675" s="3" t="s">
        <v>262</v>
      </c>
      <c r="D1675" s="4">
        <f t="shared" ca="1" si="20"/>
        <v>45910</v>
      </c>
      <c r="E1675" s="3" t="s">
        <v>60</v>
      </c>
    </row>
    <row r="1676" spans="1:5" x14ac:dyDescent="0.3">
      <c r="A1676" s="3" t="s">
        <v>719</v>
      </c>
      <c r="B1676" s="3" t="s">
        <v>193</v>
      </c>
      <c r="C1676" s="3" t="s">
        <v>720</v>
      </c>
      <c r="D1676" s="4">
        <f t="shared" ca="1" si="20"/>
        <v>45910</v>
      </c>
      <c r="E1676" s="3" t="s">
        <v>56</v>
      </c>
    </row>
    <row r="1677" spans="1:5" x14ac:dyDescent="0.3">
      <c r="A1677" s="3" t="s">
        <v>677</v>
      </c>
      <c r="B1677" s="3" t="s">
        <v>442</v>
      </c>
      <c r="C1677" s="3" t="s">
        <v>678</v>
      </c>
      <c r="D1677" s="4">
        <f t="shared" ca="1" si="20"/>
        <v>45910</v>
      </c>
      <c r="E1677" s="3" t="s">
        <v>60</v>
      </c>
    </row>
    <row r="1678" spans="1:5" x14ac:dyDescent="0.3">
      <c r="A1678" s="3" t="s">
        <v>402</v>
      </c>
      <c r="B1678" s="3" t="s">
        <v>62</v>
      </c>
      <c r="C1678" s="3" t="s">
        <v>403</v>
      </c>
      <c r="D1678" s="4">
        <f t="shared" ca="1" si="20"/>
        <v>45910</v>
      </c>
      <c r="E1678" s="3" t="s">
        <v>39</v>
      </c>
    </row>
    <row r="1679" spans="1:5" x14ac:dyDescent="0.3">
      <c r="A1679" s="3" t="s">
        <v>335</v>
      </c>
      <c r="B1679" s="3" t="s">
        <v>58</v>
      </c>
      <c r="C1679" s="3" t="s">
        <v>336</v>
      </c>
      <c r="D1679" s="4">
        <f t="shared" ca="1" si="20"/>
        <v>45910</v>
      </c>
      <c r="E1679" s="3" t="s">
        <v>60</v>
      </c>
    </row>
    <row r="1680" spans="1:5" x14ac:dyDescent="0.3">
      <c r="A1680" s="3" t="s">
        <v>252</v>
      </c>
      <c r="B1680" s="3" t="s">
        <v>50</v>
      </c>
      <c r="C1680" s="3" t="s">
        <v>253</v>
      </c>
      <c r="D1680" s="4">
        <f t="shared" ca="1" si="20"/>
        <v>45910</v>
      </c>
      <c r="E1680" s="3" t="s">
        <v>39</v>
      </c>
    </row>
    <row r="1681" spans="1:5" x14ac:dyDescent="0.3">
      <c r="A1681" s="3" t="s">
        <v>130</v>
      </c>
      <c r="B1681" s="3" t="s">
        <v>118</v>
      </c>
      <c r="C1681" s="3" t="s">
        <v>817</v>
      </c>
      <c r="D1681" s="4">
        <f t="shared" ca="1" si="20"/>
        <v>45910</v>
      </c>
      <c r="E1681" s="3" t="s">
        <v>27</v>
      </c>
    </row>
    <row r="1682" spans="1:5" x14ac:dyDescent="0.3">
      <c r="A1682" s="3" t="s">
        <v>414</v>
      </c>
      <c r="B1682" s="3" t="s">
        <v>65</v>
      </c>
      <c r="C1682" s="3" t="s">
        <v>415</v>
      </c>
      <c r="D1682" s="4">
        <f t="shared" ca="1" si="20"/>
        <v>45910</v>
      </c>
      <c r="E1682" s="3" t="s">
        <v>35</v>
      </c>
    </row>
    <row r="1683" spans="1:5" x14ac:dyDescent="0.3">
      <c r="A1683" s="3" t="s">
        <v>339</v>
      </c>
      <c r="B1683" s="3" t="s">
        <v>44</v>
      </c>
      <c r="C1683" s="3" t="s">
        <v>460</v>
      </c>
      <c r="D1683" s="4">
        <f t="shared" ca="1" si="20"/>
        <v>45910</v>
      </c>
      <c r="E1683" s="3" t="s">
        <v>35</v>
      </c>
    </row>
    <row r="1684" spans="1:5" x14ac:dyDescent="0.3">
      <c r="A1684" s="3" t="s">
        <v>510</v>
      </c>
      <c r="B1684" s="3" t="s">
        <v>65</v>
      </c>
      <c r="C1684" s="3" t="s">
        <v>611</v>
      </c>
      <c r="D1684" s="4">
        <f t="shared" ca="1" si="20"/>
        <v>45910</v>
      </c>
      <c r="E1684" s="3" t="s">
        <v>35</v>
      </c>
    </row>
    <row r="1685" spans="1:5" x14ac:dyDescent="0.3">
      <c r="A1685" s="3" t="s">
        <v>586</v>
      </c>
      <c r="B1685" s="3" t="s">
        <v>193</v>
      </c>
      <c r="C1685" s="3" t="s">
        <v>119</v>
      </c>
      <c r="D1685" s="4">
        <f t="shared" ca="1" si="20"/>
        <v>45910</v>
      </c>
      <c r="E1685" s="3" t="s">
        <v>60</v>
      </c>
    </row>
    <row r="1686" spans="1:5" x14ac:dyDescent="0.3">
      <c r="A1686" s="3" t="s">
        <v>792</v>
      </c>
      <c r="B1686" s="3" t="s">
        <v>58</v>
      </c>
      <c r="C1686" s="3" t="s">
        <v>793</v>
      </c>
      <c r="D1686" s="4">
        <f t="shared" ca="1" si="20"/>
        <v>45910</v>
      </c>
      <c r="E1686" s="3" t="s">
        <v>39</v>
      </c>
    </row>
    <row r="1687" spans="1:5" x14ac:dyDescent="0.3">
      <c r="A1687" s="3" t="s">
        <v>306</v>
      </c>
      <c r="B1687" s="3" t="s">
        <v>307</v>
      </c>
      <c r="C1687" s="3" t="s">
        <v>308</v>
      </c>
      <c r="D1687" s="4">
        <f t="shared" ca="1" si="20"/>
        <v>45910</v>
      </c>
      <c r="E1687" s="3" t="s">
        <v>31</v>
      </c>
    </row>
    <row r="1688" spans="1:5" x14ac:dyDescent="0.3">
      <c r="A1688" s="3" t="s">
        <v>604</v>
      </c>
      <c r="B1688" s="3" t="s">
        <v>50</v>
      </c>
      <c r="C1688" s="3" t="s">
        <v>786</v>
      </c>
      <c r="D1688" s="4">
        <f t="shared" ca="1" si="20"/>
        <v>45910</v>
      </c>
      <c r="E1688" s="3" t="s">
        <v>39</v>
      </c>
    </row>
    <row r="1689" spans="1:5" x14ac:dyDescent="0.3">
      <c r="A1689" s="3" t="s">
        <v>102</v>
      </c>
      <c r="B1689" s="3" t="s">
        <v>93</v>
      </c>
      <c r="C1689" s="3" t="s">
        <v>116</v>
      </c>
      <c r="D1689" s="4">
        <f t="shared" ca="1" si="20"/>
        <v>45910</v>
      </c>
      <c r="E1689" s="3" t="s">
        <v>35</v>
      </c>
    </row>
    <row r="1690" spans="1:5" x14ac:dyDescent="0.3">
      <c r="A1690" s="3" t="s">
        <v>124</v>
      </c>
      <c r="B1690" s="3" t="s">
        <v>270</v>
      </c>
      <c r="C1690" s="3" t="s">
        <v>812</v>
      </c>
      <c r="D1690" s="4">
        <f t="shared" ca="1" si="20"/>
        <v>45910</v>
      </c>
      <c r="E1690" s="3" t="s">
        <v>60</v>
      </c>
    </row>
    <row r="1691" spans="1:5" x14ac:dyDescent="0.3">
      <c r="A1691" s="3" t="s">
        <v>600</v>
      </c>
      <c r="B1691" s="3" t="s">
        <v>71</v>
      </c>
      <c r="C1691" s="3" t="s">
        <v>601</v>
      </c>
      <c r="D1691" s="4">
        <f t="shared" ca="1" si="20"/>
        <v>45910</v>
      </c>
      <c r="E1691" s="3" t="s">
        <v>56</v>
      </c>
    </row>
    <row r="1692" spans="1:5" x14ac:dyDescent="0.3">
      <c r="A1692" s="3" t="s">
        <v>616</v>
      </c>
      <c r="B1692" s="3" t="s">
        <v>617</v>
      </c>
      <c r="C1692" s="3" t="s">
        <v>618</v>
      </c>
      <c r="D1692" s="4">
        <f t="shared" ca="1" si="20"/>
        <v>45910</v>
      </c>
      <c r="E1692" s="3" t="s">
        <v>39</v>
      </c>
    </row>
    <row r="1693" spans="1:5" x14ac:dyDescent="0.3">
      <c r="A1693" s="3" t="s">
        <v>332</v>
      </c>
      <c r="B1693" s="3" t="s">
        <v>58</v>
      </c>
      <c r="C1693" s="3" t="s">
        <v>605</v>
      </c>
      <c r="D1693" s="4">
        <f t="shared" ca="1" si="20"/>
        <v>45910</v>
      </c>
      <c r="E1693" s="3" t="s">
        <v>39</v>
      </c>
    </row>
    <row r="1694" spans="1:5" x14ac:dyDescent="0.3">
      <c r="A1694" s="3" t="s">
        <v>441</v>
      </c>
      <c r="B1694" s="3" t="s">
        <v>442</v>
      </c>
      <c r="C1694" s="3" t="s">
        <v>350</v>
      </c>
      <c r="D1694" s="4">
        <f t="shared" ca="1" si="20"/>
        <v>45910</v>
      </c>
      <c r="E1694" s="3" t="s">
        <v>39</v>
      </c>
    </row>
    <row r="1695" spans="1:5" x14ac:dyDescent="0.3">
      <c r="A1695" s="3" t="s">
        <v>758</v>
      </c>
      <c r="B1695" s="3" t="s">
        <v>759</v>
      </c>
      <c r="C1695" s="3" t="s">
        <v>396</v>
      </c>
      <c r="D1695" s="4">
        <f t="shared" ca="1" si="20"/>
        <v>45910</v>
      </c>
      <c r="E1695" s="3" t="s">
        <v>39</v>
      </c>
    </row>
    <row r="1696" spans="1:5" x14ac:dyDescent="0.3">
      <c r="A1696" s="3" t="s">
        <v>734</v>
      </c>
      <c r="B1696" s="3" t="s">
        <v>47</v>
      </c>
      <c r="C1696" s="3" t="s">
        <v>735</v>
      </c>
      <c r="D1696" s="4">
        <f t="shared" ca="1" si="20"/>
        <v>45910</v>
      </c>
      <c r="E1696" s="3" t="s">
        <v>31</v>
      </c>
    </row>
    <row r="1697" spans="1:5" x14ac:dyDescent="0.3">
      <c r="A1697" s="3" t="s">
        <v>256</v>
      </c>
      <c r="B1697" s="3" t="s">
        <v>257</v>
      </c>
      <c r="C1697" s="3" t="s">
        <v>258</v>
      </c>
      <c r="D1697" s="4">
        <f t="shared" ca="1" si="20"/>
        <v>45910</v>
      </c>
      <c r="E1697" s="3" t="s">
        <v>60</v>
      </c>
    </row>
    <row r="1698" spans="1:5" x14ac:dyDescent="0.3">
      <c r="A1698" s="3" t="s">
        <v>304</v>
      </c>
      <c r="B1698" s="3" t="s">
        <v>47</v>
      </c>
      <c r="C1698" s="3" t="s">
        <v>424</v>
      </c>
      <c r="D1698" s="4">
        <f t="shared" ca="1" si="20"/>
        <v>45910</v>
      </c>
      <c r="E1698" s="3" t="s">
        <v>27</v>
      </c>
    </row>
    <row r="1699" spans="1:5" x14ac:dyDescent="0.3">
      <c r="A1699" s="3" t="s">
        <v>708</v>
      </c>
      <c r="B1699" s="3" t="s">
        <v>58</v>
      </c>
      <c r="C1699" s="3" t="s">
        <v>709</v>
      </c>
      <c r="D1699" s="4">
        <f t="shared" ca="1" si="20"/>
        <v>45910</v>
      </c>
      <c r="E1699" s="3" t="s">
        <v>35</v>
      </c>
    </row>
    <row r="1700" spans="1:5" x14ac:dyDescent="0.3">
      <c r="A1700" s="3" t="s">
        <v>596</v>
      </c>
      <c r="B1700" s="3" t="s">
        <v>157</v>
      </c>
      <c r="C1700" s="3" t="s">
        <v>285</v>
      </c>
      <c r="D1700" s="4">
        <f t="shared" ca="1" si="20"/>
        <v>45910</v>
      </c>
      <c r="E1700" s="3" t="s">
        <v>39</v>
      </c>
    </row>
    <row r="1701" spans="1:5" x14ac:dyDescent="0.3">
      <c r="A1701" s="3" t="s">
        <v>541</v>
      </c>
      <c r="B1701" s="3" t="s">
        <v>65</v>
      </c>
      <c r="C1701" s="3" t="s">
        <v>352</v>
      </c>
      <c r="D1701" s="4">
        <f t="shared" ca="1" si="20"/>
        <v>45910</v>
      </c>
      <c r="E1701" s="3" t="s">
        <v>60</v>
      </c>
    </row>
    <row r="1702" spans="1:5" x14ac:dyDescent="0.3">
      <c r="A1702" s="3" t="s">
        <v>428</v>
      </c>
      <c r="B1702" s="3" t="s">
        <v>87</v>
      </c>
      <c r="C1702" s="3" t="s">
        <v>429</v>
      </c>
      <c r="D1702" s="4">
        <f t="shared" ca="1" si="20"/>
        <v>45910</v>
      </c>
      <c r="E1702" s="3" t="s">
        <v>27</v>
      </c>
    </row>
    <row r="1703" spans="1:5" x14ac:dyDescent="0.3">
      <c r="A1703" s="3" t="s">
        <v>807</v>
      </c>
      <c r="B1703" s="3" t="s">
        <v>808</v>
      </c>
      <c r="C1703" s="3" t="s">
        <v>809</v>
      </c>
      <c r="D1703" s="4">
        <f t="shared" ca="1" si="20"/>
        <v>45910</v>
      </c>
      <c r="E1703" s="3" t="s">
        <v>60</v>
      </c>
    </row>
    <row r="1704" spans="1:5" x14ac:dyDescent="0.3">
      <c r="A1704" s="3" t="s">
        <v>531</v>
      </c>
      <c r="B1704" s="3" t="s">
        <v>193</v>
      </c>
      <c r="C1704" s="3" t="s">
        <v>532</v>
      </c>
      <c r="D1704" s="4">
        <f t="shared" ca="1" si="20"/>
        <v>45910</v>
      </c>
      <c r="E1704" s="3" t="s">
        <v>39</v>
      </c>
    </row>
    <row r="1705" spans="1:5" x14ac:dyDescent="0.3">
      <c r="A1705" s="3" t="s">
        <v>557</v>
      </c>
      <c r="B1705" s="3" t="s">
        <v>87</v>
      </c>
      <c r="C1705" s="3" t="s">
        <v>558</v>
      </c>
      <c r="D1705" s="4">
        <f t="shared" ca="1" si="20"/>
        <v>45910</v>
      </c>
      <c r="E1705" s="3" t="s">
        <v>39</v>
      </c>
    </row>
    <row r="1706" spans="1:5" x14ac:dyDescent="0.3">
      <c r="A1706" s="3" t="s">
        <v>77</v>
      </c>
      <c r="B1706" s="3" t="s">
        <v>78</v>
      </c>
      <c r="C1706" s="3" t="s">
        <v>79</v>
      </c>
      <c r="D1706" s="4">
        <f t="shared" ca="1" si="20"/>
        <v>45910</v>
      </c>
      <c r="E1706" s="3" t="s">
        <v>31</v>
      </c>
    </row>
    <row r="1707" spans="1:5" x14ac:dyDescent="0.3">
      <c r="A1707" s="3" t="s">
        <v>209</v>
      </c>
      <c r="B1707" s="3" t="s">
        <v>193</v>
      </c>
      <c r="C1707" s="3" t="s">
        <v>210</v>
      </c>
      <c r="D1707" s="4">
        <f t="shared" ca="1" si="20"/>
        <v>45910</v>
      </c>
      <c r="E1707" s="3" t="s">
        <v>60</v>
      </c>
    </row>
    <row r="1708" spans="1:5" x14ac:dyDescent="0.3">
      <c r="A1708" s="3" t="s">
        <v>97</v>
      </c>
      <c r="B1708" s="3" t="s">
        <v>193</v>
      </c>
      <c r="C1708" s="3" t="s">
        <v>303</v>
      </c>
      <c r="D1708" s="4">
        <f t="shared" ca="1" si="20"/>
        <v>45910</v>
      </c>
      <c r="E1708" s="3" t="s">
        <v>35</v>
      </c>
    </row>
    <row r="1709" spans="1:5" x14ac:dyDescent="0.3">
      <c r="A1709" s="3" t="s">
        <v>531</v>
      </c>
      <c r="B1709" s="3" t="s">
        <v>162</v>
      </c>
      <c r="C1709" s="3" t="s">
        <v>714</v>
      </c>
      <c r="D1709" s="4">
        <f t="shared" ca="1" si="20"/>
        <v>45910</v>
      </c>
      <c r="E1709" s="3" t="s">
        <v>39</v>
      </c>
    </row>
    <row r="1710" spans="1:5" x14ac:dyDescent="0.3">
      <c r="A1710" s="3" t="s">
        <v>124</v>
      </c>
      <c r="B1710" s="3" t="s">
        <v>270</v>
      </c>
      <c r="C1710" s="3" t="s">
        <v>812</v>
      </c>
      <c r="D1710" s="4">
        <f t="shared" ca="1" si="20"/>
        <v>45910</v>
      </c>
      <c r="E1710" s="3" t="s">
        <v>60</v>
      </c>
    </row>
    <row r="1711" spans="1:5" x14ac:dyDescent="0.3">
      <c r="A1711" s="3" t="s">
        <v>455</v>
      </c>
      <c r="B1711" s="3" t="s">
        <v>50</v>
      </c>
      <c r="C1711" s="3" t="s">
        <v>456</v>
      </c>
      <c r="D1711" s="4">
        <f t="shared" ca="1" si="20"/>
        <v>45910</v>
      </c>
      <c r="E1711" s="3" t="s">
        <v>39</v>
      </c>
    </row>
    <row r="1712" spans="1:5" x14ac:dyDescent="0.3">
      <c r="A1712" s="3" t="s">
        <v>52</v>
      </c>
      <c r="B1712" s="3" t="s">
        <v>33</v>
      </c>
      <c r="C1712" s="3" t="s">
        <v>53</v>
      </c>
      <c r="D1712" s="4">
        <f t="shared" ca="1" si="20"/>
        <v>45910</v>
      </c>
      <c r="E1712" s="3" t="s">
        <v>39</v>
      </c>
    </row>
    <row r="1713" spans="1:5" x14ac:dyDescent="0.3">
      <c r="A1713" s="3" t="s">
        <v>512</v>
      </c>
      <c r="B1713" s="3" t="s">
        <v>47</v>
      </c>
      <c r="C1713" s="3" t="s">
        <v>513</v>
      </c>
      <c r="D1713" s="4">
        <f t="shared" ca="1" si="20"/>
        <v>45910</v>
      </c>
      <c r="E1713" s="3" t="s">
        <v>60</v>
      </c>
    </row>
    <row r="1714" spans="1:5" x14ac:dyDescent="0.3">
      <c r="A1714" s="3" t="s">
        <v>343</v>
      </c>
      <c r="B1714" s="3" t="s">
        <v>157</v>
      </c>
      <c r="C1714" s="3" t="s">
        <v>344</v>
      </c>
      <c r="D1714" s="4">
        <f t="shared" ca="1" si="20"/>
        <v>45910</v>
      </c>
      <c r="E1714" s="3" t="s">
        <v>27</v>
      </c>
    </row>
    <row r="1715" spans="1:5" x14ac:dyDescent="0.3">
      <c r="A1715" s="3" t="s">
        <v>314</v>
      </c>
      <c r="B1715" s="3" t="s">
        <v>641</v>
      </c>
      <c r="C1715" s="3" t="s">
        <v>642</v>
      </c>
      <c r="D1715" s="4">
        <f t="shared" ca="1" si="20"/>
        <v>45910</v>
      </c>
      <c r="E1715" s="3" t="s">
        <v>56</v>
      </c>
    </row>
    <row r="1716" spans="1:5" x14ac:dyDescent="0.3">
      <c r="A1716" s="3" t="s">
        <v>589</v>
      </c>
      <c r="B1716" s="3" t="s">
        <v>65</v>
      </c>
      <c r="C1716" s="3" t="s">
        <v>590</v>
      </c>
      <c r="D1716" s="4">
        <f t="shared" ca="1" si="20"/>
        <v>45910</v>
      </c>
      <c r="E1716" s="3" t="s">
        <v>56</v>
      </c>
    </row>
    <row r="1717" spans="1:5" x14ac:dyDescent="0.3">
      <c r="A1717" s="3" t="s">
        <v>657</v>
      </c>
      <c r="B1717" s="3" t="s">
        <v>65</v>
      </c>
      <c r="C1717" s="3" t="s">
        <v>658</v>
      </c>
      <c r="D1717" s="4">
        <f t="shared" ca="1" si="20"/>
        <v>45910</v>
      </c>
      <c r="E1717" s="3" t="s">
        <v>27</v>
      </c>
    </row>
    <row r="1718" spans="1:5" x14ac:dyDescent="0.3">
      <c r="A1718" s="3" t="s">
        <v>242</v>
      </c>
      <c r="B1718" s="3" t="s">
        <v>93</v>
      </c>
      <c r="C1718" s="3" t="s">
        <v>243</v>
      </c>
      <c r="D1718" s="4">
        <f t="shared" ca="1" si="20"/>
        <v>45910</v>
      </c>
      <c r="E1718" s="3" t="s">
        <v>31</v>
      </c>
    </row>
    <row r="1719" spans="1:5" x14ac:dyDescent="0.3">
      <c r="A1719" s="3" t="s">
        <v>281</v>
      </c>
      <c r="B1719" s="3" t="s">
        <v>65</v>
      </c>
      <c r="C1719" s="3" t="s">
        <v>48</v>
      </c>
      <c r="D1719" s="4">
        <f t="shared" ca="1" si="20"/>
        <v>45910</v>
      </c>
      <c r="E1719" s="3" t="s">
        <v>27</v>
      </c>
    </row>
    <row r="1720" spans="1:5" x14ac:dyDescent="0.3">
      <c r="A1720" s="3" t="s">
        <v>388</v>
      </c>
      <c r="B1720" s="3" t="s">
        <v>33</v>
      </c>
      <c r="C1720" s="3" t="s">
        <v>514</v>
      </c>
      <c r="D1720" s="4">
        <f t="shared" ca="1" si="20"/>
        <v>45910</v>
      </c>
      <c r="E1720" s="3" t="s">
        <v>60</v>
      </c>
    </row>
    <row r="1721" spans="1:5" x14ac:dyDescent="0.3">
      <c r="A1721" s="3" t="s">
        <v>139</v>
      </c>
      <c r="B1721" s="3" t="s">
        <v>446</v>
      </c>
      <c r="C1721" s="3" t="s">
        <v>788</v>
      </c>
      <c r="D1721" s="4">
        <f t="shared" ca="1" si="20"/>
        <v>45910</v>
      </c>
      <c r="E1721" s="3" t="s">
        <v>56</v>
      </c>
    </row>
    <row r="1722" spans="1:5" x14ac:dyDescent="0.3">
      <c r="A1722" s="3" t="s">
        <v>86</v>
      </c>
      <c r="B1722" s="3" t="s">
        <v>87</v>
      </c>
      <c r="C1722" s="3" t="s">
        <v>88</v>
      </c>
      <c r="D1722" s="4">
        <f t="shared" ca="1" si="20"/>
        <v>45910</v>
      </c>
      <c r="E1722" s="3" t="s">
        <v>60</v>
      </c>
    </row>
    <row r="1723" spans="1:5" x14ac:dyDescent="0.3">
      <c r="A1723" s="3" t="s">
        <v>123</v>
      </c>
      <c r="B1723" s="3" t="s">
        <v>124</v>
      </c>
      <c r="C1723" s="3" t="s">
        <v>125</v>
      </c>
      <c r="D1723" s="4">
        <f t="shared" ca="1" si="20"/>
        <v>45910</v>
      </c>
      <c r="E1723" s="3" t="s">
        <v>35</v>
      </c>
    </row>
    <row r="1724" spans="1:5" x14ac:dyDescent="0.3">
      <c r="A1724" s="3" t="s">
        <v>325</v>
      </c>
      <c r="B1724" s="3" t="s">
        <v>326</v>
      </c>
      <c r="C1724" s="3" t="s">
        <v>327</v>
      </c>
      <c r="D1724" s="4">
        <f t="shared" ca="1" si="20"/>
        <v>45910</v>
      </c>
      <c r="E1724" s="3" t="s">
        <v>39</v>
      </c>
    </row>
    <row r="1725" spans="1:5" x14ac:dyDescent="0.3">
      <c r="A1725" s="3" t="s">
        <v>797</v>
      </c>
      <c r="B1725" s="3" t="s">
        <v>695</v>
      </c>
      <c r="C1725" s="3" t="s">
        <v>798</v>
      </c>
      <c r="D1725" s="4">
        <f t="shared" ca="1" si="20"/>
        <v>45910</v>
      </c>
      <c r="E1725" s="3" t="s">
        <v>60</v>
      </c>
    </row>
    <row r="1726" spans="1:5" x14ac:dyDescent="0.3">
      <c r="A1726" s="3" t="s">
        <v>517</v>
      </c>
      <c r="B1726" s="3" t="s">
        <v>518</v>
      </c>
      <c r="C1726" s="3" t="s">
        <v>519</v>
      </c>
      <c r="D1726" s="4">
        <f t="shared" ca="1" si="20"/>
        <v>45910</v>
      </c>
      <c r="E1726" s="3" t="s">
        <v>31</v>
      </c>
    </row>
    <row r="1727" spans="1:5" x14ac:dyDescent="0.3">
      <c r="A1727" s="3" t="s">
        <v>682</v>
      </c>
      <c r="B1727" s="3" t="s">
        <v>245</v>
      </c>
      <c r="C1727" s="3" t="s">
        <v>683</v>
      </c>
      <c r="D1727" s="4">
        <f t="shared" ca="1" si="20"/>
        <v>45910</v>
      </c>
      <c r="E1727" s="3" t="s">
        <v>60</v>
      </c>
    </row>
    <row r="1728" spans="1:5" x14ac:dyDescent="0.3">
      <c r="A1728" s="3" t="s">
        <v>746</v>
      </c>
      <c r="B1728" s="3" t="s">
        <v>25</v>
      </c>
      <c r="C1728" s="3" t="s">
        <v>747</v>
      </c>
      <c r="D1728" s="4">
        <f t="shared" ca="1" si="20"/>
        <v>45910</v>
      </c>
      <c r="E1728" s="3" t="s">
        <v>60</v>
      </c>
    </row>
    <row r="1729" spans="1:5" x14ac:dyDescent="0.3">
      <c r="A1729" s="3" t="s">
        <v>636</v>
      </c>
      <c r="B1729" s="3" t="s">
        <v>65</v>
      </c>
      <c r="C1729" s="3" t="s">
        <v>679</v>
      </c>
      <c r="D1729" s="4">
        <f t="shared" ca="1" si="20"/>
        <v>45910</v>
      </c>
      <c r="E1729" s="3" t="s">
        <v>39</v>
      </c>
    </row>
    <row r="1730" spans="1:5" x14ac:dyDescent="0.3">
      <c r="A1730" s="3" t="s">
        <v>450</v>
      </c>
      <c r="B1730" s="3" t="s">
        <v>326</v>
      </c>
      <c r="C1730" s="3" t="s">
        <v>451</v>
      </c>
      <c r="D1730" s="4">
        <f t="shared" ca="1" si="20"/>
        <v>45910</v>
      </c>
      <c r="E1730" s="3" t="s">
        <v>35</v>
      </c>
    </row>
    <row r="1731" spans="1:5" x14ac:dyDescent="0.3">
      <c r="A1731" s="3" t="s">
        <v>716</v>
      </c>
      <c r="B1731" s="3" t="s">
        <v>717</v>
      </c>
      <c r="C1731" s="3" t="s">
        <v>718</v>
      </c>
      <c r="D1731" s="4">
        <f t="shared" ca="1" si="20"/>
        <v>45910</v>
      </c>
      <c r="E1731" s="3" t="s">
        <v>60</v>
      </c>
    </row>
    <row r="1732" spans="1:5" x14ac:dyDescent="0.3">
      <c r="A1732" s="3" t="s">
        <v>604</v>
      </c>
      <c r="B1732" s="3" t="s">
        <v>50</v>
      </c>
      <c r="C1732" s="3" t="s">
        <v>786</v>
      </c>
      <c r="D1732" s="4">
        <f t="shared" ca="1" si="20"/>
        <v>45910</v>
      </c>
      <c r="E1732" s="3" t="s">
        <v>39</v>
      </c>
    </row>
    <row r="1733" spans="1:5" x14ac:dyDescent="0.3">
      <c r="A1733" s="3" t="s">
        <v>361</v>
      </c>
      <c r="B1733" s="3" t="s">
        <v>65</v>
      </c>
      <c r="C1733" s="3" t="s">
        <v>715</v>
      </c>
      <c r="D1733" s="4">
        <f t="shared" ca="1" si="20"/>
        <v>45910</v>
      </c>
      <c r="E1733" s="3" t="s">
        <v>39</v>
      </c>
    </row>
    <row r="1734" spans="1:5" x14ac:dyDescent="0.3">
      <c r="A1734" s="3" t="s">
        <v>71</v>
      </c>
      <c r="B1734" s="3" t="s">
        <v>50</v>
      </c>
      <c r="C1734" s="3" t="s">
        <v>691</v>
      </c>
      <c r="D1734" s="4">
        <f t="shared" ca="1" si="20"/>
        <v>45910</v>
      </c>
      <c r="E1734" s="3" t="s">
        <v>31</v>
      </c>
    </row>
    <row r="1735" spans="1:5" x14ac:dyDescent="0.3">
      <c r="A1735" s="3" t="s">
        <v>813</v>
      </c>
      <c r="B1735" s="3" t="s">
        <v>641</v>
      </c>
      <c r="C1735" s="3" t="s">
        <v>814</v>
      </c>
      <c r="D1735" s="4">
        <f t="shared" ca="1" si="20"/>
        <v>45910</v>
      </c>
      <c r="E1735" s="3" t="s">
        <v>60</v>
      </c>
    </row>
    <row r="1736" spans="1:5" x14ac:dyDescent="0.3">
      <c r="A1736" s="3" t="s">
        <v>412</v>
      </c>
      <c r="B1736" s="3" t="s">
        <v>65</v>
      </c>
      <c r="C1736" s="3" t="s">
        <v>413</v>
      </c>
      <c r="D1736" s="4">
        <f t="shared" ca="1" si="20"/>
        <v>45910</v>
      </c>
      <c r="E1736" s="3" t="s">
        <v>39</v>
      </c>
    </row>
    <row r="1737" spans="1:5" x14ac:dyDescent="0.3">
      <c r="A1737" s="3" t="s">
        <v>461</v>
      </c>
      <c r="B1737" s="3" t="s">
        <v>270</v>
      </c>
      <c r="C1737" s="3" t="s">
        <v>689</v>
      </c>
      <c r="D1737" s="4">
        <f t="shared" ca="1" si="20"/>
        <v>45910</v>
      </c>
      <c r="E1737" s="3" t="s">
        <v>27</v>
      </c>
    </row>
    <row r="1738" spans="1:5" x14ac:dyDescent="0.3">
      <c r="A1738" s="3" t="s">
        <v>32</v>
      </c>
      <c r="B1738" s="3" t="s">
        <v>33</v>
      </c>
      <c r="C1738" s="3" t="s">
        <v>34</v>
      </c>
      <c r="D1738" s="4">
        <f t="shared" ca="1" si="20"/>
        <v>45910</v>
      </c>
      <c r="E1738" s="3" t="s">
        <v>35</v>
      </c>
    </row>
    <row r="1739" spans="1:5" x14ac:dyDescent="0.3">
      <c r="A1739" s="3" t="s">
        <v>543</v>
      </c>
      <c r="B1739" s="3" t="s">
        <v>326</v>
      </c>
      <c r="C1739" s="3" t="s">
        <v>544</v>
      </c>
      <c r="D1739" s="4">
        <f t="shared" ca="1" si="20"/>
        <v>45910</v>
      </c>
      <c r="E1739" s="3" t="s">
        <v>31</v>
      </c>
    </row>
    <row r="1740" spans="1:5" x14ac:dyDescent="0.3">
      <c r="A1740" s="3" t="s">
        <v>128</v>
      </c>
      <c r="B1740" s="3" t="s">
        <v>87</v>
      </c>
      <c r="C1740" s="3" t="s">
        <v>129</v>
      </c>
      <c r="D1740" s="4">
        <f t="shared" ca="1" si="20"/>
        <v>45910</v>
      </c>
      <c r="E1740" s="3" t="s">
        <v>27</v>
      </c>
    </row>
    <row r="1741" spans="1:5" x14ac:dyDescent="0.3">
      <c r="A1741" s="3" t="s">
        <v>694</v>
      </c>
      <c r="B1741" s="3" t="s">
        <v>695</v>
      </c>
      <c r="C1741" s="3" t="s">
        <v>554</v>
      </c>
      <c r="D1741" s="4">
        <f t="shared" ca="1" si="20"/>
        <v>45910</v>
      </c>
      <c r="E1741" s="3" t="s">
        <v>60</v>
      </c>
    </row>
    <row r="1742" spans="1:5" x14ac:dyDescent="0.3">
      <c r="A1742" s="3" t="s">
        <v>740</v>
      </c>
      <c r="B1742" s="3" t="s">
        <v>93</v>
      </c>
      <c r="C1742" s="3" t="s">
        <v>741</v>
      </c>
      <c r="D1742" s="4">
        <f t="shared" ca="1" si="20"/>
        <v>45910</v>
      </c>
      <c r="E1742" s="3" t="s">
        <v>60</v>
      </c>
    </row>
    <row r="1743" spans="1:5" x14ac:dyDescent="0.3">
      <c r="A1743" s="3" t="s">
        <v>207</v>
      </c>
      <c r="B1743" s="3" t="s">
        <v>44</v>
      </c>
      <c r="C1743" s="3" t="s">
        <v>208</v>
      </c>
      <c r="D1743" s="4">
        <f t="shared" ca="1" si="20"/>
        <v>45910</v>
      </c>
      <c r="E1743" s="3" t="s">
        <v>60</v>
      </c>
    </row>
    <row r="1744" spans="1:5" x14ac:dyDescent="0.3">
      <c r="A1744" s="3" t="s">
        <v>529</v>
      </c>
      <c r="B1744" s="3" t="s">
        <v>58</v>
      </c>
      <c r="C1744" s="3" t="s">
        <v>530</v>
      </c>
      <c r="D1744" s="4">
        <f t="shared" ca="1" si="20"/>
        <v>45910</v>
      </c>
      <c r="E1744" s="3" t="s">
        <v>27</v>
      </c>
    </row>
    <row r="1745" spans="1:5" x14ac:dyDescent="0.3">
      <c r="A1745" s="3" t="s">
        <v>733</v>
      </c>
      <c r="B1745" s="3" t="s">
        <v>118</v>
      </c>
      <c r="C1745" s="3" t="s">
        <v>649</v>
      </c>
      <c r="D1745" s="4">
        <f t="shared" ca="1" si="20"/>
        <v>45910</v>
      </c>
      <c r="E1745" s="3" t="s">
        <v>31</v>
      </c>
    </row>
    <row r="1746" spans="1:5" x14ac:dyDescent="0.3">
      <c r="A1746" s="3" t="s">
        <v>430</v>
      </c>
      <c r="B1746" s="3" t="s">
        <v>212</v>
      </c>
      <c r="C1746" s="3" t="s">
        <v>431</v>
      </c>
      <c r="D1746" s="4">
        <f t="shared" ca="1" si="20"/>
        <v>45910</v>
      </c>
      <c r="E1746" s="3" t="s">
        <v>27</v>
      </c>
    </row>
    <row r="1747" spans="1:5" x14ac:dyDescent="0.3">
      <c r="A1747" s="3" t="s">
        <v>274</v>
      </c>
      <c r="B1747" s="3" t="s">
        <v>275</v>
      </c>
      <c r="C1747" s="3" t="s">
        <v>91</v>
      </c>
      <c r="D1747" s="4">
        <f t="shared" ca="1" si="20"/>
        <v>45910</v>
      </c>
      <c r="E1747" s="3" t="s">
        <v>39</v>
      </c>
    </row>
    <row r="1748" spans="1:5" x14ac:dyDescent="0.3">
      <c r="A1748" s="3" t="s">
        <v>527</v>
      </c>
      <c r="B1748" s="3" t="s">
        <v>118</v>
      </c>
      <c r="C1748" s="3" t="s">
        <v>528</v>
      </c>
      <c r="D1748" s="4">
        <f t="shared" ca="1" si="20"/>
        <v>45910</v>
      </c>
      <c r="E1748" s="3" t="s">
        <v>31</v>
      </c>
    </row>
    <row r="1749" spans="1:5" x14ac:dyDescent="0.3">
      <c r="A1749" s="3" t="s">
        <v>372</v>
      </c>
      <c r="B1749" s="3" t="s">
        <v>145</v>
      </c>
      <c r="C1749" s="3" t="s">
        <v>373</v>
      </c>
      <c r="D1749" s="4">
        <f t="shared" ca="1" si="20"/>
        <v>45910</v>
      </c>
      <c r="E1749" s="3" t="s">
        <v>39</v>
      </c>
    </row>
    <row r="1750" spans="1:5" x14ac:dyDescent="0.3">
      <c r="A1750" s="3" t="s">
        <v>242</v>
      </c>
      <c r="B1750" s="3" t="s">
        <v>93</v>
      </c>
      <c r="C1750" s="3" t="s">
        <v>243</v>
      </c>
      <c r="D1750" s="4">
        <f t="shared" ca="1" si="20"/>
        <v>45910</v>
      </c>
      <c r="E1750" s="3" t="s">
        <v>31</v>
      </c>
    </row>
    <row r="1751" spans="1:5" x14ac:dyDescent="0.3">
      <c r="A1751" s="3" t="s">
        <v>555</v>
      </c>
      <c r="B1751" s="3" t="s">
        <v>37</v>
      </c>
      <c r="C1751" s="3" t="s">
        <v>556</v>
      </c>
      <c r="D1751" s="4">
        <f t="shared" ca="1" si="20"/>
        <v>45910</v>
      </c>
      <c r="E1751" s="3" t="s">
        <v>60</v>
      </c>
    </row>
    <row r="1752" spans="1:5" x14ac:dyDescent="0.3">
      <c r="A1752" s="3" t="s">
        <v>545</v>
      </c>
      <c r="B1752" s="3" t="s">
        <v>331</v>
      </c>
      <c r="C1752" s="3" t="s">
        <v>546</v>
      </c>
      <c r="D1752" s="4">
        <f t="shared" ca="1" si="20"/>
        <v>45910</v>
      </c>
      <c r="E1752" s="3" t="s">
        <v>56</v>
      </c>
    </row>
    <row r="1753" spans="1:5" x14ac:dyDescent="0.3">
      <c r="A1753" s="3" t="s">
        <v>586</v>
      </c>
      <c r="B1753" s="3" t="s">
        <v>157</v>
      </c>
      <c r="C1753" s="3" t="s">
        <v>587</v>
      </c>
      <c r="D1753" s="4">
        <f t="shared" ca="1" si="20"/>
        <v>45910</v>
      </c>
      <c r="E1753" s="3" t="s">
        <v>60</v>
      </c>
    </row>
    <row r="1754" spans="1:5" x14ac:dyDescent="0.3">
      <c r="A1754" s="3" t="s">
        <v>109</v>
      </c>
      <c r="B1754" s="3" t="s">
        <v>37</v>
      </c>
      <c r="C1754" s="3" t="s">
        <v>606</v>
      </c>
      <c r="D1754" s="4">
        <f t="shared" ca="1" si="20"/>
        <v>45910</v>
      </c>
      <c r="E1754" s="3" t="s">
        <v>31</v>
      </c>
    </row>
    <row r="1755" spans="1:5" x14ac:dyDescent="0.3">
      <c r="A1755" s="3" t="s">
        <v>311</v>
      </c>
      <c r="B1755" s="3" t="s">
        <v>74</v>
      </c>
      <c r="C1755" s="3" t="s">
        <v>754</v>
      </c>
      <c r="D1755" s="4">
        <f t="shared" ca="1" si="20"/>
        <v>45910</v>
      </c>
      <c r="E1755" s="3" t="s">
        <v>27</v>
      </c>
    </row>
    <row r="1756" spans="1:5" x14ac:dyDescent="0.3">
      <c r="A1756" s="3" t="s">
        <v>768</v>
      </c>
      <c r="B1756" s="3" t="s">
        <v>58</v>
      </c>
      <c r="C1756" s="3" t="s">
        <v>769</v>
      </c>
      <c r="D1756" s="4">
        <f t="shared" ca="1" si="20"/>
        <v>45910</v>
      </c>
      <c r="E1756" s="3" t="s">
        <v>31</v>
      </c>
    </row>
    <row r="1757" spans="1:5" x14ac:dyDescent="0.3">
      <c r="A1757" s="3" t="s">
        <v>706</v>
      </c>
      <c r="B1757" s="3" t="s">
        <v>133</v>
      </c>
      <c r="C1757" s="3" t="s">
        <v>707</v>
      </c>
      <c r="D1757" s="4">
        <f t="shared" ca="1" si="20"/>
        <v>45910</v>
      </c>
      <c r="E1757" s="3" t="s">
        <v>35</v>
      </c>
    </row>
    <row r="1758" spans="1:5" x14ac:dyDescent="0.3">
      <c r="A1758" s="3" t="s">
        <v>694</v>
      </c>
      <c r="B1758" s="3" t="s">
        <v>695</v>
      </c>
      <c r="C1758" s="3" t="s">
        <v>554</v>
      </c>
      <c r="D1758" s="4">
        <f t="shared" ca="1" si="20"/>
        <v>45910</v>
      </c>
      <c r="E1758" s="3" t="s">
        <v>60</v>
      </c>
    </row>
    <row r="1759" spans="1:5" x14ac:dyDescent="0.3">
      <c r="A1759" s="3" t="s">
        <v>694</v>
      </c>
      <c r="B1759" s="3" t="s">
        <v>695</v>
      </c>
      <c r="C1759" s="3" t="s">
        <v>554</v>
      </c>
      <c r="D1759" s="4">
        <f t="shared" ca="1" si="20"/>
        <v>45910</v>
      </c>
      <c r="E1759" s="3" t="s">
        <v>60</v>
      </c>
    </row>
    <row r="1760" spans="1:5" x14ac:dyDescent="0.3">
      <c r="A1760" s="3" t="s">
        <v>130</v>
      </c>
      <c r="B1760" s="3" t="s">
        <v>118</v>
      </c>
      <c r="C1760" s="3" t="s">
        <v>817</v>
      </c>
      <c r="D1760" s="4">
        <f t="shared" ca="1" si="20"/>
        <v>45910</v>
      </c>
      <c r="E1760" s="3" t="s">
        <v>27</v>
      </c>
    </row>
    <row r="1761" spans="1:5" x14ac:dyDescent="0.3">
      <c r="A1761" s="3" t="s">
        <v>589</v>
      </c>
      <c r="B1761" s="3" t="s">
        <v>65</v>
      </c>
      <c r="C1761" s="3" t="s">
        <v>590</v>
      </c>
      <c r="D1761" s="4">
        <f t="shared" ca="1" si="20"/>
        <v>45910</v>
      </c>
      <c r="E1761" s="3" t="s">
        <v>56</v>
      </c>
    </row>
    <row r="1762" spans="1:5" x14ac:dyDescent="0.3">
      <c r="A1762" s="3" t="s">
        <v>304</v>
      </c>
      <c r="B1762" s="3" t="s">
        <v>47</v>
      </c>
      <c r="C1762" s="3" t="s">
        <v>424</v>
      </c>
      <c r="D1762" s="4">
        <f t="shared" ca="1" si="20"/>
        <v>45910</v>
      </c>
      <c r="E1762" s="3" t="s">
        <v>27</v>
      </c>
    </row>
    <row r="1763" spans="1:5" x14ac:dyDescent="0.3">
      <c r="A1763" s="3" t="s">
        <v>576</v>
      </c>
      <c r="B1763" s="3" t="s">
        <v>518</v>
      </c>
      <c r="C1763" s="3" t="s">
        <v>577</v>
      </c>
      <c r="D1763" s="4">
        <f t="shared" ca="1" si="20"/>
        <v>45910</v>
      </c>
      <c r="E1763" s="3" t="s">
        <v>60</v>
      </c>
    </row>
    <row r="1764" spans="1:5" x14ac:dyDescent="0.3">
      <c r="A1764" s="3" t="s">
        <v>614</v>
      </c>
      <c r="B1764" s="3" t="s">
        <v>33</v>
      </c>
      <c r="C1764" s="3" t="s">
        <v>615</v>
      </c>
      <c r="D1764" s="4">
        <f t="shared" ca="1" si="20"/>
        <v>45910</v>
      </c>
      <c r="E1764" s="3" t="s">
        <v>60</v>
      </c>
    </row>
    <row r="1765" spans="1:5" x14ac:dyDescent="0.3">
      <c r="A1765" s="3" t="s">
        <v>510</v>
      </c>
      <c r="B1765" s="3" t="s">
        <v>65</v>
      </c>
      <c r="C1765" s="3" t="s">
        <v>611</v>
      </c>
      <c r="D1765" s="4">
        <f t="shared" ca="1" si="20"/>
        <v>45910</v>
      </c>
      <c r="E1765" s="3" t="s">
        <v>35</v>
      </c>
    </row>
    <row r="1766" spans="1:5" x14ac:dyDescent="0.3">
      <c r="A1766" s="3" t="s">
        <v>712</v>
      </c>
      <c r="B1766" s="3" t="s">
        <v>44</v>
      </c>
      <c r="C1766" s="3" t="s">
        <v>713</v>
      </c>
      <c r="D1766" s="4">
        <f t="shared" ca="1" si="20"/>
        <v>45910</v>
      </c>
      <c r="E1766" s="3" t="s">
        <v>39</v>
      </c>
    </row>
    <row r="1767" spans="1:5" x14ac:dyDescent="0.3">
      <c r="A1767" s="3" t="s">
        <v>209</v>
      </c>
      <c r="B1767" s="3" t="s">
        <v>193</v>
      </c>
      <c r="C1767" s="3" t="s">
        <v>210</v>
      </c>
      <c r="D1767" s="4">
        <f t="shared" ca="1" si="20"/>
        <v>45910</v>
      </c>
      <c r="E1767" s="3" t="s">
        <v>60</v>
      </c>
    </row>
    <row r="1768" spans="1:5" x14ac:dyDescent="0.3">
      <c r="A1768" s="3" t="s">
        <v>209</v>
      </c>
      <c r="B1768" s="3" t="s">
        <v>62</v>
      </c>
      <c r="C1768" s="3" t="s">
        <v>282</v>
      </c>
      <c r="D1768" s="4">
        <f t="shared" ca="1" si="20"/>
        <v>45910</v>
      </c>
      <c r="E1768" s="3" t="s">
        <v>60</v>
      </c>
    </row>
    <row r="1769" spans="1:5" x14ac:dyDescent="0.3">
      <c r="A1769" s="3" t="s">
        <v>801</v>
      </c>
      <c r="B1769" s="3" t="s">
        <v>669</v>
      </c>
      <c r="C1769" s="3" t="s">
        <v>802</v>
      </c>
      <c r="D1769" s="4">
        <f t="shared" ca="1" si="20"/>
        <v>45910</v>
      </c>
      <c r="E1769" s="3" t="s">
        <v>56</v>
      </c>
    </row>
    <row r="1770" spans="1:5" x14ac:dyDescent="0.3">
      <c r="A1770" s="3" t="s">
        <v>575</v>
      </c>
      <c r="B1770" s="3" t="s">
        <v>93</v>
      </c>
      <c r="C1770" s="3" t="s">
        <v>119</v>
      </c>
      <c r="D1770" s="4">
        <f t="shared" ca="1" si="20"/>
        <v>45910</v>
      </c>
      <c r="E1770" s="3" t="s">
        <v>27</v>
      </c>
    </row>
    <row r="1771" spans="1:5" x14ac:dyDescent="0.3">
      <c r="A1771" s="3" t="s">
        <v>752</v>
      </c>
      <c r="B1771" s="3" t="s">
        <v>245</v>
      </c>
      <c r="C1771" s="3" t="s">
        <v>753</v>
      </c>
      <c r="D1771" s="4">
        <f t="shared" ca="1" si="20"/>
        <v>45910</v>
      </c>
      <c r="E1771" s="3" t="s">
        <v>35</v>
      </c>
    </row>
    <row r="1772" spans="1:5" x14ac:dyDescent="0.3">
      <c r="A1772" s="3" t="s">
        <v>790</v>
      </c>
      <c r="B1772" s="3" t="s">
        <v>326</v>
      </c>
      <c r="C1772" s="3" t="s">
        <v>791</v>
      </c>
      <c r="D1772" s="4">
        <f t="shared" ca="1" si="20"/>
        <v>45910</v>
      </c>
      <c r="E1772" s="3" t="s">
        <v>56</v>
      </c>
    </row>
    <row r="1773" spans="1:5" x14ac:dyDescent="0.3">
      <c r="A1773" s="3" t="s">
        <v>682</v>
      </c>
      <c r="B1773" s="3" t="s">
        <v>245</v>
      </c>
      <c r="C1773" s="3" t="s">
        <v>683</v>
      </c>
      <c r="D1773" s="4">
        <f t="shared" ref="D1773:D1879" ca="1" si="21">TODAY()-96</f>
        <v>45941</v>
      </c>
      <c r="E1773" s="3" t="s">
        <v>60</v>
      </c>
    </row>
    <row r="1774" spans="1:5" x14ac:dyDescent="0.3">
      <c r="A1774" s="3" t="s">
        <v>575</v>
      </c>
      <c r="B1774" s="3" t="s">
        <v>93</v>
      </c>
      <c r="C1774" s="3" t="s">
        <v>119</v>
      </c>
      <c r="D1774" s="4">
        <f t="shared" ca="1" si="21"/>
        <v>45941</v>
      </c>
      <c r="E1774" s="3" t="s">
        <v>27</v>
      </c>
    </row>
    <row r="1775" spans="1:5" x14ac:dyDescent="0.3">
      <c r="A1775" s="3" t="s">
        <v>341</v>
      </c>
      <c r="B1775" s="3" t="s">
        <v>37</v>
      </c>
      <c r="C1775" s="3" t="s">
        <v>342</v>
      </c>
      <c r="D1775" s="4">
        <f t="shared" ca="1" si="21"/>
        <v>45941</v>
      </c>
      <c r="E1775" s="3" t="s">
        <v>27</v>
      </c>
    </row>
    <row r="1776" spans="1:5" x14ac:dyDescent="0.3">
      <c r="A1776" s="3" t="s">
        <v>375</v>
      </c>
      <c r="B1776" s="3" t="s">
        <v>25</v>
      </c>
      <c r="C1776" s="3" t="s">
        <v>158</v>
      </c>
      <c r="D1776" s="4">
        <f t="shared" ca="1" si="21"/>
        <v>45941</v>
      </c>
      <c r="E1776" s="3" t="s">
        <v>39</v>
      </c>
    </row>
    <row r="1777" spans="1:5" x14ac:dyDescent="0.3">
      <c r="A1777" s="3" t="s">
        <v>723</v>
      </c>
      <c r="B1777" s="3" t="s">
        <v>331</v>
      </c>
      <c r="C1777" s="3" t="s">
        <v>724</v>
      </c>
      <c r="D1777" s="4">
        <f t="shared" ca="1" si="21"/>
        <v>45941</v>
      </c>
      <c r="E1777" s="3" t="s">
        <v>60</v>
      </c>
    </row>
    <row r="1778" spans="1:5" x14ac:dyDescent="0.3">
      <c r="A1778" s="3" t="s">
        <v>381</v>
      </c>
      <c r="B1778" s="3" t="s">
        <v>25</v>
      </c>
      <c r="C1778" s="3" t="s">
        <v>382</v>
      </c>
      <c r="D1778" s="4">
        <f t="shared" ca="1" si="21"/>
        <v>45941</v>
      </c>
      <c r="E1778" s="3" t="s">
        <v>35</v>
      </c>
    </row>
    <row r="1779" spans="1:5" x14ac:dyDescent="0.3">
      <c r="A1779" s="3" t="s">
        <v>117</v>
      </c>
      <c r="B1779" s="3" t="s">
        <v>118</v>
      </c>
      <c r="C1779" s="3" t="s">
        <v>119</v>
      </c>
      <c r="D1779" s="4">
        <f t="shared" ca="1" si="21"/>
        <v>45941</v>
      </c>
      <c r="E1779" s="3" t="s">
        <v>60</v>
      </c>
    </row>
    <row r="1780" spans="1:5" x14ac:dyDescent="0.3">
      <c r="A1780" s="3" t="s">
        <v>109</v>
      </c>
      <c r="B1780" s="3" t="s">
        <v>37</v>
      </c>
      <c r="C1780" s="3" t="s">
        <v>606</v>
      </c>
      <c r="D1780" s="4">
        <f t="shared" ca="1" si="21"/>
        <v>45941</v>
      </c>
      <c r="E1780" s="3" t="s">
        <v>31</v>
      </c>
    </row>
    <row r="1781" spans="1:5" x14ac:dyDescent="0.3">
      <c r="A1781" s="3" t="s">
        <v>61</v>
      </c>
      <c r="B1781" s="3" t="s">
        <v>62</v>
      </c>
      <c r="C1781" s="3" t="s">
        <v>63</v>
      </c>
      <c r="D1781" s="4">
        <f t="shared" ca="1" si="21"/>
        <v>45941</v>
      </c>
      <c r="E1781" s="3" t="s">
        <v>39</v>
      </c>
    </row>
    <row r="1782" spans="1:5" x14ac:dyDescent="0.3">
      <c r="A1782" s="3" t="s">
        <v>144</v>
      </c>
      <c r="B1782" s="3" t="s">
        <v>552</v>
      </c>
      <c r="C1782" s="3" t="s">
        <v>262</v>
      </c>
      <c r="D1782" s="4">
        <f t="shared" ca="1" si="21"/>
        <v>45941</v>
      </c>
      <c r="E1782" s="3" t="s">
        <v>39</v>
      </c>
    </row>
    <row r="1783" spans="1:5" x14ac:dyDescent="0.3">
      <c r="A1783" s="3" t="s">
        <v>353</v>
      </c>
      <c r="B1783" s="3" t="s">
        <v>50</v>
      </c>
      <c r="C1783" s="3" t="s">
        <v>354</v>
      </c>
      <c r="D1783" s="4">
        <f t="shared" ca="1" si="21"/>
        <v>45941</v>
      </c>
      <c r="E1783" s="3" t="s">
        <v>60</v>
      </c>
    </row>
    <row r="1784" spans="1:5" x14ac:dyDescent="0.3">
      <c r="A1784" s="3" t="s">
        <v>204</v>
      </c>
      <c r="B1784" s="3" t="s">
        <v>124</v>
      </c>
      <c r="C1784" s="3" t="s">
        <v>134</v>
      </c>
      <c r="D1784" s="4">
        <f t="shared" ca="1" si="21"/>
        <v>45941</v>
      </c>
      <c r="E1784" s="3" t="s">
        <v>60</v>
      </c>
    </row>
    <row r="1785" spans="1:5" x14ac:dyDescent="0.3">
      <c r="A1785" s="3" t="s">
        <v>559</v>
      </c>
      <c r="B1785" s="3" t="s">
        <v>33</v>
      </c>
      <c r="C1785" s="3" t="s">
        <v>138</v>
      </c>
      <c r="D1785" s="4">
        <f t="shared" ca="1" si="21"/>
        <v>45941</v>
      </c>
      <c r="E1785" s="3" t="s">
        <v>27</v>
      </c>
    </row>
    <row r="1786" spans="1:5" x14ac:dyDescent="0.3">
      <c r="A1786" s="3" t="s">
        <v>650</v>
      </c>
      <c r="B1786" s="3" t="s">
        <v>298</v>
      </c>
      <c r="C1786" s="3" t="s">
        <v>789</v>
      </c>
      <c r="D1786" s="4">
        <f t="shared" ca="1" si="21"/>
        <v>45941</v>
      </c>
      <c r="E1786" s="3" t="s">
        <v>60</v>
      </c>
    </row>
    <row r="1787" spans="1:5" x14ac:dyDescent="0.3">
      <c r="A1787" s="3" t="s">
        <v>330</v>
      </c>
      <c r="B1787" s="3" t="s">
        <v>331</v>
      </c>
      <c r="C1787" s="3" t="s">
        <v>233</v>
      </c>
      <c r="D1787" s="4">
        <f t="shared" ca="1" si="21"/>
        <v>45941</v>
      </c>
      <c r="E1787" s="3" t="s">
        <v>56</v>
      </c>
    </row>
    <row r="1788" spans="1:5" x14ac:dyDescent="0.3">
      <c r="A1788" s="3" t="s">
        <v>510</v>
      </c>
      <c r="B1788" s="3" t="s">
        <v>87</v>
      </c>
      <c r="C1788" s="3" t="s">
        <v>511</v>
      </c>
      <c r="D1788" s="4">
        <f t="shared" ca="1" si="21"/>
        <v>45941</v>
      </c>
      <c r="E1788" s="3" t="s">
        <v>35</v>
      </c>
    </row>
    <row r="1789" spans="1:5" x14ac:dyDescent="0.3">
      <c r="A1789" s="3" t="s">
        <v>339</v>
      </c>
      <c r="B1789" s="3" t="s">
        <v>397</v>
      </c>
      <c r="C1789" s="3" t="s">
        <v>386</v>
      </c>
      <c r="D1789" s="4">
        <f t="shared" ca="1" si="21"/>
        <v>45941</v>
      </c>
      <c r="E1789" s="3" t="s">
        <v>60</v>
      </c>
    </row>
    <row r="1790" spans="1:5" x14ac:dyDescent="0.3">
      <c r="A1790" s="3" t="s">
        <v>57</v>
      </c>
      <c r="B1790" s="3" t="s">
        <v>245</v>
      </c>
      <c r="C1790" s="3" t="s">
        <v>569</v>
      </c>
      <c r="D1790" s="4">
        <f t="shared" ca="1" si="21"/>
        <v>45941</v>
      </c>
      <c r="E1790" s="3" t="s">
        <v>60</v>
      </c>
    </row>
    <row r="1791" spans="1:5" x14ac:dyDescent="0.3">
      <c r="A1791" s="3" t="s">
        <v>337</v>
      </c>
      <c r="B1791" s="3" t="s">
        <v>65</v>
      </c>
      <c r="C1791" s="3" t="s">
        <v>338</v>
      </c>
      <c r="D1791" s="4">
        <f t="shared" ca="1" si="21"/>
        <v>45941</v>
      </c>
      <c r="E1791" s="3" t="s">
        <v>56</v>
      </c>
    </row>
    <row r="1792" spans="1:5" x14ac:dyDescent="0.3">
      <c r="A1792" s="3" t="s">
        <v>149</v>
      </c>
      <c r="B1792" s="3" t="s">
        <v>150</v>
      </c>
      <c r="C1792" s="3" t="s">
        <v>151</v>
      </c>
      <c r="D1792" s="4">
        <f t="shared" ca="1" si="21"/>
        <v>45941</v>
      </c>
      <c r="E1792" s="3" t="s">
        <v>27</v>
      </c>
    </row>
    <row r="1793" spans="1:5" x14ac:dyDescent="0.3">
      <c r="A1793" s="3" t="s">
        <v>279</v>
      </c>
      <c r="B1793" s="3" t="s">
        <v>275</v>
      </c>
      <c r="C1793" s="3" t="s">
        <v>280</v>
      </c>
      <c r="D1793" s="4">
        <f t="shared" ca="1" si="21"/>
        <v>45941</v>
      </c>
      <c r="E1793" s="3" t="s">
        <v>39</v>
      </c>
    </row>
    <row r="1794" spans="1:5" x14ac:dyDescent="0.3">
      <c r="A1794" s="3" t="s">
        <v>588</v>
      </c>
      <c r="B1794" s="3" t="s">
        <v>245</v>
      </c>
      <c r="C1794" s="3" t="s">
        <v>796</v>
      </c>
      <c r="D1794" s="4">
        <f t="shared" ca="1" si="21"/>
        <v>45941</v>
      </c>
      <c r="E1794" s="3" t="s">
        <v>60</v>
      </c>
    </row>
    <row r="1795" spans="1:5" x14ac:dyDescent="0.3">
      <c r="A1795" s="3" t="s">
        <v>379</v>
      </c>
      <c r="B1795" s="3" t="s">
        <v>65</v>
      </c>
      <c r="C1795" s="3" t="s">
        <v>380</v>
      </c>
      <c r="D1795" s="4">
        <f t="shared" ca="1" si="21"/>
        <v>45941</v>
      </c>
      <c r="E1795" s="3" t="s">
        <v>39</v>
      </c>
    </row>
    <row r="1796" spans="1:5" x14ac:dyDescent="0.3">
      <c r="A1796" s="3" t="s">
        <v>740</v>
      </c>
      <c r="B1796" s="3" t="s">
        <v>93</v>
      </c>
      <c r="C1796" s="3" t="s">
        <v>741</v>
      </c>
      <c r="D1796" s="4">
        <f t="shared" ca="1" si="21"/>
        <v>45941</v>
      </c>
      <c r="E1796" s="3" t="s">
        <v>60</v>
      </c>
    </row>
    <row r="1797" spans="1:5" x14ac:dyDescent="0.3">
      <c r="A1797" s="3" t="s">
        <v>457</v>
      </c>
      <c r="B1797" s="3" t="s">
        <v>298</v>
      </c>
      <c r="C1797" s="3" t="s">
        <v>458</v>
      </c>
      <c r="D1797" s="4">
        <f t="shared" ca="1" si="21"/>
        <v>45941</v>
      </c>
      <c r="E1797" s="3" t="s">
        <v>35</v>
      </c>
    </row>
    <row r="1798" spans="1:5" x14ac:dyDescent="0.3">
      <c r="A1798" s="3" t="s">
        <v>708</v>
      </c>
      <c r="B1798" s="3" t="s">
        <v>58</v>
      </c>
      <c r="C1798" s="3" t="s">
        <v>709</v>
      </c>
      <c r="D1798" s="4">
        <f t="shared" ca="1" si="21"/>
        <v>45941</v>
      </c>
      <c r="E1798" s="3" t="s">
        <v>35</v>
      </c>
    </row>
    <row r="1799" spans="1:5" x14ac:dyDescent="0.3">
      <c r="A1799" s="3" t="s">
        <v>586</v>
      </c>
      <c r="B1799" s="3" t="s">
        <v>193</v>
      </c>
      <c r="C1799" s="3" t="s">
        <v>119</v>
      </c>
      <c r="D1799" s="4">
        <f t="shared" ca="1" si="21"/>
        <v>45941</v>
      </c>
      <c r="E1799" s="3" t="s">
        <v>60</v>
      </c>
    </row>
    <row r="1800" spans="1:5" x14ac:dyDescent="0.3">
      <c r="A1800" s="3" t="s">
        <v>607</v>
      </c>
      <c r="B1800" s="3" t="s">
        <v>504</v>
      </c>
      <c r="C1800" s="3" t="s">
        <v>262</v>
      </c>
      <c r="D1800" s="4">
        <f t="shared" ca="1" si="21"/>
        <v>45941</v>
      </c>
      <c r="E1800" s="3" t="s">
        <v>39</v>
      </c>
    </row>
    <row r="1801" spans="1:5" x14ac:dyDescent="0.3">
      <c r="A1801" s="3" t="s">
        <v>646</v>
      </c>
      <c r="B1801" s="3" t="s">
        <v>212</v>
      </c>
      <c r="C1801" s="3" t="s">
        <v>647</v>
      </c>
      <c r="D1801" s="4">
        <f t="shared" ca="1" si="21"/>
        <v>45941</v>
      </c>
      <c r="E1801" s="3" t="s">
        <v>39</v>
      </c>
    </row>
    <row r="1802" spans="1:5" x14ac:dyDescent="0.3">
      <c r="A1802" s="3" t="s">
        <v>748</v>
      </c>
      <c r="B1802" s="3" t="s">
        <v>193</v>
      </c>
      <c r="C1802" s="3" t="s">
        <v>749</v>
      </c>
      <c r="D1802" s="4">
        <f t="shared" ca="1" si="21"/>
        <v>45941</v>
      </c>
      <c r="E1802" s="3" t="s">
        <v>56</v>
      </c>
    </row>
    <row r="1803" spans="1:5" x14ac:dyDescent="0.3">
      <c r="A1803" s="3" t="s">
        <v>49</v>
      </c>
      <c r="B1803" s="3" t="s">
        <v>50</v>
      </c>
      <c r="C1803" s="3" t="s">
        <v>51</v>
      </c>
      <c r="D1803" s="4">
        <f t="shared" ca="1" si="21"/>
        <v>45941</v>
      </c>
      <c r="E1803" s="3" t="s">
        <v>31</v>
      </c>
    </row>
    <row r="1804" spans="1:5" x14ac:dyDescent="0.3">
      <c r="A1804" s="3" t="s">
        <v>790</v>
      </c>
      <c r="B1804" s="3" t="s">
        <v>326</v>
      </c>
      <c r="C1804" s="3" t="s">
        <v>791</v>
      </c>
      <c r="D1804" s="4">
        <f t="shared" ca="1" si="21"/>
        <v>45941</v>
      </c>
      <c r="E1804" s="3" t="s">
        <v>56</v>
      </c>
    </row>
    <row r="1805" spans="1:5" x14ac:dyDescent="0.3">
      <c r="A1805" s="3" t="s">
        <v>167</v>
      </c>
      <c r="B1805" s="3" t="s">
        <v>168</v>
      </c>
      <c r="C1805" s="3" t="s">
        <v>169</v>
      </c>
      <c r="D1805" s="4">
        <f t="shared" ca="1" si="21"/>
        <v>45941</v>
      </c>
      <c r="E1805" s="3" t="s">
        <v>39</v>
      </c>
    </row>
    <row r="1806" spans="1:5" x14ac:dyDescent="0.3">
      <c r="A1806" s="3" t="s">
        <v>452</v>
      </c>
      <c r="B1806" s="3" t="s">
        <v>453</v>
      </c>
      <c r="C1806" s="3" t="s">
        <v>454</v>
      </c>
      <c r="D1806" s="4">
        <f t="shared" ca="1" si="21"/>
        <v>45941</v>
      </c>
      <c r="E1806" s="3" t="s">
        <v>35</v>
      </c>
    </row>
    <row r="1807" spans="1:5" x14ac:dyDescent="0.3">
      <c r="A1807" s="3" t="s">
        <v>729</v>
      </c>
      <c r="B1807" s="3" t="s">
        <v>58</v>
      </c>
      <c r="C1807" s="3" t="s">
        <v>730</v>
      </c>
      <c r="D1807" s="4">
        <f t="shared" ca="1" si="21"/>
        <v>45941</v>
      </c>
      <c r="E1807" s="3" t="s">
        <v>35</v>
      </c>
    </row>
    <row r="1808" spans="1:5" x14ac:dyDescent="0.3">
      <c r="A1808" s="3" t="s">
        <v>388</v>
      </c>
      <c r="B1808" s="3" t="s">
        <v>33</v>
      </c>
      <c r="C1808" s="3" t="s">
        <v>514</v>
      </c>
      <c r="D1808" s="4">
        <f t="shared" ca="1" si="21"/>
        <v>45941</v>
      </c>
      <c r="E1808" s="3" t="s">
        <v>60</v>
      </c>
    </row>
    <row r="1809" spans="1:5" x14ac:dyDescent="0.3">
      <c r="A1809" s="3" t="s">
        <v>381</v>
      </c>
      <c r="B1809" s="3" t="s">
        <v>25</v>
      </c>
      <c r="C1809" s="3" t="s">
        <v>382</v>
      </c>
      <c r="D1809" s="4">
        <f t="shared" ca="1" si="21"/>
        <v>45941</v>
      </c>
      <c r="E1809" s="3" t="s">
        <v>35</v>
      </c>
    </row>
    <row r="1810" spans="1:5" x14ac:dyDescent="0.3">
      <c r="A1810" s="3" t="s">
        <v>815</v>
      </c>
      <c r="B1810" s="3" t="s">
        <v>65</v>
      </c>
      <c r="C1810" s="3" t="s">
        <v>816</v>
      </c>
      <c r="D1810" s="4">
        <f t="shared" ca="1" si="21"/>
        <v>45941</v>
      </c>
      <c r="E1810" s="3" t="s">
        <v>35</v>
      </c>
    </row>
    <row r="1811" spans="1:5" x14ac:dyDescent="0.3">
      <c r="A1811" s="3" t="s">
        <v>221</v>
      </c>
      <c r="B1811" s="3" t="s">
        <v>65</v>
      </c>
      <c r="C1811" s="3" t="s">
        <v>222</v>
      </c>
      <c r="D1811" s="4">
        <f t="shared" ca="1" si="21"/>
        <v>45941</v>
      </c>
      <c r="E1811" s="3" t="s">
        <v>35</v>
      </c>
    </row>
    <row r="1812" spans="1:5" x14ac:dyDescent="0.3">
      <c r="A1812" s="3" t="s">
        <v>629</v>
      </c>
      <c r="B1812" s="3" t="s">
        <v>93</v>
      </c>
      <c r="C1812" s="3" t="s">
        <v>630</v>
      </c>
      <c r="D1812" s="4">
        <f t="shared" ca="1" si="21"/>
        <v>45941</v>
      </c>
      <c r="E1812" s="3" t="s">
        <v>35</v>
      </c>
    </row>
    <row r="1813" spans="1:5" x14ac:dyDescent="0.3">
      <c r="A1813" s="3" t="s">
        <v>466</v>
      </c>
      <c r="B1813" s="3" t="s">
        <v>65</v>
      </c>
      <c r="C1813" s="3" t="s">
        <v>467</v>
      </c>
      <c r="D1813" s="4">
        <f t="shared" ca="1" si="21"/>
        <v>45941</v>
      </c>
      <c r="E1813" s="3" t="s">
        <v>56</v>
      </c>
    </row>
    <row r="1814" spans="1:5" x14ac:dyDescent="0.3">
      <c r="A1814" s="3" t="s">
        <v>383</v>
      </c>
      <c r="B1814" s="3" t="s">
        <v>33</v>
      </c>
      <c r="C1814" s="3" t="s">
        <v>384</v>
      </c>
      <c r="D1814" s="4">
        <f t="shared" ca="1" si="21"/>
        <v>45941</v>
      </c>
      <c r="E1814" s="3" t="s">
        <v>60</v>
      </c>
    </row>
    <row r="1815" spans="1:5" x14ac:dyDescent="0.3">
      <c r="A1815" s="3" t="s">
        <v>589</v>
      </c>
      <c r="B1815" s="3" t="s">
        <v>65</v>
      </c>
      <c r="C1815" s="3" t="s">
        <v>590</v>
      </c>
      <c r="D1815" s="4">
        <f t="shared" ca="1" si="21"/>
        <v>45941</v>
      </c>
      <c r="E1815" s="3" t="s">
        <v>56</v>
      </c>
    </row>
    <row r="1816" spans="1:5" x14ac:dyDescent="0.3">
      <c r="A1816" s="3" t="s">
        <v>296</v>
      </c>
      <c r="B1816" s="3" t="s">
        <v>71</v>
      </c>
      <c r="C1816" s="3" t="s">
        <v>42</v>
      </c>
      <c r="D1816" s="4">
        <f t="shared" ca="1" si="21"/>
        <v>45941</v>
      </c>
      <c r="E1816" s="3" t="s">
        <v>56</v>
      </c>
    </row>
    <row r="1817" spans="1:5" x14ac:dyDescent="0.3">
      <c r="A1817" s="3" t="s">
        <v>391</v>
      </c>
      <c r="B1817" s="3" t="s">
        <v>392</v>
      </c>
      <c r="C1817" s="3" t="s">
        <v>241</v>
      </c>
      <c r="D1817" s="4">
        <f t="shared" ca="1" si="21"/>
        <v>45941</v>
      </c>
      <c r="E1817" s="3" t="s">
        <v>39</v>
      </c>
    </row>
    <row r="1818" spans="1:5" x14ac:dyDescent="0.3">
      <c r="A1818" s="3" t="s">
        <v>364</v>
      </c>
      <c r="B1818" s="3" t="s">
        <v>47</v>
      </c>
      <c r="C1818" s="3" t="s">
        <v>138</v>
      </c>
      <c r="D1818" s="4">
        <f t="shared" ca="1" si="21"/>
        <v>45941</v>
      </c>
      <c r="E1818" s="3" t="s">
        <v>35</v>
      </c>
    </row>
    <row r="1819" spans="1:5" x14ac:dyDescent="0.3">
      <c r="A1819" s="3" t="s">
        <v>731</v>
      </c>
      <c r="B1819" s="3" t="s">
        <v>93</v>
      </c>
      <c r="C1819" s="3" t="s">
        <v>732</v>
      </c>
      <c r="D1819" s="4">
        <f t="shared" ca="1" si="21"/>
        <v>45941</v>
      </c>
      <c r="E1819" s="3" t="s">
        <v>60</v>
      </c>
    </row>
    <row r="1820" spans="1:5" x14ac:dyDescent="0.3">
      <c r="A1820" s="3" t="s">
        <v>684</v>
      </c>
      <c r="B1820" s="3" t="s">
        <v>65</v>
      </c>
      <c r="C1820" s="3" t="s">
        <v>685</v>
      </c>
      <c r="D1820" s="4">
        <f t="shared" ca="1" si="21"/>
        <v>45941</v>
      </c>
      <c r="E1820" s="3" t="s">
        <v>27</v>
      </c>
    </row>
    <row r="1821" spans="1:5" x14ac:dyDescent="0.3">
      <c r="A1821" s="3" t="s">
        <v>73</v>
      </c>
      <c r="B1821" s="3" t="s">
        <v>74</v>
      </c>
      <c r="C1821" s="3" t="s">
        <v>75</v>
      </c>
      <c r="D1821" s="4">
        <f t="shared" ca="1" si="21"/>
        <v>45941</v>
      </c>
      <c r="E1821" s="3" t="s">
        <v>39</v>
      </c>
    </row>
    <row r="1822" spans="1:5" x14ac:dyDescent="0.3">
      <c r="A1822" s="3" t="s">
        <v>503</v>
      </c>
      <c r="B1822" s="3" t="s">
        <v>504</v>
      </c>
      <c r="C1822" s="3" t="s">
        <v>289</v>
      </c>
      <c r="D1822" s="4">
        <f t="shared" ca="1" si="21"/>
        <v>45941</v>
      </c>
      <c r="E1822" s="3" t="s">
        <v>39</v>
      </c>
    </row>
    <row r="1823" spans="1:5" x14ac:dyDescent="0.3">
      <c r="A1823" s="3" t="s">
        <v>784</v>
      </c>
      <c r="B1823" s="3" t="s">
        <v>368</v>
      </c>
      <c r="C1823" s="3" t="s">
        <v>785</v>
      </c>
      <c r="D1823" s="4">
        <f t="shared" ca="1" si="21"/>
        <v>45941</v>
      </c>
      <c r="E1823" s="3" t="s">
        <v>31</v>
      </c>
    </row>
    <row r="1824" spans="1:5" x14ac:dyDescent="0.3">
      <c r="A1824" s="3" t="s">
        <v>332</v>
      </c>
      <c r="B1824" s="3" t="s">
        <v>58</v>
      </c>
      <c r="C1824" s="3" t="s">
        <v>605</v>
      </c>
      <c r="D1824" s="4">
        <f t="shared" ca="1" si="21"/>
        <v>45941</v>
      </c>
      <c r="E1824" s="3" t="s">
        <v>39</v>
      </c>
    </row>
    <row r="1825" spans="1:5" x14ac:dyDescent="0.3">
      <c r="A1825" s="3" t="s">
        <v>297</v>
      </c>
      <c r="B1825" s="3" t="s">
        <v>298</v>
      </c>
      <c r="C1825" s="3" t="s">
        <v>285</v>
      </c>
      <c r="D1825" s="4">
        <f t="shared" ca="1" si="21"/>
        <v>45941</v>
      </c>
      <c r="E1825" s="3" t="s">
        <v>56</v>
      </c>
    </row>
    <row r="1826" spans="1:5" x14ac:dyDescent="0.3">
      <c r="A1826" s="3" t="s">
        <v>406</v>
      </c>
      <c r="B1826" s="3" t="s">
        <v>44</v>
      </c>
      <c r="C1826" s="3" t="s">
        <v>340</v>
      </c>
      <c r="D1826" s="4">
        <f t="shared" ca="1" si="21"/>
        <v>45941</v>
      </c>
      <c r="E1826" s="3" t="s">
        <v>60</v>
      </c>
    </row>
    <row r="1827" spans="1:5" x14ac:dyDescent="0.3">
      <c r="A1827" s="3" t="s">
        <v>321</v>
      </c>
      <c r="B1827" s="3" t="s">
        <v>71</v>
      </c>
      <c r="C1827" s="3" t="s">
        <v>322</v>
      </c>
      <c r="D1827" s="4">
        <f t="shared" ca="1" si="21"/>
        <v>45941</v>
      </c>
      <c r="E1827" s="3" t="s">
        <v>39</v>
      </c>
    </row>
    <row r="1828" spans="1:5" x14ac:dyDescent="0.3">
      <c r="A1828" s="3" t="s">
        <v>495</v>
      </c>
      <c r="B1828" s="3" t="s">
        <v>37</v>
      </c>
      <c r="C1828" s="3" t="s">
        <v>496</v>
      </c>
      <c r="D1828" s="4">
        <f t="shared" ca="1" si="21"/>
        <v>45941</v>
      </c>
      <c r="E1828" s="3" t="s">
        <v>39</v>
      </c>
    </row>
    <row r="1829" spans="1:5" x14ac:dyDescent="0.3">
      <c r="A1829" s="3" t="s">
        <v>461</v>
      </c>
      <c r="B1829" s="3" t="s">
        <v>140</v>
      </c>
      <c r="C1829" s="3" t="s">
        <v>431</v>
      </c>
      <c r="D1829" s="4">
        <f t="shared" ca="1" si="21"/>
        <v>45941</v>
      </c>
      <c r="E1829" s="3" t="s">
        <v>39</v>
      </c>
    </row>
    <row r="1830" spans="1:5" x14ac:dyDescent="0.3">
      <c r="A1830" s="3" t="s">
        <v>189</v>
      </c>
      <c r="B1830" s="3" t="s">
        <v>190</v>
      </c>
      <c r="C1830" s="3" t="s">
        <v>191</v>
      </c>
      <c r="D1830" s="4">
        <f t="shared" ca="1" si="21"/>
        <v>45941</v>
      </c>
      <c r="E1830" s="3" t="s">
        <v>56</v>
      </c>
    </row>
    <row r="1831" spans="1:5" x14ac:dyDescent="0.3">
      <c r="A1831" s="3" t="s">
        <v>395</v>
      </c>
      <c r="B1831" s="3" t="s">
        <v>477</v>
      </c>
      <c r="C1831" s="3" t="s">
        <v>478</v>
      </c>
      <c r="D1831" s="4">
        <f t="shared" ca="1" si="21"/>
        <v>45941</v>
      </c>
      <c r="E1831" s="3" t="s">
        <v>39</v>
      </c>
    </row>
    <row r="1832" spans="1:5" x14ac:dyDescent="0.3">
      <c r="A1832" s="3" t="s">
        <v>461</v>
      </c>
      <c r="B1832" s="3" t="s">
        <v>140</v>
      </c>
      <c r="C1832" s="3" t="s">
        <v>431</v>
      </c>
      <c r="D1832" s="4">
        <f t="shared" ca="1" si="21"/>
        <v>45941</v>
      </c>
      <c r="E1832" s="3" t="s">
        <v>39</v>
      </c>
    </row>
    <row r="1833" spans="1:5" x14ac:dyDescent="0.3">
      <c r="A1833" s="3" t="s">
        <v>67</v>
      </c>
      <c r="B1833" s="3" t="s">
        <v>68</v>
      </c>
      <c r="C1833" s="3" t="s">
        <v>69</v>
      </c>
      <c r="D1833" s="4">
        <f t="shared" ca="1" si="21"/>
        <v>45941</v>
      </c>
      <c r="E1833" s="3" t="s">
        <v>31</v>
      </c>
    </row>
    <row r="1834" spans="1:5" x14ac:dyDescent="0.3">
      <c r="A1834" s="3" t="s">
        <v>571</v>
      </c>
      <c r="B1834" s="3" t="s">
        <v>245</v>
      </c>
      <c r="C1834" s="3" t="s">
        <v>572</v>
      </c>
      <c r="D1834" s="4">
        <f t="shared" ca="1" si="21"/>
        <v>45941</v>
      </c>
      <c r="E1834" s="3" t="s">
        <v>60</v>
      </c>
    </row>
    <row r="1835" spans="1:5" x14ac:dyDescent="0.3">
      <c r="A1835" s="3" t="s">
        <v>64</v>
      </c>
      <c r="B1835" s="3" t="s">
        <v>65</v>
      </c>
      <c r="C1835" s="3" t="s">
        <v>66</v>
      </c>
      <c r="D1835" s="4">
        <f t="shared" ca="1" si="21"/>
        <v>45941</v>
      </c>
      <c r="E1835" s="3" t="s">
        <v>39</v>
      </c>
    </row>
    <row r="1836" spans="1:5" x14ac:dyDescent="0.3">
      <c r="A1836" s="3" t="s">
        <v>349</v>
      </c>
      <c r="B1836" s="3" t="s">
        <v>326</v>
      </c>
      <c r="C1836" s="3" t="s">
        <v>350</v>
      </c>
      <c r="D1836" s="4">
        <f t="shared" ca="1" si="21"/>
        <v>45941</v>
      </c>
      <c r="E1836" s="3" t="s">
        <v>60</v>
      </c>
    </row>
    <row r="1837" spans="1:5" x14ac:dyDescent="0.3">
      <c r="A1837" s="3" t="s">
        <v>743</v>
      </c>
      <c r="B1837" s="3" t="s">
        <v>124</v>
      </c>
      <c r="C1837" s="3" t="s">
        <v>744</v>
      </c>
      <c r="D1837" s="4">
        <f t="shared" ca="1" si="21"/>
        <v>45941</v>
      </c>
      <c r="E1837" s="3" t="s">
        <v>60</v>
      </c>
    </row>
    <row r="1838" spans="1:5" x14ac:dyDescent="0.3">
      <c r="A1838" s="3" t="s">
        <v>381</v>
      </c>
      <c r="B1838" s="3" t="s">
        <v>25</v>
      </c>
      <c r="C1838" s="3" t="s">
        <v>382</v>
      </c>
      <c r="D1838" s="4">
        <f t="shared" ca="1" si="21"/>
        <v>45941</v>
      </c>
      <c r="E1838" s="3" t="s">
        <v>35</v>
      </c>
    </row>
    <row r="1839" spans="1:5" x14ac:dyDescent="0.3">
      <c r="A1839" s="3" t="s">
        <v>276</v>
      </c>
      <c r="B1839" s="3" t="s">
        <v>50</v>
      </c>
      <c r="C1839" s="3" t="s">
        <v>277</v>
      </c>
      <c r="D1839" s="4">
        <f t="shared" ca="1" si="21"/>
        <v>45941</v>
      </c>
      <c r="E1839" s="3" t="s">
        <v>60</v>
      </c>
    </row>
    <row r="1840" spans="1:5" x14ac:dyDescent="0.3">
      <c r="A1840" s="3" t="s">
        <v>234</v>
      </c>
      <c r="B1840" s="3" t="s">
        <v>78</v>
      </c>
      <c r="C1840" s="3" t="s">
        <v>711</v>
      </c>
      <c r="D1840" s="4">
        <f t="shared" ca="1" si="21"/>
        <v>45941</v>
      </c>
      <c r="E1840" s="3" t="s">
        <v>31</v>
      </c>
    </row>
    <row r="1841" spans="1:5" x14ac:dyDescent="0.3">
      <c r="A1841" s="3" t="s">
        <v>578</v>
      </c>
      <c r="B1841" s="3" t="s">
        <v>579</v>
      </c>
      <c r="C1841" s="3" t="s">
        <v>580</v>
      </c>
      <c r="D1841" s="4">
        <f t="shared" ca="1" si="21"/>
        <v>45941</v>
      </c>
      <c r="E1841" s="3" t="s">
        <v>60</v>
      </c>
    </row>
    <row r="1842" spans="1:5" x14ac:dyDescent="0.3">
      <c r="A1842" s="3" t="s">
        <v>815</v>
      </c>
      <c r="B1842" s="3" t="s">
        <v>65</v>
      </c>
      <c r="C1842" s="3" t="s">
        <v>816</v>
      </c>
      <c r="D1842" s="4">
        <f t="shared" ca="1" si="21"/>
        <v>45941</v>
      </c>
      <c r="E1842" s="3" t="s">
        <v>35</v>
      </c>
    </row>
    <row r="1843" spans="1:5" x14ac:dyDescent="0.3">
      <c r="A1843" s="3" t="s">
        <v>584</v>
      </c>
      <c r="B1843" s="3" t="s">
        <v>121</v>
      </c>
      <c r="C1843" s="3" t="s">
        <v>585</v>
      </c>
      <c r="D1843" s="4">
        <f t="shared" ca="1" si="21"/>
        <v>45941</v>
      </c>
      <c r="E1843" s="3" t="s">
        <v>39</v>
      </c>
    </row>
    <row r="1844" spans="1:5" x14ac:dyDescent="0.3">
      <c r="A1844" s="3" t="s">
        <v>772</v>
      </c>
      <c r="B1844" s="3" t="s">
        <v>50</v>
      </c>
      <c r="C1844" s="3" t="s">
        <v>216</v>
      </c>
      <c r="D1844" s="4">
        <f t="shared" ca="1" si="21"/>
        <v>45941</v>
      </c>
      <c r="E1844" s="3" t="s">
        <v>56</v>
      </c>
    </row>
    <row r="1845" spans="1:5" x14ac:dyDescent="0.3">
      <c r="A1845" s="3" t="s">
        <v>776</v>
      </c>
      <c r="B1845" s="3" t="s">
        <v>178</v>
      </c>
      <c r="C1845" s="3" t="s">
        <v>777</v>
      </c>
      <c r="D1845" s="4">
        <f t="shared" ca="1" si="21"/>
        <v>45941</v>
      </c>
      <c r="E1845" s="3" t="s">
        <v>31</v>
      </c>
    </row>
    <row r="1846" spans="1:5" x14ac:dyDescent="0.3">
      <c r="A1846" s="3" t="s">
        <v>361</v>
      </c>
      <c r="B1846" s="3" t="s">
        <v>50</v>
      </c>
      <c r="C1846" s="3" t="s">
        <v>362</v>
      </c>
      <c r="D1846" s="4">
        <f t="shared" ca="1" si="21"/>
        <v>45941</v>
      </c>
      <c r="E1846" s="3" t="s">
        <v>39</v>
      </c>
    </row>
    <row r="1847" spans="1:5" x14ac:dyDescent="0.3">
      <c r="A1847" s="3" t="s">
        <v>495</v>
      </c>
      <c r="B1847" s="3" t="s">
        <v>37</v>
      </c>
      <c r="C1847" s="3" t="s">
        <v>496</v>
      </c>
      <c r="D1847" s="4">
        <f t="shared" ca="1" si="21"/>
        <v>45941</v>
      </c>
      <c r="E1847" s="3" t="s">
        <v>39</v>
      </c>
    </row>
    <row r="1848" spans="1:5" x14ac:dyDescent="0.3">
      <c r="A1848" s="3" t="s">
        <v>71</v>
      </c>
      <c r="B1848" s="3" t="s">
        <v>50</v>
      </c>
      <c r="C1848" s="3" t="s">
        <v>691</v>
      </c>
      <c r="D1848" s="4">
        <f t="shared" ca="1" si="21"/>
        <v>45941</v>
      </c>
      <c r="E1848" s="3" t="s">
        <v>31</v>
      </c>
    </row>
    <row r="1849" spans="1:5" x14ac:dyDescent="0.3">
      <c r="A1849" s="3" t="s">
        <v>328</v>
      </c>
      <c r="B1849" s="3" t="s">
        <v>193</v>
      </c>
      <c r="C1849" s="3" t="s">
        <v>329</v>
      </c>
      <c r="D1849" s="4">
        <f t="shared" ca="1" si="21"/>
        <v>45941</v>
      </c>
      <c r="E1849" s="3" t="s">
        <v>60</v>
      </c>
    </row>
    <row r="1850" spans="1:5" x14ac:dyDescent="0.3">
      <c r="A1850" s="3" t="s">
        <v>172</v>
      </c>
      <c r="B1850" s="3" t="s">
        <v>173</v>
      </c>
      <c r="C1850" s="3" t="s">
        <v>174</v>
      </c>
      <c r="D1850" s="4">
        <f t="shared" ca="1" si="21"/>
        <v>45941</v>
      </c>
      <c r="E1850" s="3" t="s">
        <v>39</v>
      </c>
    </row>
    <row r="1851" spans="1:5" x14ac:dyDescent="0.3">
      <c r="A1851" s="3" t="s">
        <v>773</v>
      </c>
      <c r="B1851" s="3" t="s">
        <v>774</v>
      </c>
      <c r="C1851" s="3" t="s">
        <v>718</v>
      </c>
      <c r="D1851" s="4">
        <f t="shared" ca="1" si="21"/>
        <v>45941</v>
      </c>
      <c r="E1851" s="3" t="s">
        <v>60</v>
      </c>
    </row>
    <row r="1852" spans="1:5" x14ac:dyDescent="0.3">
      <c r="A1852" s="3" t="s">
        <v>263</v>
      </c>
      <c r="B1852" s="3" t="s">
        <v>44</v>
      </c>
      <c r="C1852" s="3" t="s">
        <v>431</v>
      </c>
      <c r="D1852" s="4">
        <f t="shared" ca="1" si="21"/>
        <v>45941</v>
      </c>
      <c r="E1852" s="3" t="s">
        <v>60</v>
      </c>
    </row>
    <row r="1853" spans="1:5" x14ac:dyDescent="0.3">
      <c r="A1853" s="3" t="s">
        <v>805</v>
      </c>
      <c r="B1853" s="3" t="s">
        <v>162</v>
      </c>
      <c r="C1853" s="3" t="s">
        <v>806</v>
      </c>
      <c r="D1853" s="4">
        <f t="shared" ca="1" si="21"/>
        <v>45941</v>
      </c>
      <c r="E1853" s="3" t="s">
        <v>35</v>
      </c>
    </row>
    <row r="1854" spans="1:5" x14ac:dyDescent="0.3">
      <c r="A1854" s="3" t="s">
        <v>662</v>
      </c>
      <c r="B1854" s="3" t="s">
        <v>65</v>
      </c>
      <c r="C1854" s="3" t="s">
        <v>663</v>
      </c>
      <c r="D1854" s="4">
        <f t="shared" ca="1" si="21"/>
        <v>45941</v>
      </c>
      <c r="E1854" s="3" t="s">
        <v>35</v>
      </c>
    </row>
    <row r="1855" spans="1:5" x14ac:dyDescent="0.3">
      <c r="A1855" s="3" t="s">
        <v>341</v>
      </c>
      <c r="B1855" s="3" t="s">
        <v>37</v>
      </c>
      <c r="C1855" s="3" t="s">
        <v>342</v>
      </c>
      <c r="D1855" s="4">
        <f t="shared" ca="1" si="21"/>
        <v>45941</v>
      </c>
      <c r="E1855" s="3" t="s">
        <v>27</v>
      </c>
    </row>
    <row r="1856" spans="1:5" x14ac:dyDescent="0.3">
      <c r="A1856" s="3" t="s">
        <v>209</v>
      </c>
      <c r="B1856" s="3" t="s">
        <v>68</v>
      </c>
      <c r="C1856" s="3" t="s">
        <v>151</v>
      </c>
      <c r="D1856" s="4">
        <f t="shared" ca="1" si="21"/>
        <v>45941</v>
      </c>
      <c r="E1856" s="3" t="s">
        <v>39</v>
      </c>
    </row>
    <row r="1857" spans="1:5" x14ac:dyDescent="0.3">
      <c r="A1857" s="3" t="s">
        <v>768</v>
      </c>
      <c r="B1857" s="3" t="s">
        <v>58</v>
      </c>
      <c r="C1857" s="3" t="s">
        <v>769</v>
      </c>
      <c r="D1857" s="4">
        <f t="shared" ca="1" si="21"/>
        <v>45941</v>
      </c>
      <c r="E1857" s="3" t="s">
        <v>31</v>
      </c>
    </row>
    <row r="1858" spans="1:5" x14ac:dyDescent="0.3">
      <c r="A1858" s="3" t="s">
        <v>752</v>
      </c>
      <c r="B1858" s="3" t="s">
        <v>245</v>
      </c>
      <c r="C1858" s="3" t="s">
        <v>753</v>
      </c>
      <c r="D1858" s="4">
        <f t="shared" ca="1" si="21"/>
        <v>45941</v>
      </c>
      <c r="E1858" s="3" t="s">
        <v>35</v>
      </c>
    </row>
    <row r="1859" spans="1:5" x14ac:dyDescent="0.3">
      <c r="A1859" s="3" t="s">
        <v>314</v>
      </c>
      <c r="B1859" s="3" t="s">
        <v>62</v>
      </c>
      <c r="C1859" s="3" t="s">
        <v>315</v>
      </c>
      <c r="D1859" s="4">
        <f t="shared" ca="1" si="21"/>
        <v>45941</v>
      </c>
      <c r="E1859" s="3" t="s">
        <v>31</v>
      </c>
    </row>
    <row r="1860" spans="1:5" x14ac:dyDescent="0.3">
      <c r="A1860" s="3" t="s">
        <v>557</v>
      </c>
      <c r="B1860" s="3" t="s">
        <v>87</v>
      </c>
      <c r="C1860" s="3" t="s">
        <v>558</v>
      </c>
      <c r="D1860" s="4">
        <f t="shared" ca="1" si="21"/>
        <v>45941</v>
      </c>
      <c r="E1860" s="3" t="s">
        <v>39</v>
      </c>
    </row>
    <row r="1861" spans="1:5" x14ac:dyDescent="0.3">
      <c r="A1861" s="3" t="s">
        <v>535</v>
      </c>
      <c r="B1861" s="3" t="s">
        <v>58</v>
      </c>
      <c r="C1861" s="3" t="s">
        <v>536</v>
      </c>
      <c r="D1861" s="4">
        <f t="shared" ca="1" si="21"/>
        <v>45941</v>
      </c>
      <c r="E1861" s="3" t="s">
        <v>27</v>
      </c>
    </row>
    <row r="1862" spans="1:5" x14ac:dyDescent="0.3">
      <c r="A1862" s="3" t="s">
        <v>402</v>
      </c>
      <c r="B1862" s="3" t="s">
        <v>62</v>
      </c>
      <c r="C1862" s="3" t="s">
        <v>403</v>
      </c>
      <c r="D1862" s="4">
        <f t="shared" ca="1" si="21"/>
        <v>45941</v>
      </c>
      <c r="E1862" s="3" t="s">
        <v>39</v>
      </c>
    </row>
    <row r="1863" spans="1:5" x14ac:dyDescent="0.3">
      <c r="A1863" s="3" t="s">
        <v>729</v>
      </c>
      <c r="B1863" s="3" t="s">
        <v>58</v>
      </c>
      <c r="C1863" s="3" t="s">
        <v>730</v>
      </c>
      <c r="D1863" s="4">
        <f t="shared" ca="1" si="21"/>
        <v>45941</v>
      </c>
      <c r="E1863" s="3" t="s">
        <v>35</v>
      </c>
    </row>
    <row r="1864" spans="1:5" x14ac:dyDescent="0.3">
      <c r="A1864" s="3" t="s">
        <v>450</v>
      </c>
      <c r="B1864" s="3" t="s">
        <v>326</v>
      </c>
      <c r="C1864" s="3" t="s">
        <v>451</v>
      </c>
      <c r="D1864" s="4">
        <f t="shared" ca="1" si="21"/>
        <v>45941</v>
      </c>
      <c r="E1864" s="3" t="s">
        <v>35</v>
      </c>
    </row>
    <row r="1865" spans="1:5" x14ac:dyDescent="0.3">
      <c r="A1865" s="3" t="s">
        <v>36</v>
      </c>
      <c r="B1865" s="3" t="s">
        <v>37</v>
      </c>
      <c r="C1865" s="3" t="s">
        <v>38</v>
      </c>
      <c r="D1865" s="4">
        <f t="shared" ca="1" si="21"/>
        <v>45941</v>
      </c>
      <c r="E1865" s="3" t="s">
        <v>39</v>
      </c>
    </row>
    <row r="1866" spans="1:5" x14ac:dyDescent="0.3">
      <c r="A1866" s="3" t="s">
        <v>24</v>
      </c>
      <c r="B1866" s="3" t="s">
        <v>25</v>
      </c>
      <c r="C1866" s="3" t="s">
        <v>82</v>
      </c>
      <c r="D1866" s="4">
        <f t="shared" ca="1" si="21"/>
        <v>45941</v>
      </c>
      <c r="E1866" s="3" t="s">
        <v>39</v>
      </c>
    </row>
    <row r="1867" spans="1:5" x14ac:dyDescent="0.3">
      <c r="A1867" s="3" t="s">
        <v>377</v>
      </c>
      <c r="B1867" s="3" t="s">
        <v>50</v>
      </c>
      <c r="C1867" s="3" t="s">
        <v>378</v>
      </c>
      <c r="D1867" s="4">
        <f t="shared" ca="1" si="21"/>
        <v>45941</v>
      </c>
      <c r="E1867" s="3" t="s">
        <v>60</v>
      </c>
    </row>
    <row r="1868" spans="1:5" x14ac:dyDescent="0.3">
      <c r="A1868" s="3" t="s">
        <v>684</v>
      </c>
      <c r="B1868" s="3" t="s">
        <v>65</v>
      </c>
      <c r="C1868" s="3" t="s">
        <v>685</v>
      </c>
      <c r="D1868" s="4">
        <f t="shared" ca="1" si="21"/>
        <v>45941</v>
      </c>
      <c r="E1868" s="3" t="s">
        <v>27</v>
      </c>
    </row>
    <row r="1869" spans="1:5" x14ac:dyDescent="0.3">
      <c r="A1869" s="3" t="s">
        <v>639</v>
      </c>
      <c r="B1869" s="3" t="s">
        <v>65</v>
      </c>
      <c r="C1869" s="3" t="s">
        <v>640</v>
      </c>
      <c r="D1869" s="4">
        <f t="shared" ca="1" si="21"/>
        <v>45941</v>
      </c>
      <c r="E1869" s="3" t="s">
        <v>31</v>
      </c>
    </row>
    <row r="1870" spans="1:5" x14ac:dyDescent="0.3">
      <c r="A1870" s="3" t="s">
        <v>286</v>
      </c>
      <c r="B1870" s="3" t="s">
        <v>178</v>
      </c>
      <c r="C1870" s="3" t="s">
        <v>287</v>
      </c>
      <c r="D1870" s="4">
        <f t="shared" ca="1" si="21"/>
        <v>45941</v>
      </c>
      <c r="E1870" s="3" t="s">
        <v>60</v>
      </c>
    </row>
    <row r="1871" spans="1:5" x14ac:dyDescent="0.3">
      <c r="A1871" s="3" t="s">
        <v>52</v>
      </c>
      <c r="B1871" s="3" t="s">
        <v>37</v>
      </c>
      <c r="C1871" s="3" t="s">
        <v>76</v>
      </c>
      <c r="D1871" s="4">
        <f t="shared" ca="1" si="21"/>
        <v>45941</v>
      </c>
      <c r="E1871" s="3" t="s">
        <v>35</v>
      </c>
    </row>
    <row r="1872" spans="1:5" x14ac:dyDescent="0.3">
      <c r="A1872" s="3" t="s">
        <v>657</v>
      </c>
      <c r="B1872" s="3" t="s">
        <v>65</v>
      </c>
      <c r="C1872" s="3" t="s">
        <v>658</v>
      </c>
      <c r="D1872" s="4">
        <f t="shared" ca="1" si="21"/>
        <v>45941</v>
      </c>
      <c r="E1872" s="3" t="s">
        <v>27</v>
      </c>
    </row>
    <row r="1873" spans="1:5" x14ac:dyDescent="0.3">
      <c r="A1873" s="3" t="s">
        <v>719</v>
      </c>
      <c r="B1873" s="3" t="s">
        <v>193</v>
      </c>
      <c r="C1873" s="3" t="s">
        <v>720</v>
      </c>
      <c r="D1873" s="4">
        <f t="shared" ca="1" si="21"/>
        <v>45941</v>
      </c>
      <c r="E1873" s="3" t="s">
        <v>56</v>
      </c>
    </row>
    <row r="1874" spans="1:5" x14ac:dyDescent="0.3">
      <c r="A1874" s="3" t="s">
        <v>288</v>
      </c>
      <c r="B1874" s="3" t="s">
        <v>37</v>
      </c>
      <c r="C1874" s="3" t="s">
        <v>787</v>
      </c>
      <c r="D1874" s="4">
        <f t="shared" ca="1" si="21"/>
        <v>45941</v>
      </c>
      <c r="E1874" s="3" t="s">
        <v>56</v>
      </c>
    </row>
    <row r="1875" spans="1:5" x14ac:dyDescent="0.3">
      <c r="A1875" s="3" t="s">
        <v>177</v>
      </c>
      <c r="B1875" s="3" t="s">
        <v>178</v>
      </c>
      <c r="C1875" s="3" t="s">
        <v>179</v>
      </c>
      <c r="D1875" s="4">
        <f t="shared" ca="1" si="21"/>
        <v>45941</v>
      </c>
      <c r="E1875" s="3" t="s">
        <v>39</v>
      </c>
    </row>
    <row r="1876" spans="1:5" x14ac:dyDescent="0.3">
      <c r="A1876" s="3" t="s">
        <v>803</v>
      </c>
      <c r="B1876" s="3" t="s">
        <v>157</v>
      </c>
      <c r="C1876" s="3" t="s">
        <v>804</v>
      </c>
      <c r="D1876" s="4">
        <f t="shared" ca="1" si="21"/>
        <v>45941</v>
      </c>
      <c r="E1876" s="3" t="s">
        <v>31</v>
      </c>
    </row>
    <row r="1877" spans="1:5" x14ac:dyDescent="0.3">
      <c r="A1877" s="3" t="s">
        <v>439</v>
      </c>
      <c r="B1877" s="3" t="s">
        <v>65</v>
      </c>
      <c r="C1877" s="3" t="s">
        <v>440</v>
      </c>
      <c r="D1877" s="4">
        <f t="shared" ca="1" si="21"/>
        <v>45941</v>
      </c>
      <c r="E1877" s="3" t="s">
        <v>27</v>
      </c>
    </row>
    <row r="1878" spans="1:5" x14ac:dyDescent="0.3">
      <c r="A1878" s="3" t="s">
        <v>607</v>
      </c>
      <c r="B1878" s="3" t="s">
        <v>284</v>
      </c>
      <c r="C1878" s="3" t="s">
        <v>608</v>
      </c>
      <c r="D1878" s="4">
        <f t="shared" ca="1" si="21"/>
        <v>45941</v>
      </c>
      <c r="E1878" s="3" t="s">
        <v>39</v>
      </c>
    </row>
    <row r="1879" spans="1:5" x14ac:dyDescent="0.3">
      <c r="A1879" s="3" t="s">
        <v>810</v>
      </c>
      <c r="B1879" s="3" t="s">
        <v>261</v>
      </c>
      <c r="C1879" s="3" t="s">
        <v>811</v>
      </c>
      <c r="D1879" s="4">
        <f t="shared" ca="1" si="21"/>
        <v>45941</v>
      </c>
      <c r="E1879" s="3" t="s">
        <v>27</v>
      </c>
    </row>
    <row r="1880" spans="1:5" x14ac:dyDescent="0.3">
      <c r="A1880" s="3" t="s">
        <v>230</v>
      </c>
      <c r="B1880" s="3" t="s">
        <v>118</v>
      </c>
      <c r="C1880" s="3" t="s">
        <v>119</v>
      </c>
      <c r="D1880" s="4">
        <f t="shared" ref="D1880:D1987" ca="1" si="22">TODAY()-65</f>
        <v>45972</v>
      </c>
      <c r="E1880" s="3" t="s">
        <v>56</v>
      </c>
    </row>
    <row r="1881" spans="1:5" x14ac:dyDescent="0.3">
      <c r="A1881" s="3" t="s">
        <v>604</v>
      </c>
      <c r="B1881" s="3" t="s">
        <v>50</v>
      </c>
      <c r="C1881" s="3" t="s">
        <v>652</v>
      </c>
      <c r="D1881" s="4">
        <f t="shared" ca="1" si="22"/>
        <v>45972</v>
      </c>
      <c r="E1881" s="3" t="s">
        <v>60</v>
      </c>
    </row>
    <row r="1882" spans="1:5" x14ac:dyDescent="0.3">
      <c r="A1882" s="3" t="s">
        <v>813</v>
      </c>
      <c r="B1882" s="3" t="s">
        <v>641</v>
      </c>
      <c r="C1882" s="3" t="s">
        <v>814</v>
      </c>
      <c r="D1882" s="4">
        <f t="shared" ca="1" si="22"/>
        <v>45972</v>
      </c>
      <c r="E1882" s="3" t="s">
        <v>60</v>
      </c>
    </row>
    <row r="1883" spans="1:5" x14ac:dyDescent="0.3">
      <c r="A1883" s="3" t="s">
        <v>501</v>
      </c>
      <c r="B1883" s="3" t="s">
        <v>157</v>
      </c>
      <c r="C1883" s="3" t="s">
        <v>502</v>
      </c>
      <c r="D1883" s="4">
        <f t="shared" ca="1" si="22"/>
        <v>45972</v>
      </c>
      <c r="E1883" s="3" t="s">
        <v>56</v>
      </c>
    </row>
    <row r="1884" spans="1:5" x14ac:dyDescent="0.3">
      <c r="A1884" s="3" t="s">
        <v>491</v>
      </c>
      <c r="B1884" s="3" t="s">
        <v>62</v>
      </c>
      <c r="C1884" s="3" t="s">
        <v>492</v>
      </c>
      <c r="D1884" s="4">
        <f t="shared" ca="1" si="22"/>
        <v>45972</v>
      </c>
      <c r="E1884" s="3" t="s">
        <v>35</v>
      </c>
    </row>
    <row r="1885" spans="1:5" x14ac:dyDescent="0.3">
      <c r="A1885" s="3" t="s">
        <v>211</v>
      </c>
      <c r="B1885" s="3" t="s">
        <v>212</v>
      </c>
      <c r="C1885" s="3" t="s">
        <v>169</v>
      </c>
      <c r="D1885" s="4">
        <f t="shared" ca="1" si="22"/>
        <v>45972</v>
      </c>
      <c r="E1885" s="3" t="s">
        <v>56</v>
      </c>
    </row>
    <row r="1886" spans="1:5" x14ac:dyDescent="0.3">
      <c r="A1886" s="3" t="s">
        <v>152</v>
      </c>
      <c r="B1886" s="3" t="s">
        <v>93</v>
      </c>
      <c r="C1886" s="3" t="s">
        <v>484</v>
      </c>
      <c r="D1886" s="4">
        <f t="shared" ca="1" si="22"/>
        <v>45972</v>
      </c>
      <c r="E1886" s="3" t="s">
        <v>27</v>
      </c>
    </row>
    <row r="1887" spans="1:5" x14ac:dyDescent="0.3">
      <c r="A1887" s="3" t="s">
        <v>797</v>
      </c>
      <c r="B1887" s="3" t="s">
        <v>695</v>
      </c>
      <c r="C1887" s="3" t="s">
        <v>798</v>
      </c>
      <c r="D1887" s="4">
        <f t="shared" ca="1" si="22"/>
        <v>45972</v>
      </c>
      <c r="E1887" s="3" t="s">
        <v>60</v>
      </c>
    </row>
    <row r="1888" spans="1:5" x14ac:dyDescent="0.3">
      <c r="A1888" s="3" t="s">
        <v>192</v>
      </c>
      <c r="B1888" s="3" t="s">
        <v>193</v>
      </c>
      <c r="C1888" s="3" t="s">
        <v>755</v>
      </c>
      <c r="D1888" s="4">
        <f t="shared" ca="1" si="22"/>
        <v>45972</v>
      </c>
      <c r="E1888" s="3" t="s">
        <v>39</v>
      </c>
    </row>
    <row r="1889" spans="1:5" x14ac:dyDescent="0.3">
      <c r="A1889" s="3" t="s">
        <v>290</v>
      </c>
      <c r="B1889" s="3" t="s">
        <v>58</v>
      </c>
      <c r="C1889" s="3" t="s">
        <v>291</v>
      </c>
      <c r="D1889" s="4">
        <f t="shared" ca="1" si="22"/>
        <v>45972</v>
      </c>
      <c r="E1889" s="3" t="s">
        <v>39</v>
      </c>
    </row>
    <row r="1890" spans="1:5" x14ac:dyDescent="0.3">
      <c r="A1890" s="3" t="s">
        <v>321</v>
      </c>
      <c r="B1890" s="3" t="s">
        <v>71</v>
      </c>
      <c r="C1890" s="3" t="s">
        <v>322</v>
      </c>
      <c r="D1890" s="4">
        <f t="shared" ca="1" si="22"/>
        <v>45972</v>
      </c>
      <c r="E1890" s="3" t="s">
        <v>39</v>
      </c>
    </row>
    <row r="1891" spans="1:5" x14ac:dyDescent="0.3">
      <c r="A1891" s="3" t="s">
        <v>175</v>
      </c>
      <c r="B1891" s="3" t="s">
        <v>93</v>
      </c>
      <c r="C1891" s="3" t="s">
        <v>176</v>
      </c>
      <c r="D1891" s="4">
        <f t="shared" ca="1" si="22"/>
        <v>45972</v>
      </c>
      <c r="E1891" s="3" t="s">
        <v>60</v>
      </c>
    </row>
    <row r="1892" spans="1:5" x14ac:dyDescent="0.3">
      <c r="A1892" s="3" t="s">
        <v>418</v>
      </c>
      <c r="B1892" s="3" t="s">
        <v>47</v>
      </c>
      <c r="C1892" s="3" t="s">
        <v>419</v>
      </c>
      <c r="D1892" s="4">
        <f t="shared" ca="1" si="22"/>
        <v>45972</v>
      </c>
      <c r="E1892" s="3" t="s">
        <v>60</v>
      </c>
    </row>
    <row r="1893" spans="1:5" x14ac:dyDescent="0.3">
      <c r="A1893" s="3" t="s">
        <v>734</v>
      </c>
      <c r="B1893" s="3" t="s">
        <v>47</v>
      </c>
      <c r="C1893" s="3" t="s">
        <v>735</v>
      </c>
      <c r="D1893" s="4">
        <f t="shared" ca="1" si="22"/>
        <v>45972</v>
      </c>
      <c r="E1893" s="3" t="s">
        <v>31</v>
      </c>
    </row>
    <row r="1894" spans="1:5" x14ac:dyDescent="0.3">
      <c r="A1894" s="3" t="s">
        <v>288</v>
      </c>
      <c r="B1894" s="3" t="s">
        <v>50</v>
      </c>
      <c r="C1894" s="3" t="s">
        <v>289</v>
      </c>
      <c r="D1894" s="4">
        <f t="shared" ca="1" si="22"/>
        <v>45972</v>
      </c>
      <c r="E1894" s="3" t="s">
        <v>35</v>
      </c>
    </row>
    <row r="1895" spans="1:5" x14ac:dyDescent="0.3">
      <c r="A1895" s="3" t="s">
        <v>441</v>
      </c>
      <c r="B1895" s="3" t="s">
        <v>442</v>
      </c>
      <c r="C1895" s="3" t="s">
        <v>350</v>
      </c>
      <c r="D1895" s="4">
        <f t="shared" ca="1" si="22"/>
        <v>45972</v>
      </c>
      <c r="E1895" s="3" t="s">
        <v>39</v>
      </c>
    </row>
    <row r="1896" spans="1:5" x14ac:dyDescent="0.3">
      <c r="A1896" s="3" t="s">
        <v>746</v>
      </c>
      <c r="B1896" s="3" t="s">
        <v>25</v>
      </c>
      <c r="C1896" s="3" t="s">
        <v>747</v>
      </c>
      <c r="D1896" s="4">
        <f t="shared" ca="1" si="22"/>
        <v>45972</v>
      </c>
      <c r="E1896" s="3" t="s">
        <v>60</v>
      </c>
    </row>
    <row r="1897" spans="1:5" x14ac:dyDescent="0.3">
      <c r="A1897" s="3" t="s">
        <v>226</v>
      </c>
      <c r="B1897" s="3" t="s">
        <v>124</v>
      </c>
      <c r="C1897" s="3" t="s">
        <v>227</v>
      </c>
      <c r="D1897" s="4">
        <f t="shared" ca="1" si="22"/>
        <v>45972</v>
      </c>
      <c r="E1897" s="3" t="s">
        <v>39</v>
      </c>
    </row>
    <row r="1898" spans="1:5" x14ac:dyDescent="0.3">
      <c r="A1898" s="3" t="s">
        <v>543</v>
      </c>
      <c r="B1898" s="3" t="s">
        <v>326</v>
      </c>
      <c r="C1898" s="3" t="s">
        <v>544</v>
      </c>
      <c r="D1898" s="4">
        <f t="shared" ca="1" si="22"/>
        <v>45972</v>
      </c>
      <c r="E1898" s="3" t="s">
        <v>31</v>
      </c>
    </row>
    <row r="1899" spans="1:5" x14ac:dyDescent="0.3">
      <c r="A1899" s="3" t="s">
        <v>508</v>
      </c>
      <c r="B1899" s="3" t="s">
        <v>98</v>
      </c>
      <c r="C1899" s="3" t="s">
        <v>509</v>
      </c>
      <c r="D1899" s="4">
        <f t="shared" ca="1" si="22"/>
        <v>45972</v>
      </c>
      <c r="E1899" s="3" t="s">
        <v>39</v>
      </c>
    </row>
    <row r="1900" spans="1:5" x14ac:dyDescent="0.3">
      <c r="A1900" s="3" t="s">
        <v>109</v>
      </c>
      <c r="B1900" s="3" t="s">
        <v>37</v>
      </c>
      <c r="C1900" s="3" t="s">
        <v>606</v>
      </c>
      <c r="D1900" s="4">
        <f t="shared" ca="1" si="22"/>
        <v>45972</v>
      </c>
      <c r="E1900" s="3" t="s">
        <v>31</v>
      </c>
    </row>
    <row r="1901" spans="1:5" x14ac:dyDescent="0.3">
      <c r="A1901" s="3" t="s">
        <v>201</v>
      </c>
      <c r="B1901" s="3" t="s">
        <v>37</v>
      </c>
      <c r="C1901" s="3" t="s">
        <v>202</v>
      </c>
      <c r="D1901" s="4">
        <f t="shared" ca="1" si="22"/>
        <v>45972</v>
      </c>
      <c r="E1901" s="3" t="s">
        <v>35</v>
      </c>
    </row>
    <row r="1902" spans="1:5" x14ac:dyDescent="0.3">
      <c r="A1902" s="3" t="s">
        <v>807</v>
      </c>
      <c r="B1902" s="3" t="s">
        <v>808</v>
      </c>
      <c r="C1902" s="3" t="s">
        <v>809</v>
      </c>
      <c r="D1902" s="4">
        <f t="shared" ca="1" si="22"/>
        <v>45972</v>
      </c>
      <c r="E1902" s="3" t="s">
        <v>60</v>
      </c>
    </row>
    <row r="1903" spans="1:5" x14ac:dyDescent="0.3">
      <c r="A1903" s="3" t="s">
        <v>801</v>
      </c>
      <c r="B1903" s="3" t="s">
        <v>669</v>
      </c>
      <c r="C1903" s="3" t="s">
        <v>802</v>
      </c>
      <c r="D1903" s="4">
        <f t="shared" ca="1" si="22"/>
        <v>45972</v>
      </c>
      <c r="E1903" s="3" t="s">
        <v>56</v>
      </c>
    </row>
    <row r="1904" spans="1:5" x14ac:dyDescent="0.3">
      <c r="A1904" s="3" t="s">
        <v>114</v>
      </c>
      <c r="B1904" s="3" t="s">
        <v>44</v>
      </c>
      <c r="C1904" s="3" t="s">
        <v>115</v>
      </c>
      <c r="D1904" s="4">
        <f t="shared" ca="1" si="22"/>
        <v>45972</v>
      </c>
      <c r="E1904" s="3" t="s">
        <v>35</v>
      </c>
    </row>
    <row r="1905" spans="1:5" x14ac:dyDescent="0.3">
      <c r="A1905" s="3" t="s">
        <v>576</v>
      </c>
      <c r="B1905" s="3" t="s">
        <v>162</v>
      </c>
      <c r="C1905" s="3" t="s">
        <v>765</v>
      </c>
      <c r="D1905" s="4">
        <f t="shared" ca="1" si="22"/>
        <v>45972</v>
      </c>
      <c r="E1905" s="3" t="s">
        <v>27</v>
      </c>
    </row>
    <row r="1906" spans="1:5" x14ac:dyDescent="0.3">
      <c r="A1906" s="3" t="s">
        <v>370</v>
      </c>
      <c r="B1906" s="3" t="s">
        <v>71</v>
      </c>
      <c r="C1906" s="3" t="s">
        <v>371</v>
      </c>
      <c r="D1906" s="4">
        <f t="shared" ca="1" si="22"/>
        <v>45972</v>
      </c>
      <c r="E1906" s="3" t="s">
        <v>60</v>
      </c>
    </row>
    <row r="1907" spans="1:5" x14ac:dyDescent="0.3">
      <c r="A1907" s="3" t="s">
        <v>314</v>
      </c>
      <c r="B1907" s="3" t="s">
        <v>641</v>
      </c>
      <c r="C1907" s="3" t="s">
        <v>642</v>
      </c>
      <c r="D1907" s="4">
        <f t="shared" ca="1" si="22"/>
        <v>45972</v>
      </c>
      <c r="E1907" s="3" t="s">
        <v>56</v>
      </c>
    </row>
    <row r="1908" spans="1:5" x14ac:dyDescent="0.3">
      <c r="A1908" s="3" t="s">
        <v>271</v>
      </c>
      <c r="B1908" s="3" t="s">
        <v>564</v>
      </c>
      <c r="C1908" s="3" t="s">
        <v>565</v>
      </c>
      <c r="D1908" s="4">
        <f t="shared" ca="1" si="22"/>
        <v>45972</v>
      </c>
      <c r="E1908" s="3" t="s">
        <v>60</v>
      </c>
    </row>
    <row r="1909" spans="1:5" x14ac:dyDescent="0.3">
      <c r="A1909" s="3" t="s">
        <v>543</v>
      </c>
      <c r="B1909" s="3" t="s">
        <v>326</v>
      </c>
      <c r="C1909" s="3" t="s">
        <v>544</v>
      </c>
      <c r="D1909" s="4">
        <f t="shared" ca="1" si="22"/>
        <v>45972</v>
      </c>
      <c r="E1909" s="3" t="s">
        <v>31</v>
      </c>
    </row>
    <row r="1910" spans="1:5" x14ac:dyDescent="0.3">
      <c r="A1910" s="3" t="s">
        <v>698</v>
      </c>
      <c r="B1910" s="3" t="s">
        <v>275</v>
      </c>
      <c r="C1910" s="3" t="s">
        <v>699</v>
      </c>
      <c r="D1910" s="4">
        <f t="shared" ca="1" si="22"/>
        <v>45972</v>
      </c>
      <c r="E1910" s="3" t="s">
        <v>27</v>
      </c>
    </row>
    <row r="1911" spans="1:5" x14ac:dyDescent="0.3">
      <c r="A1911" s="3" t="s">
        <v>365</v>
      </c>
      <c r="B1911" s="3" t="s">
        <v>58</v>
      </c>
      <c r="C1911" s="3" t="s">
        <v>366</v>
      </c>
      <c r="D1911" s="4">
        <f t="shared" ca="1" si="22"/>
        <v>45972</v>
      </c>
      <c r="E1911" s="3" t="s">
        <v>39</v>
      </c>
    </row>
    <row r="1912" spans="1:5" x14ac:dyDescent="0.3">
      <c r="A1912" s="3" t="s">
        <v>132</v>
      </c>
      <c r="B1912" s="3" t="s">
        <v>133</v>
      </c>
      <c r="C1912" s="3" t="s">
        <v>134</v>
      </c>
      <c r="D1912" s="4">
        <f t="shared" ca="1" si="22"/>
        <v>45972</v>
      </c>
      <c r="E1912" s="3" t="s">
        <v>60</v>
      </c>
    </row>
    <row r="1913" spans="1:5" x14ac:dyDescent="0.3">
      <c r="A1913" s="3" t="s">
        <v>473</v>
      </c>
      <c r="B1913" s="3" t="s">
        <v>65</v>
      </c>
      <c r="C1913" s="3" t="s">
        <v>474</v>
      </c>
      <c r="D1913" s="4">
        <f t="shared" ca="1" si="22"/>
        <v>45972</v>
      </c>
      <c r="E1913" s="3" t="s">
        <v>60</v>
      </c>
    </row>
    <row r="1914" spans="1:5" x14ac:dyDescent="0.3">
      <c r="A1914" s="3" t="s">
        <v>400</v>
      </c>
      <c r="B1914" s="3" t="s">
        <v>37</v>
      </c>
      <c r="C1914" s="3" t="s">
        <v>401</v>
      </c>
      <c r="D1914" s="4">
        <f t="shared" ca="1" si="22"/>
        <v>45972</v>
      </c>
      <c r="E1914" s="3" t="s">
        <v>35</v>
      </c>
    </row>
    <row r="1915" spans="1:5" x14ac:dyDescent="0.3">
      <c r="A1915" s="3" t="s">
        <v>506</v>
      </c>
      <c r="B1915" s="3" t="s">
        <v>157</v>
      </c>
      <c r="C1915" s="3" t="s">
        <v>507</v>
      </c>
      <c r="D1915" s="4">
        <f t="shared" ca="1" si="22"/>
        <v>45972</v>
      </c>
      <c r="E1915" s="3" t="s">
        <v>56</v>
      </c>
    </row>
    <row r="1916" spans="1:5" x14ac:dyDescent="0.3">
      <c r="A1916" s="3" t="s">
        <v>557</v>
      </c>
      <c r="B1916" s="3" t="s">
        <v>87</v>
      </c>
      <c r="C1916" s="3" t="s">
        <v>558</v>
      </c>
      <c r="D1916" s="4">
        <f t="shared" ca="1" si="22"/>
        <v>45972</v>
      </c>
      <c r="E1916" s="3" t="s">
        <v>39</v>
      </c>
    </row>
    <row r="1917" spans="1:5" x14ac:dyDescent="0.3">
      <c r="A1917" s="3" t="s">
        <v>95</v>
      </c>
      <c r="B1917" s="3" t="s">
        <v>58</v>
      </c>
      <c r="C1917" s="3" t="s">
        <v>96</v>
      </c>
      <c r="D1917" s="4">
        <f t="shared" ca="1" si="22"/>
        <v>45972</v>
      </c>
      <c r="E1917" s="3" t="s">
        <v>39</v>
      </c>
    </row>
    <row r="1918" spans="1:5" x14ac:dyDescent="0.3">
      <c r="A1918" s="3" t="s">
        <v>314</v>
      </c>
      <c r="B1918" s="3" t="s">
        <v>351</v>
      </c>
      <c r="C1918" s="3" t="s">
        <v>352</v>
      </c>
      <c r="D1918" s="4">
        <f t="shared" ca="1" si="22"/>
        <v>45972</v>
      </c>
      <c r="E1918" s="3" t="s">
        <v>56</v>
      </c>
    </row>
    <row r="1919" spans="1:5" x14ac:dyDescent="0.3">
      <c r="A1919" s="3" t="s">
        <v>710</v>
      </c>
      <c r="B1919" s="3" t="s">
        <v>193</v>
      </c>
      <c r="C1919" s="3" t="s">
        <v>200</v>
      </c>
      <c r="D1919" s="4">
        <f t="shared" ca="1" si="22"/>
        <v>45972</v>
      </c>
      <c r="E1919" s="3" t="s">
        <v>39</v>
      </c>
    </row>
    <row r="1920" spans="1:5" x14ac:dyDescent="0.3">
      <c r="A1920" s="3" t="s">
        <v>790</v>
      </c>
      <c r="B1920" s="3" t="s">
        <v>326</v>
      </c>
      <c r="C1920" s="3" t="s">
        <v>791</v>
      </c>
      <c r="D1920" s="4">
        <f t="shared" ca="1" si="22"/>
        <v>45972</v>
      </c>
      <c r="E1920" s="3" t="s">
        <v>56</v>
      </c>
    </row>
    <row r="1921" spans="1:5" x14ac:dyDescent="0.3">
      <c r="A1921" s="3" t="s">
        <v>259</v>
      </c>
      <c r="B1921" s="3" t="s">
        <v>47</v>
      </c>
      <c r="C1921" s="3" t="s">
        <v>260</v>
      </c>
      <c r="D1921" s="4">
        <f t="shared" ca="1" si="22"/>
        <v>45972</v>
      </c>
      <c r="E1921" s="3" t="s">
        <v>39</v>
      </c>
    </row>
    <row r="1922" spans="1:5" x14ac:dyDescent="0.3">
      <c r="A1922" s="3" t="s">
        <v>680</v>
      </c>
      <c r="B1922" s="3" t="s">
        <v>74</v>
      </c>
      <c r="C1922" s="3" t="s">
        <v>681</v>
      </c>
      <c r="D1922" s="4">
        <f t="shared" ca="1" si="22"/>
        <v>45972</v>
      </c>
      <c r="E1922" s="3" t="s">
        <v>39</v>
      </c>
    </row>
    <row r="1923" spans="1:5" x14ac:dyDescent="0.3">
      <c r="A1923" s="3" t="s">
        <v>102</v>
      </c>
      <c r="B1923" s="3" t="s">
        <v>37</v>
      </c>
      <c r="C1923" s="3" t="s">
        <v>103</v>
      </c>
      <c r="D1923" s="4">
        <f t="shared" ca="1" si="22"/>
        <v>45972</v>
      </c>
      <c r="E1923" s="3" t="s">
        <v>35</v>
      </c>
    </row>
    <row r="1924" spans="1:5" x14ac:dyDescent="0.3">
      <c r="A1924" s="3" t="s">
        <v>616</v>
      </c>
      <c r="B1924" s="3" t="s">
        <v>617</v>
      </c>
      <c r="C1924" s="3" t="s">
        <v>618</v>
      </c>
      <c r="D1924" s="4">
        <f t="shared" ca="1" si="22"/>
        <v>45972</v>
      </c>
      <c r="E1924" s="3" t="s">
        <v>39</v>
      </c>
    </row>
    <row r="1925" spans="1:5" x14ac:dyDescent="0.3">
      <c r="A1925" s="3" t="s">
        <v>807</v>
      </c>
      <c r="B1925" s="3" t="s">
        <v>808</v>
      </c>
      <c r="C1925" s="3" t="s">
        <v>809</v>
      </c>
      <c r="D1925" s="4">
        <f t="shared" ca="1" si="22"/>
        <v>45972</v>
      </c>
      <c r="E1925" s="3" t="s">
        <v>60</v>
      </c>
    </row>
    <row r="1926" spans="1:5" x14ac:dyDescent="0.3">
      <c r="A1926" s="3" t="s">
        <v>232</v>
      </c>
      <c r="B1926" s="3" t="s">
        <v>41</v>
      </c>
      <c r="C1926" s="3" t="s">
        <v>233</v>
      </c>
      <c r="D1926" s="4">
        <f t="shared" ca="1" si="22"/>
        <v>45972</v>
      </c>
      <c r="E1926" s="3" t="s">
        <v>27</v>
      </c>
    </row>
    <row r="1927" spans="1:5" x14ac:dyDescent="0.3">
      <c r="A1927" s="3" t="s">
        <v>120</v>
      </c>
      <c r="B1927" s="3" t="s">
        <v>121</v>
      </c>
      <c r="C1927" s="3" t="s">
        <v>122</v>
      </c>
      <c r="D1927" s="4">
        <f t="shared" ca="1" si="22"/>
        <v>45972</v>
      </c>
      <c r="E1927" s="3" t="s">
        <v>39</v>
      </c>
    </row>
    <row r="1928" spans="1:5" x14ac:dyDescent="0.3">
      <c r="A1928" s="3" t="s">
        <v>782</v>
      </c>
      <c r="B1928" s="3" t="s">
        <v>98</v>
      </c>
      <c r="C1928" s="3" t="s">
        <v>783</v>
      </c>
      <c r="D1928" s="4">
        <f t="shared" ca="1" si="22"/>
        <v>45972</v>
      </c>
      <c r="E1928" s="3" t="s">
        <v>39</v>
      </c>
    </row>
    <row r="1929" spans="1:5" x14ac:dyDescent="0.3">
      <c r="A1929" s="3" t="s">
        <v>807</v>
      </c>
      <c r="B1929" s="3" t="s">
        <v>808</v>
      </c>
      <c r="C1929" s="3" t="s">
        <v>809</v>
      </c>
      <c r="D1929" s="4">
        <f t="shared" ca="1" si="22"/>
        <v>45972</v>
      </c>
      <c r="E1929" s="3" t="s">
        <v>60</v>
      </c>
    </row>
    <row r="1930" spans="1:5" x14ac:dyDescent="0.3">
      <c r="A1930" s="3" t="s">
        <v>712</v>
      </c>
      <c r="B1930" s="3" t="s">
        <v>44</v>
      </c>
      <c r="C1930" s="3" t="s">
        <v>713</v>
      </c>
      <c r="D1930" s="4">
        <f t="shared" ca="1" si="22"/>
        <v>45972</v>
      </c>
      <c r="E1930" s="3" t="s">
        <v>39</v>
      </c>
    </row>
    <row r="1931" spans="1:5" x14ac:dyDescent="0.3">
      <c r="A1931" s="3" t="s">
        <v>634</v>
      </c>
      <c r="B1931" s="3" t="s">
        <v>71</v>
      </c>
      <c r="C1931" s="3" t="s">
        <v>635</v>
      </c>
      <c r="D1931" s="4">
        <f t="shared" ca="1" si="22"/>
        <v>45972</v>
      </c>
      <c r="E1931" s="3" t="s">
        <v>56</v>
      </c>
    </row>
    <row r="1932" spans="1:5" x14ac:dyDescent="0.3">
      <c r="A1932" s="3" t="s">
        <v>596</v>
      </c>
      <c r="B1932" s="3" t="s">
        <v>93</v>
      </c>
      <c r="C1932" s="3" t="s">
        <v>597</v>
      </c>
      <c r="D1932" s="4">
        <f t="shared" ca="1" si="22"/>
        <v>45972</v>
      </c>
      <c r="E1932" s="3" t="s">
        <v>27</v>
      </c>
    </row>
    <row r="1933" spans="1:5" x14ac:dyDescent="0.3">
      <c r="A1933" s="3" t="s">
        <v>779</v>
      </c>
      <c r="B1933" s="3" t="s">
        <v>780</v>
      </c>
      <c r="C1933" s="3" t="s">
        <v>781</v>
      </c>
      <c r="D1933" s="4">
        <f t="shared" ca="1" si="22"/>
        <v>45972</v>
      </c>
      <c r="E1933" s="3" t="s">
        <v>35</v>
      </c>
    </row>
    <row r="1934" spans="1:5" x14ac:dyDescent="0.3">
      <c r="A1934" s="3" t="s">
        <v>281</v>
      </c>
      <c r="B1934" s="3" t="s">
        <v>65</v>
      </c>
      <c r="C1934" s="3" t="s">
        <v>48</v>
      </c>
      <c r="D1934" s="4">
        <f t="shared" ca="1" si="22"/>
        <v>45972</v>
      </c>
      <c r="E1934" s="3" t="s">
        <v>27</v>
      </c>
    </row>
    <row r="1935" spans="1:5" x14ac:dyDescent="0.3">
      <c r="A1935" s="3" t="s">
        <v>425</v>
      </c>
      <c r="B1935" s="3" t="s">
        <v>165</v>
      </c>
      <c r="C1935" s="3" t="s">
        <v>426</v>
      </c>
      <c r="D1935" s="4">
        <f t="shared" ca="1" si="22"/>
        <v>45972</v>
      </c>
      <c r="E1935" s="3" t="s">
        <v>39</v>
      </c>
    </row>
    <row r="1936" spans="1:5" x14ac:dyDescent="0.3">
      <c r="A1936" s="3" t="s">
        <v>782</v>
      </c>
      <c r="B1936" s="3" t="s">
        <v>98</v>
      </c>
      <c r="C1936" s="3" t="s">
        <v>783</v>
      </c>
      <c r="D1936" s="4">
        <f t="shared" ca="1" si="22"/>
        <v>45972</v>
      </c>
      <c r="E1936" s="3" t="s">
        <v>39</v>
      </c>
    </row>
    <row r="1937" spans="1:5" x14ac:dyDescent="0.3">
      <c r="A1937" s="3" t="s">
        <v>525</v>
      </c>
      <c r="B1937" s="3" t="s">
        <v>326</v>
      </c>
      <c r="C1937" s="3" t="s">
        <v>526</v>
      </c>
      <c r="D1937" s="4">
        <f t="shared" ca="1" si="22"/>
        <v>45972</v>
      </c>
      <c r="E1937" s="3" t="s">
        <v>39</v>
      </c>
    </row>
    <row r="1938" spans="1:5" x14ac:dyDescent="0.3">
      <c r="A1938" s="3" t="s">
        <v>425</v>
      </c>
      <c r="B1938" s="3" t="s">
        <v>165</v>
      </c>
      <c r="C1938" s="3" t="s">
        <v>426</v>
      </c>
      <c r="D1938" s="4">
        <f t="shared" ca="1" si="22"/>
        <v>45972</v>
      </c>
      <c r="E1938" s="3" t="s">
        <v>39</v>
      </c>
    </row>
    <row r="1939" spans="1:5" x14ac:dyDescent="0.3">
      <c r="A1939" s="3" t="s">
        <v>114</v>
      </c>
      <c r="B1939" s="3" t="s">
        <v>44</v>
      </c>
      <c r="C1939" s="3" t="s">
        <v>115</v>
      </c>
      <c r="D1939" s="4">
        <f t="shared" ca="1" si="22"/>
        <v>45972</v>
      </c>
      <c r="E1939" s="3" t="s">
        <v>35</v>
      </c>
    </row>
    <row r="1940" spans="1:5" x14ac:dyDescent="0.3">
      <c r="A1940" s="3" t="s">
        <v>130</v>
      </c>
      <c r="B1940" s="3" t="s">
        <v>118</v>
      </c>
      <c r="C1940" s="3" t="s">
        <v>817</v>
      </c>
      <c r="D1940" s="4">
        <f t="shared" ca="1" si="22"/>
        <v>45972</v>
      </c>
      <c r="E1940" s="3" t="s">
        <v>27</v>
      </c>
    </row>
    <row r="1941" spans="1:5" x14ac:dyDescent="0.3">
      <c r="A1941" s="3" t="s">
        <v>435</v>
      </c>
      <c r="B1941" s="3" t="s">
        <v>65</v>
      </c>
      <c r="C1941" s="3" t="s">
        <v>436</v>
      </c>
      <c r="D1941" s="4">
        <f t="shared" ca="1" si="22"/>
        <v>45972</v>
      </c>
      <c r="E1941" s="3" t="s">
        <v>31</v>
      </c>
    </row>
    <row r="1942" spans="1:5" x14ac:dyDescent="0.3">
      <c r="A1942" s="3" t="s">
        <v>559</v>
      </c>
      <c r="B1942" s="3" t="s">
        <v>33</v>
      </c>
      <c r="C1942" s="3" t="s">
        <v>138</v>
      </c>
      <c r="D1942" s="4">
        <f t="shared" ca="1" si="22"/>
        <v>45972</v>
      </c>
      <c r="E1942" s="3" t="s">
        <v>27</v>
      </c>
    </row>
    <row r="1943" spans="1:5" x14ac:dyDescent="0.3">
      <c r="A1943" s="3" t="s">
        <v>224</v>
      </c>
      <c r="B1943" s="3" t="s">
        <v>193</v>
      </c>
      <c r="C1943" s="3" t="s">
        <v>225</v>
      </c>
      <c r="D1943" s="4">
        <f t="shared" ca="1" si="22"/>
        <v>45972</v>
      </c>
      <c r="E1943" s="3" t="s">
        <v>56</v>
      </c>
    </row>
    <row r="1944" spans="1:5" x14ac:dyDescent="0.3">
      <c r="A1944" s="3" t="s">
        <v>311</v>
      </c>
      <c r="B1944" s="3" t="s">
        <v>41</v>
      </c>
      <c r="C1944" s="3" t="s">
        <v>63</v>
      </c>
      <c r="D1944" s="4">
        <f t="shared" ca="1" si="22"/>
        <v>45972</v>
      </c>
      <c r="E1944" s="3" t="s">
        <v>35</v>
      </c>
    </row>
    <row r="1945" spans="1:5" x14ac:dyDescent="0.3">
      <c r="A1945" s="3" t="s">
        <v>281</v>
      </c>
      <c r="B1945" s="3" t="s">
        <v>65</v>
      </c>
      <c r="C1945" s="3" t="s">
        <v>48</v>
      </c>
      <c r="D1945" s="4">
        <f t="shared" ca="1" si="22"/>
        <v>45972</v>
      </c>
      <c r="E1945" s="3" t="s">
        <v>27</v>
      </c>
    </row>
    <row r="1946" spans="1:5" x14ac:dyDescent="0.3">
      <c r="A1946" s="3" t="s">
        <v>422</v>
      </c>
      <c r="B1946" s="3" t="s">
        <v>423</v>
      </c>
      <c r="C1946" s="3" t="s">
        <v>424</v>
      </c>
      <c r="D1946" s="4">
        <f t="shared" ca="1" si="22"/>
        <v>45972</v>
      </c>
      <c r="E1946" s="3" t="s">
        <v>60</v>
      </c>
    </row>
    <row r="1947" spans="1:5" x14ac:dyDescent="0.3">
      <c r="A1947" s="3" t="s">
        <v>779</v>
      </c>
      <c r="B1947" s="3" t="s">
        <v>780</v>
      </c>
      <c r="C1947" s="3" t="s">
        <v>781</v>
      </c>
      <c r="D1947" s="4">
        <f t="shared" ca="1" si="22"/>
        <v>45972</v>
      </c>
      <c r="E1947" s="3" t="s">
        <v>35</v>
      </c>
    </row>
    <row r="1948" spans="1:5" x14ac:dyDescent="0.3">
      <c r="A1948" s="3" t="s">
        <v>209</v>
      </c>
      <c r="B1948" s="3" t="s">
        <v>68</v>
      </c>
      <c r="C1948" s="3" t="s">
        <v>151</v>
      </c>
      <c r="D1948" s="4">
        <f t="shared" ca="1" si="22"/>
        <v>45972</v>
      </c>
      <c r="E1948" s="3" t="s">
        <v>39</v>
      </c>
    </row>
    <row r="1949" spans="1:5" x14ac:dyDescent="0.3">
      <c r="A1949" s="3" t="s">
        <v>374</v>
      </c>
      <c r="B1949" s="3" t="s">
        <v>33</v>
      </c>
      <c r="C1949" s="3" t="s">
        <v>185</v>
      </c>
      <c r="D1949" s="4">
        <f t="shared" ca="1" si="22"/>
        <v>45972</v>
      </c>
      <c r="E1949" s="3" t="s">
        <v>35</v>
      </c>
    </row>
    <row r="1950" spans="1:5" x14ac:dyDescent="0.3">
      <c r="A1950" s="3" t="s">
        <v>805</v>
      </c>
      <c r="B1950" s="3" t="s">
        <v>162</v>
      </c>
      <c r="C1950" s="3" t="s">
        <v>806</v>
      </c>
      <c r="D1950" s="4">
        <f t="shared" ca="1" si="22"/>
        <v>45972</v>
      </c>
      <c r="E1950" s="3" t="s">
        <v>35</v>
      </c>
    </row>
    <row r="1951" spans="1:5" x14ac:dyDescent="0.3">
      <c r="A1951" s="3" t="s">
        <v>632</v>
      </c>
      <c r="B1951" s="3" t="s">
        <v>368</v>
      </c>
      <c r="C1951" s="3" t="s">
        <v>633</v>
      </c>
      <c r="D1951" s="4">
        <f t="shared" ca="1" si="22"/>
        <v>45972</v>
      </c>
      <c r="E1951" s="3" t="s">
        <v>60</v>
      </c>
    </row>
    <row r="1952" spans="1:5" x14ac:dyDescent="0.3">
      <c r="A1952" s="3" t="s">
        <v>296</v>
      </c>
      <c r="B1952" s="3" t="s">
        <v>71</v>
      </c>
      <c r="C1952" s="3" t="s">
        <v>42</v>
      </c>
      <c r="D1952" s="4">
        <f t="shared" ca="1" si="22"/>
        <v>45972</v>
      </c>
      <c r="E1952" s="3" t="s">
        <v>56</v>
      </c>
    </row>
    <row r="1953" spans="1:5" x14ac:dyDescent="0.3">
      <c r="A1953" s="3" t="s">
        <v>655</v>
      </c>
      <c r="B1953" s="3" t="s">
        <v>124</v>
      </c>
      <c r="C1953" s="3" t="s">
        <v>656</v>
      </c>
      <c r="D1953" s="4">
        <f t="shared" ca="1" si="22"/>
        <v>45972</v>
      </c>
      <c r="E1953" s="3" t="s">
        <v>35</v>
      </c>
    </row>
    <row r="1954" spans="1:5" x14ac:dyDescent="0.3">
      <c r="A1954" s="3" t="s">
        <v>792</v>
      </c>
      <c r="B1954" s="3" t="s">
        <v>58</v>
      </c>
      <c r="C1954" s="3" t="s">
        <v>793</v>
      </c>
      <c r="D1954" s="4">
        <f t="shared" ca="1" si="22"/>
        <v>45972</v>
      </c>
      <c r="E1954" s="3" t="s">
        <v>39</v>
      </c>
    </row>
    <row r="1955" spans="1:5" x14ac:dyDescent="0.3">
      <c r="A1955" s="3" t="s">
        <v>341</v>
      </c>
      <c r="B1955" s="3" t="s">
        <v>37</v>
      </c>
      <c r="C1955" s="3" t="s">
        <v>342</v>
      </c>
      <c r="D1955" s="4">
        <f t="shared" ca="1" si="22"/>
        <v>45972</v>
      </c>
      <c r="E1955" s="3" t="s">
        <v>27</v>
      </c>
    </row>
    <row r="1956" spans="1:5" x14ac:dyDescent="0.3">
      <c r="A1956" s="3" t="s">
        <v>124</v>
      </c>
      <c r="B1956" s="3" t="s">
        <v>270</v>
      </c>
      <c r="C1956" s="3" t="s">
        <v>812</v>
      </c>
      <c r="D1956" s="4">
        <f t="shared" ca="1" si="22"/>
        <v>45972</v>
      </c>
      <c r="E1956" s="3" t="s">
        <v>60</v>
      </c>
    </row>
    <row r="1957" spans="1:5" x14ac:dyDescent="0.3">
      <c r="A1957" s="3" t="s">
        <v>400</v>
      </c>
      <c r="B1957" s="3" t="s">
        <v>37</v>
      </c>
      <c r="C1957" s="3" t="s">
        <v>401</v>
      </c>
      <c r="D1957" s="4">
        <f t="shared" ca="1" si="22"/>
        <v>45972</v>
      </c>
      <c r="E1957" s="3" t="s">
        <v>35</v>
      </c>
    </row>
    <row r="1958" spans="1:5" x14ac:dyDescent="0.3">
      <c r="A1958" s="3" t="s">
        <v>573</v>
      </c>
      <c r="B1958" s="3" t="s">
        <v>74</v>
      </c>
      <c r="C1958" s="3" t="s">
        <v>659</v>
      </c>
      <c r="D1958" s="4">
        <f t="shared" ca="1" si="22"/>
        <v>45972</v>
      </c>
      <c r="E1958" s="3" t="s">
        <v>31</v>
      </c>
    </row>
    <row r="1959" spans="1:5" x14ac:dyDescent="0.3">
      <c r="A1959" s="3" t="s">
        <v>304</v>
      </c>
      <c r="B1959" s="3" t="s">
        <v>47</v>
      </c>
      <c r="C1959" s="3" t="s">
        <v>424</v>
      </c>
      <c r="D1959" s="4">
        <f t="shared" ca="1" si="22"/>
        <v>45972</v>
      </c>
      <c r="E1959" s="3" t="s">
        <v>27</v>
      </c>
    </row>
    <row r="1960" spans="1:5" x14ac:dyDescent="0.3">
      <c r="A1960" s="3" t="s">
        <v>332</v>
      </c>
      <c r="B1960" s="3" t="s">
        <v>333</v>
      </c>
      <c r="C1960" s="3" t="s">
        <v>334</v>
      </c>
      <c r="D1960" s="4">
        <f t="shared" ca="1" si="22"/>
        <v>45972</v>
      </c>
      <c r="E1960" s="3" t="s">
        <v>60</v>
      </c>
    </row>
    <row r="1961" spans="1:5" x14ac:dyDescent="0.3">
      <c r="A1961" s="3" t="s">
        <v>205</v>
      </c>
      <c r="B1961" s="3" t="s">
        <v>65</v>
      </c>
      <c r="C1961" s="3" t="s">
        <v>206</v>
      </c>
      <c r="D1961" s="4">
        <f t="shared" ca="1" si="22"/>
        <v>45972</v>
      </c>
      <c r="E1961" s="3" t="s">
        <v>39</v>
      </c>
    </row>
    <row r="1962" spans="1:5" x14ac:dyDescent="0.3">
      <c r="A1962" s="3" t="s">
        <v>361</v>
      </c>
      <c r="B1962" s="3" t="s">
        <v>50</v>
      </c>
      <c r="C1962" s="3" t="s">
        <v>362</v>
      </c>
      <c r="D1962" s="4">
        <f t="shared" ca="1" si="22"/>
        <v>45972</v>
      </c>
      <c r="E1962" s="3" t="s">
        <v>39</v>
      </c>
    </row>
    <row r="1963" spans="1:5" x14ac:dyDescent="0.3">
      <c r="A1963" s="3" t="s">
        <v>719</v>
      </c>
      <c r="B1963" s="3" t="s">
        <v>193</v>
      </c>
      <c r="C1963" s="3" t="s">
        <v>720</v>
      </c>
      <c r="D1963" s="4">
        <f t="shared" ca="1" si="22"/>
        <v>45972</v>
      </c>
      <c r="E1963" s="3" t="s">
        <v>56</v>
      </c>
    </row>
    <row r="1964" spans="1:5" x14ac:dyDescent="0.3">
      <c r="A1964" s="3" t="s">
        <v>692</v>
      </c>
      <c r="B1964" s="3" t="s">
        <v>193</v>
      </c>
      <c r="C1964" s="3" t="s">
        <v>693</v>
      </c>
      <c r="D1964" s="4">
        <f t="shared" ca="1" si="22"/>
        <v>45972</v>
      </c>
      <c r="E1964" s="3" t="s">
        <v>31</v>
      </c>
    </row>
    <row r="1965" spans="1:5" x14ac:dyDescent="0.3">
      <c r="A1965" s="3" t="s">
        <v>782</v>
      </c>
      <c r="B1965" s="3" t="s">
        <v>98</v>
      </c>
      <c r="C1965" s="3" t="s">
        <v>783</v>
      </c>
      <c r="D1965" s="4">
        <f t="shared" ca="1" si="22"/>
        <v>45972</v>
      </c>
      <c r="E1965" s="3" t="s">
        <v>39</v>
      </c>
    </row>
    <row r="1966" spans="1:5" x14ac:dyDescent="0.3">
      <c r="A1966" s="3" t="s">
        <v>531</v>
      </c>
      <c r="B1966" s="3" t="s">
        <v>162</v>
      </c>
      <c r="C1966" s="3" t="s">
        <v>714</v>
      </c>
      <c r="D1966" s="4">
        <f t="shared" ca="1" si="22"/>
        <v>45972</v>
      </c>
      <c r="E1966" s="3" t="s">
        <v>39</v>
      </c>
    </row>
    <row r="1967" spans="1:5" x14ac:dyDescent="0.3">
      <c r="A1967" s="3" t="s">
        <v>299</v>
      </c>
      <c r="B1967" s="3" t="s">
        <v>33</v>
      </c>
      <c r="C1967" s="3" t="s">
        <v>300</v>
      </c>
      <c r="D1967" s="4">
        <f t="shared" ca="1" si="22"/>
        <v>45972</v>
      </c>
      <c r="E1967" s="3" t="s">
        <v>60</v>
      </c>
    </row>
    <row r="1968" spans="1:5" x14ac:dyDescent="0.3">
      <c r="A1968" s="3" t="s">
        <v>799</v>
      </c>
      <c r="B1968" s="3" t="s">
        <v>118</v>
      </c>
      <c r="C1968" s="3" t="s">
        <v>800</v>
      </c>
      <c r="D1968" s="4">
        <f t="shared" ca="1" si="22"/>
        <v>45972</v>
      </c>
      <c r="E1968" s="3" t="s">
        <v>35</v>
      </c>
    </row>
    <row r="1969" spans="1:5" x14ac:dyDescent="0.3">
      <c r="A1969" s="3" t="s">
        <v>648</v>
      </c>
      <c r="B1969" s="3" t="s">
        <v>87</v>
      </c>
      <c r="C1969" s="3" t="s">
        <v>649</v>
      </c>
      <c r="D1969" s="4">
        <f t="shared" ca="1" si="22"/>
        <v>45972</v>
      </c>
      <c r="E1969" s="3" t="s">
        <v>31</v>
      </c>
    </row>
    <row r="1970" spans="1:5" x14ac:dyDescent="0.3">
      <c r="A1970" s="3" t="s">
        <v>175</v>
      </c>
      <c r="B1970" s="3" t="s">
        <v>93</v>
      </c>
      <c r="C1970" s="3" t="s">
        <v>176</v>
      </c>
      <c r="D1970" s="4">
        <f t="shared" ca="1" si="22"/>
        <v>45972</v>
      </c>
      <c r="E1970" s="3" t="s">
        <v>60</v>
      </c>
    </row>
    <row r="1971" spans="1:5" x14ac:dyDescent="0.3">
      <c r="A1971" s="3" t="s">
        <v>813</v>
      </c>
      <c r="B1971" s="3" t="s">
        <v>641</v>
      </c>
      <c r="C1971" s="3" t="s">
        <v>814</v>
      </c>
      <c r="D1971" s="4">
        <f t="shared" ca="1" si="22"/>
        <v>45972</v>
      </c>
      <c r="E1971" s="3" t="s">
        <v>60</v>
      </c>
    </row>
    <row r="1972" spans="1:5" x14ac:dyDescent="0.3">
      <c r="A1972" s="3" t="s">
        <v>317</v>
      </c>
      <c r="B1972" s="3" t="s">
        <v>157</v>
      </c>
      <c r="C1972" s="3" t="s">
        <v>318</v>
      </c>
      <c r="D1972" s="4">
        <f t="shared" ca="1" si="22"/>
        <v>45972</v>
      </c>
      <c r="E1972" s="3" t="s">
        <v>39</v>
      </c>
    </row>
    <row r="1973" spans="1:5" x14ac:dyDescent="0.3">
      <c r="A1973" s="3" t="s">
        <v>815</v>
      </c>
      <c r="B1973" s="3" t="s">
        <v>65</v>
      </c>
      <c r="C1973" s="3" t="s">
        <v>816</v>
      </c>
      <c r="D1973" s="4">
        <f t="shared" ca="1" si="22"/>
        <v>45972</v>
      </c>
      <c r="E1973" s="3" t="s">
        <v>35</v>
      </c>
    </row>
    <row r="1974" spans="1:5" x14ac:dyDescent="0.3">
      <c r="A1974" s="3" t="s">
        <v>144</v>
      </c>
      <c r="B1974" s="3" t="s">
        <v>552</v>
      </c>
      <c r="C1974" s="3" t="s">
        <v>262</v>
      </c>
      <c r="D1974" s="4">
        <f t="shared" ca="1" si="22"/>
        <v>45972</v>
      </c>
      <c r="E1974" s="3" t="s">
        <v>39</v>
      </c>
    </row>
    <row r="1975" spans="1:5" x14ac:dyDescent="0.3">
      <c r="A1975" s="3" t="s">
        <v>553</v>
      </c>
      <c r="B1975" s="3" t="s">
        <v>50</v>
      </c>
      <c r="C1975" s="3" t="s">
        <v>554</v>
      </c>
      <c r="D1975" s="4">
        <f t="shared" ca="1" si="22"/>
        <v>45972</v>
      </c>
      <c r="E1975" s="3" t="s">
        <v>56</v>
      </c>
    </row>
    <row r="1976" spans="1:5" x14ac:dyDescent="0.3">
      <c r="A1976" s="3" t="s">
        <v>698</v>
      </c>
      <c r="B1976" s="3" t="s">
        <v>275</v>
      </c>
      <c r="C1976" s="3" t="s">
        <v>699</v>
      </c>
      <c r="D1976" s="4">
        <f t="shared" ca="1" si="22"/>
        <v>45972</v>
      </c>
      <c r="E1976" s="3" t="s">
        <v>27</v>
      </c>
    </row>
    <row r="1977" spans="1:5" x14ac:dyDescent="0.3">
      <c r="A1977" s="3" t="s">
        <v>778</v>
      </c>
      <c r="B1977" s="3" t="s">
        <v>157</v>
      </c>
      <c r="C1977" s="3" t="s">
        <v>431</v>
      </c>
      <c r="D1977" s="4">
        <f t="shared" ca="1" si="22"/>
        <v>45972</v>
      </c>
      <c r="E1977" s="3" t="s">
        <v>31</v>
      </c>
    </row>
    <row r="1978" spans="1:5" x14ac:dyDescent="0.3">
      <c r="A1978" s="3" t="s">
        <v>473</v>
      </c>
      <c r="B1978" s="3" t="s">
        <v>65</v>
      </c>
      <c r="C1978" s="3" t="s">
        <v>474</v>
      </c>
      <c r="D1978" s="4">
        <f t="shared" ca="1" si="22"/>
        <v>45972</v>
      </c>
      <c r="E1978" s="3" t="s">
        <v>60</v>
      </c>
    </row>
    <row r="1979" spans="1:5" x14ac:dyDescent="0.3">
      <c r="A1979" s="3" t="s">
        <v>147</v>
      </c>
      <c r="B1979" s="3" t="s">
        <v>65</v>
      </c>
      <c r="C1979" s="3" t="s">
        <v>148</v>
      </c>
      <c r="D1979" s="4">
        <f t="shared" ca="1" si="22"/>
        <v>45972</v>
      </c>
      <c r="E1979" s="3" t="s">
        <v>56</v>
      </c>
    </row>
    <row r="1980" spans="1:5" x14ac:dyDescent="0.3">
      <c r="A1980" s="3" t="s">
        <v>607</v>
      </c>
      <c r="B1980" s="3" t="s">
        <v>284</v>
      </c>
      <c r="C1980" s="3" t="s">
        <v>608</v>
      </c>
      <c r="D1980" s="4">
        <f t="shared" ca="1" si="22"/>
        <v>45972</v>
      </c>
      <c r="E1980" s="3" t="s">
        <v>39</v>
      </c>
    </row>
    <row r="1981" spans="1:5" x14ac:dyDescent="0.3">
      <c r="A1981" s="3" t="s">
        <v>124</v>
      </c>
      <c r="B1981" s="3" t="s">
        <v>50</v>
      </c>
      <c r="C1981" s="3" t="s">
        <v>231</v>
      </c>
      <c r="D1981" s="4">
        <f t="shared" ca="1" si="22"/>
        <v>45972</v>
      </c>
      <c r="E1981" s="3" t="s">
        <v>39</v>
      </c>
    </row>
    <row r="1982" spans="1:5" x14ac:dyDescent="0.3">
      <c r="A1982" s="3" t="s">
        <v>323</v>
      </c>
      <c r="B1982" s="3" t="s">
        <v>50</v>
      </c>
      <c r="C1982" s="3" t="s">
        <v>324</v>
      </c>
      <c r="D1982" s="4">
        <f t="shared" ca="1" si="22"/>
        <v>45972</v>
      </c>
      <c r="E1982" s="3" t="s">
        <v>39</v>
      </c>
    </row>
    <row r="1983" spans="1:5" x14ac:dyDescent="0.3">
      <c r="A1983" s="3" t="s">
        <v>209</v>
      </c>
      <c r="B1983" s="3" t="s">
        <v>62</v>
      </c>
      <c r="C1983" s="3" t="s">
        <v>282</v>
      </c>
      <c r="D1983" s="4">
        <f t="shared" ca="1" si="22"/>
        <v>45972</v>
      </c>
      <c r="E1983" s="3" t="s">
        <v>60</v>
      </c>
    </row>
    <row r="1984" spans="1:5" x14ac:dyDescent="0.3">
      <c r="A1984" s="3" t="s">
        <v>292</v>
      </c>
      <c r="B1984" s="3" t="s">
        <v>118</v>
      </c>
      <c r="C1984" s="3" t="s">
        <v>293</v>
      </c>
      <c r="D1984" s="4">
        <f t="shared" ca="1" si="22"/>
        <v>45972</v>
      </c>
      <c r="E1984" s="3" t="s">
        <v>60</v>
      </c>
    </row>
    <row r="1985" spans="1:5" x14ac:dyDescent="0.3">
      <c r="A1985" s="3" t="s">
        <v>104</v>
      </c>
      <c r="B1985" s="3" t="s">
        <v>25</v>
      </c>
      <c r="C1985" s="3" t="s">
        <v>583</v>
      </c>
      <c r="D1985" s="4">
        <f t="shared" ca="1" si="22"/>
        <v>45972</v>
      </c>
      <c r="E1985" s="3" t="s">
        <v>27</v>
      </c>
    </row>
    <row r="1986" spans="1:5" x14ac:dyDescent="0.3">
      <c r="A1986" s="3" t="s">
        <v>238</v>
      </c>
      <c r="B1986" s="3" t="s">
        <v>157</v>
      </c>
      <c r="C1986" s="3" t="s">
        <v>239</v>
      </c>
      <c r="D1986" s="4">
        <f t="shared" ca="1" si="22"/>
        <v>45972</v>
      </c>
      <c r="E1986" s="3" t="s">
        <v>39</v>
      </c>
    </row>
    <row r="1987" spans="1:5" x14ac:dyDescent="0.3">
      <c r="A1987" s="3" t="s">
        <v>643</v>
      </c>
      <c r="B1987" s="3" t="s">
        <v>644</v>
      </c>
      <c r="C1987" s="3" t="s">
        <v>645</v>
      </c>
      <c r="D1987" s="4">
        <f t="shared" ca="1" si="22"/>
        <v>45972</v>
      </c>
      <c r="E1987" s="3" t="s">
        <v>39</v>
      </c>
    </row>
    <row r="1988" spans="1:5" x14ac:dyDescent="0.3">
      <c r="A1988" s="3" t="s">
        <v>810</v>
      </c>
      <c r="B1988" s="3" t="s">
        <v>261</v>
      </c>
      <c r="C1988" s="3" t="s">
        <v>811</v>
      </c>
      <c r="D1988" s="4">
        <f t="shared" ref="D1988:D2099" ca="1" si="23">TODAY()-37</f>
        <v>46000</v>
      </c>
      <c r="E1988" s="3" t="s">
        <v>27</v>
      </c>
    </row>
    <row r="1989" spans="1:5" x14ac:dyDescent="0.3">
      <c r="A1989" s="3" t="s">
        <v>799</v>
      </c>
      <c r="B1989" s="3" t="s">
        <v>118</v>
      </c>
      <c r="C1989" s="3" t="s">
        <v>800</v>
      </c>
      <c r="D1989" s="4">
        <f t="shared" ca="1" si="23"/>
        <v>46000</v>
      </c>
      <c r="E1989" s="3" t="s">
        <v>35</v>
      </c>
    </row>
    <row r="1990" spans="1:5" x14ac:dyDescent="0.3">
      <c r="A1990" s="3" t="s">
        <v>325</v>
      </c>
      <c r="B1990" s="3" t="s">
        <v>326</v>
      </c>
      <c r="C1990" s="3" t="s">
        <v>327</v>
      </c>
      <c r="D1990" s="4">
        <f t="shared" ca="1" si="23"/>
        <v>46000</v>
      </c>
      <c r="E1990" s="3" t="s">
        <v>39</v>
      </c>
    </row>
    <row r="1991" spans="1:5" x14ac:dyDescent="0.3">
      <c r="A1991" s="3" t="s">
        <v>152</v>
      </c>
      <c r="B1991" s="3" t="s">
        <v>93</v>
      </c>
      <c r="C1991" s="3" t="s">
        <v>484</v>
      </c>
      <c r="D1991" s="4">
        <f t="shared" ca="1" si="23"/>
        <v>46000</v>
      </c>
      <c r="E1991" s="3" t="s">
        <v>27</v>
      </c>
    </row>
    <row r="1992" spans="1:5" x14ac:dyDescent="0.3">
      <c r="A1992" s="3" t="s">
        <v>104</v>
      </c>
      <c r="B1992" s="3" t="s">
        <v>47</v>
      </c>
      <c r="C1992" s="3" t="s">
        <v>105</v>
      </c>
      <c r="D1992" s="4">
        <f t="shared" ca="1" si="23"/>
        <v>46000</v>
      </c>
      <c r="E1992" s="3" t="s">
        <v>39</v>
      </c>
    </row>
    <row r="1993" spans="1:5" x14ac:dyDescent="0.3">
      <c r="A1993" s="3" t="s">
        <v>343</v>
      </c>
      <c r="B1993" s="3" t="s">
        <v>157</v>
      </c>
      <c r="C1993" s="3" t="s">
        <v>486</v>
      </c>
      <c r="D1993" s="4">
        <f t="shared" ca="1" si="23"/>
        <v>46000</v>
      </c>
      <c r="E1993" s="3" t="s">
        <v>60</v>
      </c>
    </row>
    <row r="1994" spans="1:5" x14ac:dyDescent="0.3">
      <c r="A1994" s="3" t="s">
        <v>323</v>
      </c>
      <c r="B1994" s="3" t="s">
        <v>50</v>
      </c>
      <c r="C1994" s="3" t="s">
        <v>324</v>
      </c>
      <c r="D1994" s="4">
        <f t="shared" ca="1" si="23"/>
        <v>46000</v>
      </c>
      <c r="E1994" s="3" t="s">
        <v>39</v>
      </c>
    </row>
    <row r="1995" spans="1:5" x14ac:dyDescent="0.3">
      <c r="A1995" s="3" t="s">
        <v>375</v>
      </c>
      <c r="B1995" s="3" t="s">
        <v>25</v>
      </c>
      <c r="C1995" s="3" t="s">
        <v>158</v>
      </c>
      <c r="D1995" s="4">
        <f t="shared" ca="1" si="23"/>
        <v>46000</v>
      </c>
      <c r="E1995" s="3" t="s">
        <v>39</v>
      </c>
    </row>
    <row r="1996" spans="1:5" x14ac:dyDescent="0.3">
      <c r="A1996" s="3" t="s">
        <v>112</v>
      </c>
      <c r="B1996" s="3" t="s">
        <v>44</v>
      </c>
      <c r="C1996" s="3" t="s">
        <v>188</v>
      </c>
      <c r="D1996" s="4">
        <f t="shared" ca="1" si="23"/>
        <v>46000</v>
      </c>
      <c r="E1996" s="3" t="s">
        <v>27</v>
      </c>
    </row>
    <row r="1997" spans="1:5" x14ac:dyDescent="0.3">
      <c r="A1997" s="3" t="s">
        <v>192</v>
      </c>
      <c r="B1997" s="3" t="s">
        <v>193</v>
      </c>
      <c r="C1997" s="3" t="s">
        <v>755</v>
      </c>
      <c r="D1997" s="4">
        <f t="shared" ca="1" si="23"/>
        <v>46000</v>
      </c>
      <c r="E1997" s="3" t="s">
        <v>39</v>
      </c>
    </row>
    <row r="1998" spans="1:5" x14ac:dyDescent="0.3">
      <c r="A1998" s="3" t="s">
        <v>314</v>
      </c>
      <c r="B1998" s="3" t="s">
        <v>641</v>
      </c>
      <c r="C1998" s="3" t="s">
        <v>642</v>
      </c>
      <c r="D1998" s="4">
        <f t="shared" ca="1" si="23"/>
        <v>46000</v>
      </c>
      <c r="E1998" s="3" t="s">
        <v>56</v>
      </c>
    </row>
    <row r="1999" spans="1:5" x14ac:dyDescent="0.3">
      <c r="A1999" s="3" t="s">
        <v>758</v>
      </c>
      <c r="B1999" s="3" t="s">
        <v>759</v>
      </c>
      <c r="C1999" s="3" t="s">
        <v>396</v>
      </c>
      <c r="D1999" s="4">
        <f t="shared" ca="1" si="23"/>
        <v>46000</v>
      </c>
      <c r="E1999" s="3" t="s">
        <v>39</v>
      </c>
    </row>
    <row r="2000" spans="1:5" x14ac:dyDescent="0.3">
      <c r="A2000" s="3" t="s">
        <v>748</v>
      </c>
      <c r="B2000" s="3" t="s">
        <v>193</v>
      </c>
      <c r="C2000" s="3" t="s">
        <v>749</v>
      </c>
      <c r="D2000" s="4">
        <f t="shared" ca="1" si="23"/>
        <v>46000</v>
      </c>
      <c r="E2000" s="3" t="s">
        <v>56</v>
      </c>
    </row>
    <row r="2001" spans="1:5" x14ac:dyDescent="0.3">
      <c r="A2001" s="3" t="s">
        <v>346</v>
      </c>
      <c r="B2001" s="3" t="s">
        <v>193</v>
      </c>
      <c r="C2001" s="3" t="s">
        <v>347</v>
      </c>
      <c r="D2001" s="4">
        <f t="shared" ca="1" si="23"/>
        <v>46000</v>
      </c>
      <c r="E2001" s="3" t="s">
        <v>39</v>
      </c>
    </row>
    <row r="2002" spans="1:5" x14ac:dyDescent="0.3">
      <c r="A2002" s="3" t="s">
        <v>604</v>
      </c>
      <c r="B2002" s="3" t="s">
        <v>392</v>
      </c>
      <c r="C2002" s="3" t="s">
        <v>500</v>
      </c>
      <c r="D2002" s="4">
        <f t="shared" ca="1" si="23"/>
        <v>46000</v>
      </c>
      <c r="E2002" s="3" t="s">
        <v>39</v>
      </c>
    </row>
    <row r="2003" spans="1:5" x14ac:dyDescent="0.3">
      <c r="A2003" s="3" t="s">
        <v>398</v>
      </c>
      <c r="B2003" s="3" t="s">
        <v>93</v>
      </c>
      <c r="C2003" s="3" t="s">
        <v>399</v>
      </c>
      <c r="D2003" s="4">
        <f t="shared" ca="1" si="23"/>
        <v>46000</v>
      </c>
      <c r="E2003" s="3" t="s">
        <v>39</v>
      </c>
    </row>
    <row r="2004" spans="1:5" x14ac:dyDescent="0.3">
      <c r="A2004" s="3" t="s">
        <v>263</v>
      </c>
      <c r="B2004" s="3" t="s">
        <v>178</v>
      </c>
      <c r="C2004" s="3" t="s">
        <v>264</v>
      </c>
      <c r="D2004" s="4">
        <f t="shared" ca="1" si="23"/>
        <v>46000</v>
      </c>
      <c r="E2004" s="3" t="s">
        <v>60</v>
      </c>
    </row>
    <row r="2005" spans="1:5" x14ac:dyDescent="0.3">
      <c r="A2005" s="3" t="s">
        <v>677</v>
      </c>
      <c r="B2005" s="3" t="s">
        <v>442</v>
      </c>
      <c r="C2005" s="3" t="s">
        <v>678</v>
      </c>
      <c r="D2005" s="4">
        <f t="shared" ca="1" si="23"/>
        <v>46000</v>
      </c>
      <c r="E2005" s="3" t="s">
        <v>60</v>
      </c>
    </row>
    <row r="2006" spans="1:5" x14ac:dyDescent="0.3">
      <c r="A2006" s="3" t="s">
        <v>102</v>
      </c>
      <c r="B2006" s="3" t="s">
        <v>25</v>
      </c>
      <c r="C2006" s="3" t="s">
        <v>742</v>
      </c>
      <c r="D2006" s="4">
        <f t="shared" ca="1" si="23"/>
        <v>46000</v>
      </c>
      <c r="E2006" s="3" t="s">
        <v>31</v>
      </c>
    </row>
    <row r="2007" spans="1:5" x14ac:dyDescent="0.3">
      <c r="A2007" s="3" t="s">
        <v>271</v>
      </c>
      <c r="B2007" s="3" t="s">
        <v>272</v>
      </c>
      <c r="C2007" s="3" t="s">
        <v>273</v>
      </c>
      <c r="D2007" s="4">
        <f t="shared" ca="1" si="23"/>
        <v>46000</v>
      </c>
      <c r="E2007" s="3" t="s">
        <v>39</v>
      </c>
    </row>
    <row r="2008" spans="1:5" x14ac:dyDescent="0.3">
      <c r="A2008" s="3" t="s">
        <v>733</v>
      </c>
      <c r="B2008" s="3" t="s">
        <v>118</v>
      </c>
      <c r="C2008" s="3" t="s">
        <v>649</v>
      </c>
      <c r="D2008" s="4">
        <f t="shared" ca="1" si="23"/>
        <v>46000</v>
      </c>
      <c r="E2008" s="3" t="s">
        <v>31</v>
      </c>
    </row>
    <row r="2009" spans="1:5" x14ac:dyDescent="0.3">
      <c r="A2009" s="3" t="s">
        <v>706</v>
      </c>
      <c r="B2009" s="3" t="s">
        <v>133</v>
      </c>
      <c r="C2009" s="3" t="s">
        <v>707</v>
      </c>
      <c r="D2009" s="4">
        <f t="shared" ca="1" si="23"/>
        <v>46000</v>
      </c>
      <c r="E2009" s="3" t="s">
        <v>35</v>
      </c>
    </row>
    <row r="2010" spans="1:5" x14ac:dyDescent="0.3">
      <c r="A2010" s="3" t="s">
        <v>576</v>
      </c>
      <c r="B2010" s="3" t="s">
        <v>518</v>
      </c>
      <c r="C2010" s="3" t="s">
        <v>577</v>
      </c>
      <c r="D2010" s="4">
        <f t="shared" ca="1" si="23"/>
        <v>46000</v>
      </c>
      <c r="E2010" s="3" t="s">
        <v>60</v>
      </c>
    </row>
    <row r="2011" spans="1:5" x14ac:dyDescent="0.3">
      <c r="A2011" s="3" t="s">
        <v>439</v>
      </c>
      <c r="B2011" s="3" t="s">
        <v>65</v>
      </c>
      <c r="C2011" s="3" t="s">
        <v>440</v>
      </c>
      <c r="D2011" s="4">
        <f t="shared" ca="1" si="23"/>
        <v>46000</v>
      </c>
      <c r="E2011" s="3" t="s">
        <v>27</v>
      </c>
    </row>
    <row r="2012" spans="1:5" x14ac:dyDescent="0.3">
      <c r="A2012" s="3" t="s">
        <v>686</v>
      </c>
      <c r="B2012" s="3" t="s">
        <v>607</v>
      </c>
      <c r="C2012" s="3" t="s">
        <v>241</v>
      </c>
      <c r="D2012" s="4">
        <f t="shared" ca="1" si="23"/>
        <v>46000</v>
      </c>
      <c r="E2012" s="3" t="s">
        <v>27</v>
      </c>
    </row>
    <row r="2013" spans="1:5" x14ac:dyDescent="0.3">
      <c r="A2013" s="3" t="s">
        <v>377</v>
      </c>
      <c r="B2013" s="3" t="s">
        <v>65</v>
      </c>
      <c r="C2013" s="3" t="s">
        <v>654</v>
      </c>
      <c r="D2013" s="4">
        <f t="shared" ca="1" si="23"/>
        <v>46000</v>
      </c>
      <c r="E2013" s="3" t="s">
        <v>60</v>
      </c>
    </row>
    <row r="2014" spans="1:5" x14ac:dyDescent="0.3">
      <c r="A2014" s="3" t="s">
        <v>296</v>
      </c>
      <c r="B2014" s="3" t="s">
        <v>71</v>
      </c>
      <c r="C2014" s="3" t="s">
        <v>42</v>
      </c>
      <c r="D2014" s="4">
        <f t="shared" ca="1" si="23"/>
        <v>46000</v>
      </c>
      <c r="E2014" s="3" t="s">
        <v>56</v>
      </c>
    </row>
    <row r="2015" spans="1:5" x14ac:dyDescent="0.3">
      <c r="A2015" s="3" t="s">
        <v>349</v>
      </c>
      <c r="B2015" s="3" t="s">
        <v>326</v>
      </c>
      <c r="C2015" s="3" t="s">
        <v>350</v>
      </c>
      <c r="D2015" s="4">
        <f t="shared" ca="1" si="23"/>
        <v>46000</v>
      </c>
      <c r="E2015" s="3" t="s">
        <v>60</v>
      </c>
    </row>
    <row r="2016" spans="1:5" x14ac:dyDescent="0.3">
      <c r="A2016" s="3" t="s">
        <v>311</v>
      </c>
      <c r="B2016" s="3" t="s">
        <v>312</v>
      </c>
      <c r="C2016" s="3" t="s">
        <v>313</v>
      </c>
      <c r="D2016" s="4">
        <f t="shared" ca="1" si="23"/>
        <v>46000</v>
      </c>
      <c r="E2016" s="3" t="s">
        <v>60</v>
      </c>
    </row>
    <row r="2017" spans="1:5" x14ac:dyDescent="0.3">
      <c r="A2017" s="3" t="s">
        <v>623</v>
      </c>
      <c r="B2017" s="3" t="s">
        <v>74</v>
      </c>
      <c r="C2017" s="3" t="s">
        <v>624</v>
      </c>
      <c r="D2017" s="4">
        <f t="shared" ca="1" si="23"/>
        <v>46000</v>
      </c>
      <c r="E2017" s="3" t="s">
        <v>35</v>
      </c>
    </row>
    <row r="2018" spans="1:5" x14ac:dyDescent="0.3">
      <c r="A2018" s="3" t="s">
        <v>377</v>
      </c>
      <c r="B2018" s="3" t="s">
        <v>50</v>
      </c>
      <c r="C2018" s="3" t="s">
        <v>378</v>
      </c>
      <c r="D2018" s="4">
        <f t="shared" ca="1" si="23"/>
        <v>46000</v>
      </c>
      <c r="E2018" s="3" t="s">
        <v>60</v>
      </c>
    </row>
    <row r="2019" spans="1:5" x14ac:dyDescent="0.3">
      <c r="A2019" s="3" t="s">
        <v>725</v>
      </c>
      <c r="B2019" s="3" t="s">
        <v>37</v>
      </c>
      <c r="C2019" s="3" t="s">
        <v>726</v>
      </c>
      <c r="D2019" s="4">
        <f t="shared" ca="1" si="23"/>
        <v>46000</v>
      </c>
      <c r="E2019" s="3" t="s">
        <v>31</v>
      </c>
    </row>
    <row r="2020" spans="1:5" x14ac:dyDescent="0.3">
      <c r="A2020" s="3" t="s">
        <v>700</v>
      </c>
      <c r="B2020" s="3" t="s">
        <v>162</v>
      </c>
      <c r="C2020" s="3" t="s">
        <v>701</v>
      </c>
      <c r="D2020" s="4">
        <f t="shared" ca="1" si="23"/>
        <v>46000</v>
      </c>
      <c r="E2020" s="3" t="s">
        <v>35</v>
      </c>
    </row>
    <row r="2021" spans="1:5" x14ac:dyDescent="0.3">
      <c r="A2021" s="3" t="s">
        <v>612</v>
      </c>
      <c r="B2021" s="3" t="s">
        <v>140</v>
      </c>
      <c r="C2021" s="3" t="s">
        <v>613</v>
      </c>
      <c r="D2021" s="4">
        <f t="shared" ca="1" si="23"/>
        <v>46000</v>
      </c>
      <c r="E2021" s="3" t="s">
        <v>39</v>
      </c>
    </row>
    <row r="2022" spans="1:5" x14ac:dyDescent="0.3">
      <c r="A2022" s="3" t="s">
        <v>790</v>
      </c>
      <c r="B2022" s="3" t="s">
        <v>326</v>
      </c>
      <c r="C2022" s="3" t="s">
        <v>791</v>
      </c>
      <c r="D2022" s="4">
        <f t="shared" ca="1" si="23"/>
        <v>46000</v>
      </c>
      <c r="E2022" s="3" t="s">
        <v>56</v>
      </c>
    </row>
    <row r="2023" spans="1:5" x14ac:dyDescent="0.3">
      <c r="A2023" s="3" t="s">
        <v>184</v>
      </c>
      <c r="B2023" s="3" t="s">
        <v>47</v>
      </c>
      <c r="C2023" s="3" t="s">
        <v>185</v>
      </c>
      <c r="D2023" s="4">
        <f t="shared" ca="1" si="23"/>
        <v>46000</v>
      </c>
      <c r="E2023" s="3" t="s">
        <v>35</v>
      </c>
    </row>
    <row r="2024" spans="1:5" x14ac:dyDescent="0.3">
      <c r="A2024" s="3" t="s">
        <v>646</v>
      </c>
      <c r="B2024" s="3" t="s">
        <v>212</v>
      </c>
      <c r="C2024" s="3" t="s">
        <v>647</v>
      </c>
      <c r="D2024" s="4">
        <f t="shared" ca="1" si="23"/>
        <v>46000</v>
      </c>
      <c r="E2024" s="3" t="s">
        <v>39</v>
      </c>
    </row>
    <row r="2025" spans="1:5" x14ac:dyDescent="0.3">
      <c r="A2025" s="3" t="s">
        <v>586</v>
      </c>
      <c r="B2025" s="3" t="s">
        <v>157</v>
      </c>
      <c r="C2025" s="3" t="s">
        <v>587</v>
      </c>
      <c r="D2025" s="4">
        <f t="shared" ca="1" si="23"/>
        <v>46000</v>
      </c>
      <c r="E2025" s="3" t="s">
        <v>60</v>
      </c>
    </row>
    <row r="2026" spans="1:5" x14ac:dyDescent="0.3">
      <c r="A2026" s="3" t="s">
        <v>475</v>
      </c>
      <c r="B2026" s="3" t="s">
        <v>33</v>
      </c>
      <c r="C2026" s="3" t="s">
        <v>476</v>
      </c>
      <c r="D2026" s="4">
        <f t="shared" ca="1" si="23"/>
        <v>46000</v>
      </c>
      <c r="E2026" s="3" t="s">
        <v>60</v>
      </c>
    </row>
    <row r="2027" spans="1:5" x14ac:dyDescent="0.3">
      <c r="A2027" s="3" t="s">
        <v>595</v>
      </c>
      <c r="B2027" s="3" t="s">
        <v>37</v>
      </c>
      <c r="C2027" s="3" t="s">
        <v>216</v>
      </c>
      <c r="D2027" s="4">
        <f t="shared" ca="1" si="23"/>
        <v>46000</v>
      </c>
      <c r="E2027" s="3" t="s">
        <v>60</v>
      </c>
    </row>
    <row r="2028" spans="1:5" x14ac:dyDescent="0.3">
      <c r="A2028" s="3" t="s">
        <v>80</v>
      </c>
      <c r="B2028" s="3" t="s">
        <v>62</v>
      </c>
      <c r="C2028" s="3" t="s">
        <v>81</v>
      </c>
      <c r="D2028" s="4">
        <f t="shared" ca="1" si="23"/>
        <v>46000</v>
      </c>
      <c r="E2028" s="3" t="s">
        <v>39</v>
      </c>
    </row>
    <row r="2029" spans="1:5" x14ac:dyDescent="0.3">
      <c r="A2029" s="3" t="s">
        <v>221</v>
      </c>
      <c r="B2029" s="3" t="s">
        <v>65</v>
      </c>
      <c r="C2029" s="3" t="s">
        <v>222</v>
      </c>
      <c r="D2029" s="4">
        <f t="shared" ca="1" si="23"/>
        <v>46000</v>
      </c>
      <c r="E2029" s="3" t="s">
        <v>35</v>
      </c>
    </row>
    <row r="2030" spans="1:5" x14ac:dyDescent="0.3">
      <c r="A2030" s="3" t="s">
        <v>772</v>
      </c>
      <c r="B2030" s="3" t="s">
        <v>50</v>
      </c>
      <c r="C2030" s="3" t="s">
        <v>216</v>
      </c>
      <c r="D2030" s="4">
        <f t="shared" ca="1" si="23"/>
        <v>46000</v>
      </c>
      <c r="E2030" s="3" t="s">
        <v>56</v>
      </c>
    </row>
    <row r="2031" spans="1:5" x14ac:dyDescent="0.3">
      <c r="A2031" s="3" t="s">
        <v>692</v>
      </c>
      <c r="B2031" s="3" t="s">
        <v>193</v>
      </c>
      <c r="C2031" s="3" t="s">
        <v>693</v>
      </c>
      <c r="D2031" s="4">
        <f t="shared" ca="1" si="23"/>
        <v>46000</v>
      </c>
      <c r="E2031" s="3" t="s">
        <v>31</v>
      </c>
    </row>
    <row r="2032" spans="1:5" x14ac:dyDescent="0.3">
      <c r="A2032" s="3" t="s">
        <v>189</v>
      </c>
      <c r="B2032" s="3" t="s">
        <v>190</v>
      </c>
      <c r="C2032" s="3" t="s">
        <v>191</v>
      </c>
      <c r="D2032" s="4">
        <f t="shared" ca="1" si="23"/>
        <v>46000</v>
      </c>
      <c r="E2032" s="3" t="s">
        <v>56</v>
      </c>
    </row>
    <row r="2033" spans="1:5" x14ac:dyDescent="0.3">
      <c r="A2033" s="3" t="s">
        <v>464</v>
      </c>
      <c r="B2033" s="3" t="s">
        <v>93</v>
      </c>
      <c r="C2033" s="3" t="s">
        <v>465</v>
      </c>
      <c r="D2033" s="4">
        <f t="shared" ca="1" si="23"/>
        <v>46000</v>
      </c>
      <c r="E2033" s="3" t="s">
        <v>39</v>
      </c>
    </row>
    <row r="2034" spans="1:5" x14ac:dyDescent="0.3">
      <c r="A2034" s="3" t="s">
        <v>702</v>
      </c>
      <c r="B2034" s="3" t="s">
        <v>58</v>
      </c>
      <c r="C2034" s="3" t="s">
        <v>703</v>
      </c>
      <c r="D2034" s="4">
        <f t="shared" ca="1" si="23"/>
        <v>46000</v>
      </c>
      <c r="E2034" s="3" t="s">
        <v>39</v>
      </c>
    </row>
    <row r="2035" spans="1:5" x14ac:dyDescent="0.3">
      <c r="A2035" s="3" t="s">
        <v>727</v>
      </c>
      <c r="B2035" s="3" t="s">
        <v>50</v>
      </c>
      <c r="C2035" s="3" t="s">
        <v>728</v>
      </c>
      <c r="D2035" s="4">
        <f t="shared" ca="1" si="23"/>
        <v>46000</v>
      </c>
      <c r="E2035" s="3" t="s">
        <v>60</v>
      </c>
    </row>
    <row r="2036" spans="1:5" x14ac:dyDescent="0.3">
      <c r="A2036" s="3" t="s">
        <v>482</v>
      </c>
      <c r="B2036" s="3" t="s">
        <v>157</v>
      </c>
      <c r="C2036" s="3" t="s">
        <v>483</v>
      </c>
      <c r="D2036" s="4">
        <f t="shared" ca="1" si="23"/>
        <v>46000</v>
      </c>
      <c r="E2036" s="3" t="s">
        <v>35</v>
      </c>
    </row>
    <row r="2037" spans="1:5" x14ac:dyDescent="0.3">
      <c r="A2037" s="3" t="s">
        <v>54</v>
      </c>
      <c r="B2037" s="3" t="s">
        <v>37</v>
      </c>
      <c r="C2037" s="3" t="s">
        <v>55</v>
      </c>
      <c r="D2037" s="4">
        <f t="shared" ca="1" si="23"/>
        <v>46000</v>
      </c>
      <c r="E2037" s="3" t="s">
        <v>56</v>
      </c>
    </row>
    <row r="2038" spans="1:5" x14ac:dyDescent="0.3">
      <c r="A2038" s="3" t="s">
        <v>292</v>
      </c>
      <c r="B2038" s="3" t="s">
        <v>118</v>
      </c>
      <c r="C2038" s="3" t="s">
        <v>293</v>
      </c>
      <c r="D2038" s="4">
        <f t="shared" ca="1" si="23"/>
        <v>46000</v>
      </c>
      <c r="E2038" s="3" t="s">
        <v>60</v>
      </c>
    </row>
    <row r="2039" spans="1:5" x14ac:dyDescent="0.3">
      <c r="A2039" s="3" t="s">
        <v>381</v>
      </c>
      <c r="B2039" s="3" t="s">
        <v>25</v>
      </c>
      <c r="C2039" s="3" t="s">
        <v>382</v>
      </c>
      <c r="D2039" s="4">
        <f t="shared" ca="1" si="23"/>
        <v>46000</v>
      </c>
      <c r="E2039" s="3" t="s">
        <v>35</v>
      </c>
    </row>
    <row r="2040" spans="1:5" x14ac:dyDescent="0.3">
      <c r="A2040" s="3" t="s">
        <v>314</v>
      </c>
      <c r="B2040" s="3" t="s">
        <v>641</v>
      </c>
      <c r="C2040" s="3" t="s">
        <v>642</v>
      </c>
      <c r="D2040" s="4">
        <f t="shared" ca="1" si="23"/>
        <v>46000</v>
      </c>
      <c r="E2040" s="3" t="s">
        <v>56</v>
      </c>
    </row>
    <row r="2041" spans="1:5" x14ac:dyDescent="0.3">
      <c r="A2041" s="3" t="s">
        <v>512</v>
      </c>
      <c r="B2041" s="3" t="s">
        <v>47</v>
      </c>
      <c r="C2041" s="3" t="s">
        <v>513</v>
      </c>
      <c r="D2041" s="4">
        <f t="shared" ca="1" si="23"/>
        <v>46000</v>
      </c>
      <c r="E2041" s="3" t="s">
        <v>60</v>
      </c>
    </row>
    <row r="2042" spans="1:5" x14ac:dyDescent="0.3">
      <c r="A2042" s="3" t="s">
        <v>106</v>
      </c>
      <c r="B2042" s="3" t="s">
        <v>65</v>
      </c>
      <c r="C2042" s="3" t="s">
        <v>262</v>
      </c>
      <c r="D2042" s="4">
        <f t="shared" ca="1" si="23"/>
        <v>46000</v>
      </c>
      <c r="E2042" s="3" t="s">
        <v>60</v>
      </c>
    </row>
    <row r="2043" spans="1:5" x14ac:dyDescent="0.3">
      <c r="A2043" s="3" t="s">
        <v>520</v>
      </c>
      <c r="B2043" s="3" t="s">
        <v>65</v>
      </c>
      <c r="C2043" s="3" t="s">
        <v>521</v>
      </c>
      <c r="D2043" s="4">
        <f t="shared" ca="1" si="23"/>
        <v>46000</v>
      </c>
      <c r="E2043" s="3" t="s">
        <v>27</v>
      </c>
    </row>
    <row r="2044" spans="1:5" x14ac:dyDescent="0.3">
      <c r="A2044" s="3" t="s">
        <v>112</v>
      </c>
      <c r="B2044" s="3" t="s">
        <v>44</v>
      </c>
      <c r="C2044" s="3" t="s">
        <v>188</v>
      </c>
      <c r="D2044" s="4">
        <f t="shared" ca="1" si="23"/>
        <v>46000</v>
      </c>
      <c r="E2044" s="3" t="s">
        <v>27</v>
      </c>
    </row>
    <row r="2045" spans="1:5" x14ac:dyDescent="0.3">
      <c r="A2045" s="3" t="s">
        <v>527</v>
      </c>
      <c r="B2045" s="3" t="s">
        <v>118</v>
      </c>
      <c r="C2045" s="3" t="s">
        <v>528</v>
      </c>
      <c r="D2045" s="4">
        <f t="shared" ca="1" si="23"/>
        <v>46000</v>
      </c>
      <c r="E2045" s="3" t="s">
        <v>31</v>
      </c>
    </row>
    <row r="2046" spans="1:5" x14ac:dyDescent="0.3">
      <c r="A2046" s="3" t="s">
        <v>57</v>
      </c>
      <c r="B2046" s="3" t="s">
        <v>58</v>
      </c>
      <c r="C2046" s="3" t="s">
        <v>59</v>
      </c>
      <c r="D2046" s="4">
        <f t="shared" ca="1" si="23"/>
        <v>46000</v>
      </c>
      <c r="E2046" s="3" t="s">
        <v>60</v>
      </c>
    </row>
    <row r="2047" spans="1:5" x14ac:dyDescent="0.3">
      <c r="A2047" s="3" t="s">
        <v>545</v>
      </c>
      <c r="B2047" s="3" t="s">
        <v>58</v>
      </c>
      <c r="C2047" s="3" t="s">
        <v>566</v>
      </c>
      <c r="D2047" s="4">
        <f t="shared" ca="1" si="23"/>
        <v>46000</v>
      </c>
      <c r="E2047" s="3" t="s">
        <v>31</v>
      </c>
    </row>
    <row r="2048" spans="1:5" x14ac:dyDescent="0.3">
      <c r="A2048" s="3" t="s">
        <v>238</v>
      </c>
      <c r="B2048" s="3" t="s">
        <v>157</v>
      </c>
      <c r="C2048" s="3" t="s">
        <v>239</v>
      </c>
      <c r="D2048" s="4">
        <f t="shared" ca="1" si="23"/>
        <v>46000</v>
      </c>
      <c r="E2048" s="3" t="s">
        <v>39</v>
      </c>
    </row>
    <row r="2049" spans="1:5" x14ac:dyDescent="0.3">
      <c r="A2049" s="3" t="s">
        <v>388</v>
      </c>
      <c r="B2049" s="3" t="s">
        <v>157</v>
      </c>
      <c r="C2049" s="3" t="s">
        <v>389</v>
      </c>
      <c r="D2049" s="4">
        <f t="shared" ca="1" si="23"/>
        <v>46000</v>
      </c>
      <c r="E2049" s="3" t="s">
        <v>56</v>
      </c>
    </row>
    <row r="2050" spans="1:5" x14ac:dyDescent="0.3">
      <c r="A2050" s="3" t="s">
        <v>687</v>
      </c>
      <c r="B2050" s="3" t="s">
        <v>25</v>
      </c>
      <c r="C2050" s="3" t="s">
        <v>688</v>
      </c>
      <c r="D2050" s="4">
        <f t="shared" ca="1" si="23"/>
        <v>46000</v>
      </c>
      <c r="E2050" s="3" t="s">
        <v>39</v>
      </c>
    </row>
    <row r="2051" spans="1:5" x14ac:dyDescent="0.3">
      <c r="A2051" s="3" t="s">
        <v>589</v>
      </c>
      <c r="B2051" s="3" t="s">
        <v>65</v>
      </c>
      <c r="C2051" s="3" t="s">
        <v>590</v>
      </c>
      <c r="D2051" s="4">
        <f t="shared" ca="1" si="23"/>
        <v>46000</v>
      </c>
      <c r="E2051" s="3" t="s">
        <v>56</v>
      </c>
    </row>
    <row r="2052" spans="1:5" x14ac:dyDescent="0.3">
      <c r="A2052" s="3" t="s">
        <v>508</v>
      </c>
      <c r="B2052" s="3" t="s">
        <v>98</v>
      </c>
      <c r="C2052" s="3" t="s">
        <v>509</v>
      </c>
      <c r="D2052" s="4">
        <f t="shared" ca="1" si="23"/>
        <v>46000</v>
      </c>
      <c r="E2052" s="3" t="s">
        <v>39</v>
      </c>
    </row>
    <row r="2053" spans="1:5" x14ac:dyDescent="0.3">
      <c r="A2053" s="3" t="s">
        <v>404</v>
      </c>
      <c r="B2053" s="3" t="s">
        <v>118</v>
      </c>
      <c r="C2053" s="3" t="s">
        <v>405</v>
      </c>
      <c r="D2053" s="4">
        <f t="shared" ca="1" si="23"/>
        <v>46000</v>
      </c>
      <c r="E2053" s="3" t="s">
        <v>56</v>
      </c>
    </row>
    <row r="2054" spans="1:5" x14ac:dyDescent="0.3">
      <c r="A2054" s="3" t="s">
        <v>365</v>
      </c>
      <c r="B2054" s="3" t="s">
        <v>58</v>
      </c>
      <c r="C2054" s="3" t="s">
        <v>366</v>
      </c>
      <c r="D2054" s="4">
        <f t="shared" ca="1" si="23"/>
        <v>46000</v>
      </c>
      <c r="E2054" s="3" t="s">
        <v>39</v>
      </c>
    </row>
    <row r="2055" spans="1:5" x14ac:dyDescent="0.3">
      <c r="A2055" s="3" t="s">
        <v>607</v>
      </c>
      <c r="B2055" s="3" t="s">
        <v>504</v>
      </c>
      <c r="C2055" s="3" t="s">
        <v>262</v>
      </c>
      <c r="D2055" s="4">
        <f t="shared" ca="1" si="23"/>
        <v>46000</v>
      </c>
      <c r="E2055" s="3" t="s">
        <v>39</v>
      </c>
    </row>
    <row r="2056" spans="1:5" x14ac:dyDescent="0.3">
      <c r="A2056" s="3" t="s">
        <v>464</v>
      </c>
      <c r="B2056" s="3" t="s">
        <v>93</v>
      </c>
      <c r="C2056" s="3" t="s">
        <v>465</v>
      </c>
      <c r="D2056" s="4">
        <f t="shared" ca="1" si="23"/>
        <v>46000</v>
      </c>
      <c r="E2056" s="3" t="s">
        <v>39</v>
      </c>
    </row>
    <row r="2057" spans="1:5" x14ac:dyDescent="0.3">
      <c r="A2057" s="3" t="s">
        <v>784</v>
      </c>
      <c r="B2057" s="3" t="s">
        <v>368</v>
      </c>
      <c r="C2057" s="3" t="s">
        <v>785</v>
      </c>
      <c r="D2057" s="4">
        <f t="shared" ca="1" si="23"/>
        <v>46000</v>
      </c>
      <c r="E2057" s="3" t="s">
        <v>31</v>
      </c>
    </row>
    <row r="2058" spans="1:5" x14ac:dyDescent="0.3">
      <c r="A2058" s="3" t="s">
        <v>267</v>
      </c>
      <c r="B2058" s="3" t="s">
        <v>65</v>
      </c>
      <c r="C2058" s="3" t="s">
        <v>268</v>
      </c>
      <c r="D2058" s="4">
        <f t="shared" ca="1" si="23"/>
        <v>46000</v>
      </c>
      <c r="E2058" s="3" t="s">
        <v>60</v>
      </c>
    </row>
    <row r="2059" spans="1:5" x14ac:dyDescent="0.3">
      <c r="A2059" s="3" t="s">
        <v>297</v>
      </c>
      <c r="B2059" s="3" t="s">
        <v>298</v>
      </c>
      <c r="C2059" s="3" t="s">
        <v>285</v>
      </c>
      <c r="D2059" s="4">
        <f t="shared" ca="1" si="23"/>
        <v>46000</v>
      </c>
      <c r="E2059" s="3" t="s">
        <v>56</v>
      </c>
    </row>
    <row r="2060" spans="1:5" x14ac:dyDescent="0.3">
      <c r="A2060" s="3" t="s">
        <v>794</v>
      </c>
      <c r="B2060" s="3" t="s">
        <v>87</v>
      </c>
      <c r="C2060" s="3" t="s">
        <v>795</v>
      </c>
      <c r="D2060" s="4">
        <f t="shared" ca="1" si="23"/>
        <v>46000</v>
      </c>
      <c r="E2060" s="3" t="s">
        <v>35</v>
      </c>
    </row>
    <row r="2061" spans="1:5" x14ac:dyDescent="0.3">
      <c r="A2061" s="3" t="s">
        <v>743</v>
      </c>
      <c r="B2061" s="3" t="s">
        <v>124</v>
      </c>
      <c r="C2061" s="3" t="s">
        <v>744</v>
      </c>
      <c r="D2061" s="4">
        <f t="shared" ca="1" si="23"/>
        <v>46000</v>
      </c>
      <c r="E2061" s="3" t="s">
        <v>60</v>
      </c>
    </row>
    <row r="2062" spans="1:5" x14ac:dyDescent="0.3">
      <c r="A2062" s="3" t="s">
        <v>503</v>
      </c>
      <c r="B2062" s="3" t="s">
        <v>504</v>
      </c>
      <c r="C2062" s="3" t="s">
        <v>289</v>
      </c>
      <c r="D2062" s="4">
        <f t="shared" ca="1" si="23"/>
        <v>46000</v>
      </c>
      <c r="E2062" s="3" t="s">
        <v>39</v>
      </c>
    </row>
    <row r="2063" spans="1:5" x14ac:dyDescent="0.3">
      <c r="A2063" s="3" t="s">
        <v>631</v>
      </c>
      <c r="B2063" s="3" t="s">
        <v>33</v>
      </c>
      <c r="C2063" s="3" t="s">
        <v>79</v>
      </c>
      <c r="D2063" s="4">
        <f t="shared" ca="1" si="23"/>
        <v>46000</v>
      </c>
      <c r="E2063" s="3" t="s">
        <v>60</v>
      </c>
    </row>
    <row r="2064" spans="1:5" x14ac:dyDescent="0.3">
      <c r="A2064" s="3" t="s">
        <v>70</v>
      </c>
      <c r="B2064" s="3" t="s">
        <v>71</v>
      </c>
      <c r="C2064" s="3" t="s">
        <v>72</v>
      </c>
      <c r="D2064" s="4">
        <f t="shared" ca="1" si="23"/>
        <v>46000</v>
      </c>
      <c r="E2064" s="3" t="s">
        <v>39</v>
      </c>
    </row>
    <row r="2065" spans="1:5" x14ac:dyDescent="0.3">
      <c r="A2065" s="3" t="s">
        <v>756</v>
      </c>
      <c r="B2065" s="3" t="s">
        <v>93</v>
      </c>
      <c r="C2065" s="3" t="s">
        <v>757</v>
      </c>
      <c r="D2065" s="4">
        <f t="shared" ca="1" si="23"/>
        <v>46000</v>
      </c>
      <c r="E2065" s="3" t="s">
        <v>56</v>
      </c>
    </row>
    <row r="2066" spans="1:5" x14ac:dyDescent="0.3">
      <c r="A2066" s="3" t="s">
        <v>782</v>
      </c>
      <c r="B2066" s="3" t="s">
        <v>98</v>
      </c>
      <c r="C2066" s="3" t="s">
        <v>783</v>
      </c>
      <c r="D2066" s="4">
        <f t="shared" ca="1" si="23"/>
        <v>46000</v>
      </c>
      <c r="E2066" s="3" t="s">
        <v>39</v>
      </c>
    </row>
    <row r="2067" spans="1:5" x14ac:dyDescent="0.3">
      <c r="A2067" s="3" t="s">
        <v>311</v>
      </c>
      <c r="B2067" s="3" t="s">
        <v>74</v>
      </c>
      <c r="C2067" s="3" t="s">
        <v>754</v>
      </c>
      <c r="D2067" s="4">
        <f t="shared" ca="1" si="23"/>
        <v>46000</v>
      </c>
      <c r="E2067" s="3" t="s">
        <v>27</v>
      </c>
    </row>
    <row r="2068" spans="1:5" x14ac:dyDescent="0.3">
      <c r="A2068" s="3" t="s">
        <v>124</v>
      </c>
      <c r="B2068" s="3" t="s">
        <v>270</v>
      </c>
      <c r="C2068" s="3" t="s">
        <v>812</v>
      </c>
      <c r="D2068" s="4">
        <f t="shared" ca="1" si="23"/>
        <v>46000</v>
      </c>
      <c r="E2068" s="3" t="s">
        <v>60</v>
      </c>
    </row>
    <row r="2069" spans="1:5" x14ac:dyDescent="0.3">
      <c r="A2069" s="3" t="s">
        <v>209</v>
      </c>
      <c r="B2069" s="3" t="s">
        <v>68</v>
      </c>
      <c r="C2069" s="3" t="s">
        <v>151</v>
      </c>
      <c r="D2069" s="4">
        <f t="shared" ca="1" si="23"/>
        <v>46000</v>
      </c>
      <c r="E2069" s="3" t="s">
        <v>39</v>
      </c>
    </row>
    <row r="2070" spans="1:5" x14ac:dyDescent="0.3">
      <c r="A2070" s="3" t="s">
        <v>464</v>
      </c>
      <c r="B2070" s="3" t="s">
        <v>93</v>
      </c>
      <c r="C2070" s="3" t="s">
        <v>465</v>
      </c>
      <c r="D2070" s="4">
        <f t="shared" ca="1" si="23"/>
        <v>46000</v>
      </c>
      <c r="E2070" s="3" t="s">
        <v>39</v>
      </c>
    </row>
    <row r="2071" spans="1:5" x14ac:dyDescent="0.3">
      <c r="A2071" s="3" t="s">
        <v>32</v>
      </c>
      <c r="B2071" s="3" t="s">
        <v>33</v>
      </c>
      <c r="C2071" s="3" t="s">
        <v>34</v>
      </c>
      <c r="D2071" s="4">
        <f t="shared" ca="1" si="23"/>
        <v>46000</v>
      </c>
      <c r="E2071" s="3" t="s">
        <v>35</v>
      </c>
    </row>
    <row r="2072" spans="1:5" x14ac:dyDescent="0.3">
      <c r="A2072" s="3" t="s">
        <v>375</v>
      </c>
      <c r="B2072" s="3" t="s">
        <v>25</v>
      </c>
      <c r="C2072" s="3" t="s">
        <v>158</v>
      </c>
      <c r="D2072" s="4">
        <f t="shared" ca="1" si="23"/>
        <v>46000</v>
      </c>
      <c r="E2072" s="3" t="s">
        <v>39</v>
      </c>
    </row>
    <row r="2073" spans="1:5" x14ac:dyDescent="0.3">
      <c r="A2073" s="3" t="s">
        <v>73</v>
      </c>
      <c r="B2073" s="3" t="s">
        <v>74</v>
      </c>
      <c r="C2073" s="3" t="s">
        <v>75</v>
      </c>
      <c r="D2073" s="4">
        <f t="shared" ca="1" si="23"/>
        <v>46000</v>
      </c>
      <c r="E2073" s="3" t="s">
        <v>39</v>
      </c>
    </row>
    <row r="2074" spans="1:5" x14ac:dyDescent="0.3">
      <c r="A2074" s="3" t="s">
        <v>764</v>
      </c>
      <c r="B2074" s="3" t="s">
        <v>356</v>
      </c>
      <c r="C2074" s="3" t="s">
        <v>582</v>
      </c>
      <c r="D2074" s="4">
        <f t="shared" ca="1" si="23"/>
        <v>46000</v>
      </c>
      <c r="E2074" s="3" t="s">
        <v>39</v>
      </c>
    </row>
    <row r="2075" spans="1:5" x14ac:dyDescent="0.3">
      <c r="A2075" s="3" t="s">
        <v>631</v>
      </c>
      <c r="B2075" s="3" t="s">
        <v>33</v>
      </c>
      <c r="C2075" s="3" t="s">
        <v>79</v>
      </c>
      <c r="D2075" s="4">
        <f t="shared" ca="1" si="23"/>
        <v>46000</v>
      </c>
      <c r="E2075" s="3" t="s">
        <v>60</v>
      </c>
    </row>
    <row r="2076" spans="1:5" x14ac:dyDescent="0.3">
      <c r="A2076" s="3" t="s">
        <v>203</v>
      </c>
      <c r="B2076" s="3" t="s">
        <v>150</v>
      </c>
      <c r="C2076" s="3" t="s">
        <v>166</v>
      </c>
      <c r="D2076" s="4">
        <f t="shared" ca="1" si="23"/>
        <v>46000</v>
      </c>
      <c r="E2076" s="3" t="s">
        <v>39</v>
      </c>
    </row>
    <row r="2077" spans="1:5" x14ac:dyDescent="0.3">
      <c r="A2077" s="3" t="s">
        <v>721</v>
      </c>
      <c r="B2077" s="3" t="s">
        <v>71</v>
      </c>
      <c r="C2077" s="3" t="s">
        <v>722</v>
      </c>
      <c r="D2077" s="4">
        <f t="shared" ca="1" si="23"/>
        <v>46000</v>
      </c>
      <c r="E2077" s="3" t="s">
        <v>60</v>
      </c>
    </row>
    <row r="2078" spans="1:5" x14ac:dyDescent="0.3">
      <c r="A2078" s="3" t="s">
        <v>636</v>
      </c>
      <c r="B2078" s="3" t="s">
        <v>65</v>
      </c>
      <c r="C2078" s="3" t="s">
        <v>679</v>
      </c>
      <c r="D2078" s="4">
        <f t="shared" ca="1" si="23"/>
        <v>46000</v>
      </c>
      <c r="E2078" s="3" t="s">
        <v>39</v>
      </c>
    </row>
    <row r="2079" spans="1:5" x14ac:dyDescent="0.3">
      <c r="A2079" s="3" t="s">
        <v>555</v>
      </c>
      <c r="B2079" s="3" t="s">
        <v>37</v>
      </c>
      <c r="C2079" s="3" t="s">
        <v>556</v>
      </c>
      <c r="D2079" s="4">
        <f t="shared" ca="1" si="23"/>
        <v>46000</v>
      </c>
      <c r="E2079" s="3" t="s">
        <v>60</v>
      </c>
    </row>
    <row r="2080" spans="1:5" x14ac:dyDescent="0.3">
      <c r="A2080" s="3" t="s">
        <v>281</v>
      </c>
      <c r="B2080" s="3" t="s">
        <v>37</v>
      </c>
      <c r="C2080" s="3" t="s">
        <v>505</v>
      </c>
      <c r="D2080" s="4">
        <f t="shared" ca="1" si="23"/>
        <v>46000</v>
      </c>
      <c r="E2080" s="3" t="s">
        <v>27</v>
      </c>
    </row>
    <row r="2081" spans="1:5" x14ac:dyDescent="0.3">
      <c r="A2081" s="3" t="s">
        <v>363</v>
      </c>
      <c r="B2081" s="3" t="s">
        <v>71</v>
      </c>
      <c r="C2081" s="3" t="s">
        <v>26</v>
      </c>
      <c r="D2081" s="4">
        <f t="shared" ca="1" si="23"/>
        <v>46000</v>
      </c>
      <c r="E2081" s="3" t="s">
        <v>56</v>
      </c>
    </row>
    <row r="2082" spans="1:5" x14ac:dyDescent="0.3">
      <c r="A2082" s="3" t="s">
        <v>263</v>
      </c>
      <c r="B2082" s="3" t="s">
        <v>44</v>
      </c>
      <c r="C2082" s="3" t="s">
        <v>431</v>
      </c>
      <c r="D2082" s="4">
        <f t="shared" ca="1" si="23"/>
        <v>46000</v>
      </c>
      <c r="E2082" s="3" t="s">
        <v>60</v>
      </c>
    </row>
    <row r="2083" spans="1:5" x14ac:dyDescent="0.3">
      <c r="A2083" s="3" t="s">
        <v>805</v>
      </c>
      <c r="B2083" s="3" t="s">
        <v>162</v>
      </c>
      <c r="C2083" s="3" t="s">
        <v>806</v>
      </c>
      <c r="D2083" s="4">
        <f t="shared" ca="1" si="23"/>
        <v>46000</v>
      </c>
      <c r="E2083" s="3" t="s">
        <v>35</v>
      </c>
    </row>
    <row r="2084" spans="1:5" x14ac:dyDescent="0.3">
      <c r="A2084" s="3" t="s">
        <v>772</v>
      </c>
      <c r="B2084" s="3" t="s">
        <v>50</v>
      </c>
      <c r="C2084" s="3" t="s">
        <v>216</v>
      </c>
      <c r="D2084" s="4">
        <f t="shared" ca="1" si="23"/>
        <v>46000</v>
      </c>
      <c r="E2084" s="3" t="s">
        <v>56</v>
      </c>
    </row>
    <row r="2085" spans="1:5" x14ac:dyDescent="0.3">
      <c r="A2085" s="3" t="s">
        <v>204</v>
      </c>
      <c r="B2085" s="3" t="s">
        <v>124</v>
      </c>
      <c r="C2085" s="3" t="s">
        <v>134</v>
      </c>
      <c r="D2085" s="4">
        <f t="shared" ca="1" si="23"/>
        <v>46000</v>
      </c>
      <c r="E2085" s="3" t="s">
        <v>60</v>
      </c>
    </row>
    <row r="2086" spans="1:5" x14ac:dyDescent="0.3">
      <c r="A2086" s="3" t="s">
        <v>662</v>
      </c>
      <c r="B2086" s="3" t="s">
        <v>65</v>
      </c>
      <c r="C2086" s="3" t="s">
        <v>663</v>
      </c>
      <c r="D2086" s="4">
        <f t="shared" ca="1" si="23"/>
        <v>46000</v>
      </c>
      <c r="E2086" s="3" t="s">
        <v>35</v>
      </c>
    </row>
    <row r="2087" spans="1:5" x14ac:dyDescent="0.3">
      <c r="A2087" s="3" t="s">
        <v>374</v>
      </c>
      <c r="B2087" s="3" t="s">
        <v>33</v>
      </c>
      <c r="C2087" s="3" t="s">
        <v>185</v>
      </c>
      <c r="D2087" s="4">
        <f t="shared" ca="1" si="23"/>
        <v>46000</v>
      </c>
      <c r="E2087" s="3" t="s">
        <v>35</v>
      </c>
    </row>
    <row r="2088" spans="1:5" x14ac:dyDescent="0.3">
      <c r="A2088" s="3" t="s">
        <v>92</v>
      </c>
      <c r="B2088" s="3" t="s">
        <v>93</v>
      </c>
      <c r="C2088" s="3" t="s">
        <v>94</v>
      </c>
      <c r="D2088" s="4">
        <f t="shared" ca="1" si="23"/>
        <v>46000</v>
      </c>
      <c r="E2088" s="3" t="s">
        <v>56</v>
      </c>
    </row>
    <row r="2089" spans="1:5" x14ac:dyDescent="0.3">
      <c r="A2089" s="3" t="s">
        <v>211</v>
      </c>
      <c r="B2089" s="3" t="s">
        <v>212</v>
      </c>
      <c r="C2089" s="3" t="s">
        <v>169</v>
      </c>
      <c r="D2089" s="4">
        <f t="shared" ca="1" si="23"/>
        <v>46000</v>
      </c>
      <c r="E2089" s="3" t="s">
        <v>56</v>
      </c>
    </row>
    <row r="2090" spans="1:5" x14ac:dyDescent="0.3">
      <c r="A2090" s="3" t="s">
        <v>57</v>
      </c>
      <c r="B2090" s="3" t="s">
        <v>58</v>
      </c>
      <c r="C2090" s="3" t="s">
        <v>59</v>
      </c>
      <c r="D2090" s="4">
        <f t="shared" ca="1" si="23"/>
        <v>46000</v>
      </c>
      <c r="E2090" s="3" t="s">
        <v>60</v>
      </c>
    </row>
    <row r="2091" spans="1:5" x14ac:dyDescent="0.3">
      <c r="A2091" s="3" t="s">
        <v>89</v>
      </c>
      <c r="B2091" s="3" t="s">
        <v>581</v>
      </c>
      <c r="C2091" s="3" t="s">
        <v>582</v>
      </c>
      <c r="D2091" s="4">
        <f t="shared" ca="1" si="23"/>
        <v>46000</v>
      </c>
      <c r="E2091" s="3" t="s">
        <v>39</v>
      </c>
    </row>
    <row r="2092" spans="1:5" x14ac:dyDescent="0.3">
      <c r="A2092" s="3" t="s">
        <v>40</v>
      </c>
      <c r="B2092" s="3" t="s">
        <v>41</v>
      </c>
      <c r="C2092" s="3" t="s">
        <v>42</v>
      </c>
      <c r="D2092" s="4">
        <f t="shared" ca="1" si="23"/>
        <v>46000</v>
      </c>
      <c r="E2092" s="3" t="s">
        <v>39</v>
      </c>
    </row>
    <row r="2093" spans="1:5" x14ac:dyDescent="0.3">
      <c r="A2093" s="3" t="s">
        <v>520</v>
      </c>
      <c r="B2093" s="3" t="s">
        <v>65</v>
      </c>
      <c r="C2093" s="3" t="s">
        <v>521</v>
      </c>
      <c r="D2093" s="4">
        <f t="shared" ca="1" si="23"/>
        <v>46000</v>
      </c>
      <c r="E2093" s="3" t="s">
        <v>27</v>
      </c>
    </row>
    <row r="2094" spans="1:5" x14ac:dyDescent="0.3">
      <c r="A2094" s="3" t="s">
        <v>698</v>
      </c>
      <c r="B2094" s="3" t="s">
        <v>275</v>
      </c>
      <c r="C2094" s="3" t="s">
        <v>699</v>
      </c>
      <c r="D2094" s="4">
        <f t="shared" ca="1" si="23"/>
        <v>46000</v>
      </c>
      <c r="E2094" s="3" t="s">
        <v>27</v>
      </c>
    </row>
    <row r="2095" spans="1:5" x14ac:dyDescent="0.3">
      <c r="A2095" s="3" t="s">
        <v>797</v>
      </c>
      <c r="B2095" s="3" t="s">
        <v>695</v>
      </c>
      <c r="C2095" s="3" t="s">
        <v>798</v>
      </c>
      <c r="D2095" s="4">
        <f t="shared" ca="1" si="23"/>
        <v>46000</v>
      </c>
      <c r="E2095" s="3" t="s">
        <v>60</v>
      </c>
    </row>
    <row r="2096" spans="1:5" x14ac:dyDescent="0.3">
      <c r="A2096" s="3" t="s">
        <v>637</v>
      </c>
      <c r="B2096" s="3" t="s">
        <v>165</v>
      </c>
      <c r="C2096" s="3" t="s">
        <v>638</v>
      </c>
      <c r="D2096" s="4">
        <f t="shared" ca="1" si="23"/>
        <v>46000</v>
      </c>
      <c r="E2096" s="3" t="s">
        <v>60</v>
      </c>
    </row>
    <row r="2097" spans="1:5" x14ac:dyDescent="0.3">
      <c r="A2097" s="3" t="s">
        <v>462</v>
      </c>
      <c r="B2097" s="3" t="s">
        <v>359</v>
      </c>
      <c r="C2097" s="3" t="s">
        <v>463</v>
      </c>
      <c r="D2097" s="4">
        <f t="shared" ca="1" si="23"/>
        <v>46000</v>
      </c>
      <c r="E2097" s="3" t="s">
        <v>39</v>
      </c>
    </row>
    <row r="2098" spans="1:5" x14ac:dyDescent="0.3">
      <c r="A2098" s="3" t="s">
        <v>452</v>
      </c>
      <c r="B2098" s="3" t="s">
        <v>453</v>
      </c>
      <c r="C2098" s="3" t="s">
        <v>454</v>
      </c>
      <c r="D2098" s="4">
        <f t="shared" ca="1" si="23"/>
        <v>46000</v>
      </c>
      <c r="E2098" s="3" t="s">
        <v>35</v>
      </c>
    </row>
    <row r="2099" spans="1:5" x14ac:dyDescent="0.3">
      <c r="A2099" s="3" t="s">
        <v>553</v>
      </c>
      <c r="B2099" s="3" t="s">
        <v>50</v>
      </c>
      <c r="C2099" s="3" t="s">
        <v>554</v>
      </c>
      <c r="D2099" s="4">
        <f t="shared" ca="1" si="23"/>
        <v>46000</v>
      </c>
      <c r="E2099" s="3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FE06-833F-684B-A5CB-343A168A6A3E}">
  <sheetPr>
    <tabColor rgb="FFCCE9FF"/>
  </sheetPr>
  <dimension ref="A1:C2787"/>
  <sheetViews>
    <sheetView topLeftCell="A224" workbookViewId="0">
      <selection activeCell="D5" sqref="D5"/>
    </sheetView>
  </sheetViews>
  <sheetFormatPr defaultColWidth="10.90625" defaultRowHeight="13" x14ac:dyDescent="0.3"/>
  <cols>
    <col min="1" max="1" width="25.81640625" style="2" bestFit="1" customWidth="1"/>
    <col min="2" max="2" width="72" style="2" bestFit="1" customWidth="1"/>
    <col min="3" max="3" width="13" style="2" bestFit="1" customWidth="1"/>
    <col min="4" max="16384" width="10.90625" style="2"/>
  </cols>
  <sheetData>
    <row r="1" spans="1:3" ht="25" customHeight="1" thickBot="1" x14ac:dyDescent="0.35">
      <c r="A1" s="1" t="s">
        <v>818</v>
      </c>
      <c r="B1" s="1" t="s">
        <v>819</v>
      </c>
      <c r="C1" s="1" t="s">
        <v>22</v>
      </c>
    </row>
    <row r="2" spans="1:3" ht="13.5" thickTop="1" x14ac:dyDescent="0.3">
      <c r="A2" s="42">
        <v>10000000067</v>
      </c>
      <c r="B2" s="3" t="s">
        <v>820</v>
      </c>
      <c r="C2" s="4">
        <f t="shared" ref="C2:C84" ca="1" si="0">TODAY()-737</f>
        <v>45300</v>
      </c>
    </row>
    <row r="3" spans="1:3" x14ac:dyDescent="0.3">
      <c r="A3" s="42">
        <v>10000000134</v>
      </c>
      <c r="B3" s="3" t="s">
        <v>821</v>
      </c>
      <c r="C3" s="4">
        <f t="shared" ca="1" si="0"/>
        <v>45300</v>
      </c>
    </row>
    <row r="4" spans="1:3" x14ac:dyDescent="0.3">
      <c r="A4" s="42">
        <v>10000000653</v>
      </c>
      <c r="B4" s="3" t="s">
        <v>822</v>
      </c>
      <c r="C4" s="4">
        <f t="shared" ca="1" si="0"/>
        <v>45300</v>
      </c>
    </row>
    <row r="5" spans="1:3" x14ac:dyDescent="0.3">
      <c r="A5" s="42">
        <v>10000000325</v>
      </c>
      <c r="B5" s="3" t="s">
        <v>823</v>
      </c>
      <c r="C5" s="4">
        <f t="shared" ca="1" si="0"/>
        <v>45300</v>
      </c>
    </row>
    <row r="6" spans="1:3" x14ac:dyDescent="0.3">
      <c r="A6" s="42">
        <v>10000000522</v>
      </c>
      <c r="B6" s="3" t="s">
        <v>824</v>
      </c>
      <c r="C6" s="4">
        <f t="shared" ca="1" si="0"/>
        <v>45300</v>
      </c>
    </row>
    <row r="7" spans="1:3" x14ac:dyDescent="0.3">
      <c r="A7" s="42">
        <v>10000000067</v>
      </c>
      <c r="B7" s="3" t="s">
        <v>820</v>
      </c>
      <c r="C7" s="4">
        <f t="shared" ca="1" si="0"/>
        <v>45300</v>
      </c>
    </row>
    <row r="8" spans="1:3" x14ac:dyDescent="0.3">
      <c r="A8" s="42">
        <v>10000000353</v>
      </c>
      <c r="B8" s="3" t="s">
        <v>825</v>
      </c>
      <c r="C8" s="4">
        <f t="shared" ca="1" si="0"/>
        <v>45300</v>
      </c>
    </row>
    <row r="9" spans="1:3" x14ac:dyDescent="0.3">
      <c r="A9" s="42">
        <v>10000000546</v>
      </c>
      <c r="B9" s="3" t="s">
        <v>826</v>
      </c>
      <c r="C9" s="4">
        <f t="shared" ca="1" si="0"/>
        <v>45300</v>
      </c>
    </row>
    <row r="10" spans="1:3" x14ac:dyDescent="0.3">
      <c r="A10" s="42">
        <v>10000000689</v>
      </c>
      <c r="B10" s="3" t="s">
        <v>827</v>
      </c>
      <c r="C10" s="4">
        <f t="shared" ca="1" si="0"/>
        <v>45300</v>
      </c>
    </row>
    <row r="11" spans="1:3" x14ac:dyDescent="0.3">
      <c r="A11" s="42">
        <v>10000000227</v>
      </c>
      <c r="B11" s="3" t="s">
        <v>828</v>
      </c>
      <c r="C11" s="4">
        <f t="shared" ca="1" si="0"/>
        <v>45300</v>
      </c>
    </row>
    <row r="12" spans="1:3" x14ac:dyDescent="0.3">
      <c r="A12" s="42">
        <v>10000000148</v>
      </c>
      <c r="B12" s="3" t="s">
        <v>829</v>
      </c>
      <c r="C12" s="4">
        <f t="shared" ca="1" si="0"/>
        <v>45300</v>
      </c>
    </row>
    <row r="13" spans="1:3" x14ac:dyDescent="0.3">
      <c r="A13" s="42">
        <v>10000000584</v>
      </c>
      <c r="B13" s="3" t="s">
        <v>830</v>
      </c>
      <c r="C13" s="4">
        <f t="shared" ca="1" si="0"/>
        <v>45300</v>
      </c>
    </row>
    <row r="14" spans="1:3" x14ac:dyDescent="0.3">
      <c r="A14" s="42">
        <v>10000000581</v>
      </c>
      <c r="B14" s="3" t="s">
        <v>831</v>
      </c>
      <c r="C14" s="4">
        <f t="shared" ca="1" si="0"/>
        <v>45300</v>
      </c>
    </row>
    <row r="15" spans="1:3" x14ac:dyDescent="0.3">
      <c r="A15" s="42">
        <v>10000000217</v>
      </c>
      <c r="B15" s="3" t="s">
        <v>832</v>
      </c>
      <c r="C15" s="4">
        <f t="shared" ca="1" si="0"/>
        <v>45300</v>
      </c>
    </row>
    <row r="16" spans="1:3" x14ac:dyDescent="0.3">
      <c r="A16" s="42">
        <v>10000000418</v>
      </c>
      <c r="B16" s="3" t="s">
        <v>833</v>
      </c>
      <c r="C16" s="4">
        <f t="shared" ca="1" si="0"/>
        <v>45300</v>
      </c>
    </row>
    <row r="17" spans="1:3" x14ac:dyDescent="0.3">
      <c r="A17" s="42">
        <v>10000000070</v>
      </c>
      <c r="B17" s="3" t="s">
        <v>834</v>
      </c>
      <c r="C17" s="4">
        <f t="shared" ca="1" si="0"/>
        <v>45300</v>
      </c>
    </row>
    <row r="18" spans="1:3" x14ac:dyDescent="0.3">
      <c r="A18" s="42">
        <v>10000000130</v>
      </c>
      <c r="B18" s="3" t="s">
        <v>835</v>
      </c>
      <c r="C18" s="4">
        <f t="shared" ca="1" si="0"/>
        <v>45300</v>
      </c>
    </row>
    <row r="19" spans="1:3" x14ac:dyDescent="0.3">
      <c r="A19" s="42">
        <v>10000000100</v>
      </c>
      <c r="B19" s="3" t="s">
        <v>836</v>
      </c>
      <c r="C19" s="4">
        <f t="shared" ca="1" si="0"/>
        <v>45300</v>
      </c>
    </row>
    <row r="20" spans="1:3" x14ac:dyDescent="0.3">
      <c r="A20" s="42">
        <v>10000000602</v>
      </c>
      <c r="B20" s="3" t="s">
        <v>837</v>
      </c>
      <c r="C20" s="4">
        <f t="shared" ca="1" si="0"/>
        <v>45300</v>
      </c>
    </row>
    <row r="21" spans="1:3" x14ac:dyDescent="0.3">
      <c r="A21" s="42">
        <v>10000000423</v>
      </c>
      <c r="B21" s="3" t="s">
        <v>838</v>
      </c>
      <c r="C21" s="4">
        <f t="shared" ca="1" si="0"/>
        <v>45300</v>
      </c>
    </row>
    <row r="22" spans="1:3" x14ac:dyDescent="0.3">
      <c r="A22" s="42">
        <v>10000000509</v>
      </c>
      <c r="B22" s="3" t="s">
        <v>839</v>
      </c>
      <c r="C22" s="4">
        <f t="shared" ca="1" si="0"/>
        <v>45300</v>
      </c>
    </row>
    <row r="23" spans="1:3" x14ac:dyDescent="0.3">
      <c r="A23" s="42">
        <v>10000000354</v>
      </c>
      <c r="B23" s="3" t="s">
        <v>840</v>
      </c>
      <c r="C23" s="4">
        <f t="shared" ca="1" si="0"/>
        <v>45300</v>
      </c>
    </row>
    <row r="24" spans="1:3" x14ac:dyDescent="0.3">
      <c r="A24" s="42">
        <v>10000000389</v>
      </c>
      <c r="B24" s="3" t="s">
        <v>841</v>
      </c>
      <c r="C24" s="4">
        <f t="shared" ca="1" si="0"/>
        <v>45300</v>
      </c>
    </row>
    <row r="25" spans="1:3" x14ac:dyDescent="0.3">
      <c r="A25" s="42">
        <v>10000000545</v>
      </c>
      <c r="B25" s="3" t="s">
        <v>842</v>
      </c>
      <c r="C25" s="4">
        <f t="shared" ca="1" si="0"/>
        <v>45300</v>
      </c>
    </row>
    <row r="26" spans="1:3" x14ac:dyDescent="0.3">
      <c r="A26" s="42">
        <v>10000000645</v>
      </c>
      <c r="B26" s="3" t="s">
        <v>843</v>
      </c>
      <c r="C26" s="4">
        <f t="shared" ca="1" si="0"/>
        <v>45300</v>
      </c>
    </row>
    <row r="27" spans="1:3" x14ac:dyDescent="0.3">
      <c r="A27" s="42">
        <v>10000000080</v>
      </c>
      <c r="B27" s="3" t="s">
        <v>844</v>
      </c>
      <c r="C27" s="4">
        <f t="shared" ca="1" si="0"/>
        <v>45300</v>
      </c>
    </row>
    <row r="28" spans="1:3" x14ac:dyDescent="0.3">
      <c r="A28" s="42">
        <v>10000000174</v>
      </c>
      <c r="B28" s="3" t="s">
        <v>845</v>
      </c>
      <c r="C28" s="4">
        <f t="shared" ca="1" si="0"/>
        <v>45300</v>
      </c>
    </row>
    <row r="29" spans="1:3" x14ac:dyDescent="0.3">
      <c r="A29" s="42">
        <v>10000000194</v>
      </c>
      <c r="B29" s="3" t="s">
        <v>846</v>
      </c>
      <c r="C29" s="4">
        <f t="shared" ca="1" si="0"/>
        <v>45300</v>
      </c>
    </row>
    <row r="30" spans="1:3" x14ac:dyDescent="0.3">
      <c r="A30" s="42">
        <v>10000000316</v>
      </c>
      <c r="B30" s="3" t="s">
        <v>847</v>
      </c>
      <c r="C30" s="4">
        <f t="shared" ca="1" si="0"/>
        <v>45300</v>
      </c>
    </row>
    <row r="31" spans="1:3" x14ac:dyDescent="0.3">
      <c r="A31" s="42">
        <v>10000000690</v>
      </c>
      <c r="B31" s="3" t="s">
        <v>848</v>
      </c>
      <c r="C31" s="4">
        <f t="shared" ca="1" si="0"/>
        <v>45300</v>
      </c>
    </row>
    <row r="32" spans="1:3" x14ac:dyDescent="0.3">
      <c r="A32" s="42">
        <v>10000000442</v>
      </c>
      <c r="B32" s="3" t="s">
        <v>849</v>
      </c>
      <c r="C32" s="4">
        <f t="shared" ca="1" si="0"/>
        <v>45300</v>
      </c>
    </row>
    <row r="33" spans="1:3" x14ac:dyDescent="0.3">
      <c r="A33" s="42">
        <v>10000000261</v>
      </c>
      <c r="B33" s="3" t="s">
        <v>850</v>
      </c>
      <c r="C33" s="4">
        <f t="shared" ca="1" si="0"/>
        <v>45300</v>
      </c>
    </row>
    <row r="34" spans="1:3" x14ac:dyDescent="0.3">
      <c r="A34" s="42">
        <v>10000000620</v>
      </c>
      <c r="B34" s="3" t="s">
        <v>851</v>
      </c>
      <c r="C34" s="4">
        <f t="shared" ca="1" si="0"/>
        <v>45300</v>
      </c>
    </row>
    <row r="35" spans="1:3" x14ac:dyDescent="0.3">
      <c r="A35" s="42">
        <v>10000000639</v>
      </c>
      <c r="B35" s="3" t="s">
        <v>852</v>
      </c>
      <c r="C35" s="4">
        <f t="shared" ca="1" si="0"/>
        <v>45300</v>
      </c>
    </row>
    <row r="36" spans="1:3" x14ac:dyDescent="0.3">
      <c r="A36" s="42">
        <v>10000000303</v>
      </c>
      <c r="B36" s="3" t="s">
        <v>853</v>
      </c>
      <c r="C36" s="4">
        <f t="shared" ca="1" si="0"/>
        <v>45300</v>
      </c>
    </row>
    <row r="37" spans="1:3" x14ac:dyDescent="0.3">
      <c r="A37" s="42">
        <v>10000000544</v>
      </c>
      <c r="B37" s="3" t="s">
        <v>854</v>
      </c>
      <c r="C37" s="4">
        <f t="shared" ca="1" si="0"/>
        <v>45300</v>
      </c>
    </row>
    <row r="38" spans="1:3" x14ac:dyDescent="0.3">
      <c r="A38" s="42">
        <v>10000000227</v>
      </c>
      <c r="B38" s="3" t="s">
        <v>828</v>
      </c>
      <c r="C38" s="4">
        <f t="shared" ca="1" si="0"/>
        <v>45300</v>
      </c>
    </row>
    <row r="39" spans="1:3" x14ac:dyDescent="0.3">
      <c r="A39" s="42">
        <v>10000000405</v>
      </c>
      <c r="B39" s="3" t="s">
        <v>855</v>
      </c>
      <c r="C39" s="4">
        <f t="shared" ca="1" si="0"/>
        <v>45300</v>
      </c>
    </row>
    <row r="40" spans="1:3" x14ac:dyDescent="0.3">
      <c r="A40" s="42">
        <v>10000000248</v>
      </c>
      <c r="B40" s="3" t="s">
        <v>856</v>
      </c>
      <c r="C40" s="4">
        <f t="shared" ca="1" si="0"/>
        <v>45300</v>
      </c>
    </row>
    <row r="41" spans="1:3" x14ac:dyDescent="0.3">
      <c r="A41" s="42">
        <v>10000000248</v>
      </c>
      <c r="B41" s="3" t="s">
        <v>856</v>
      </c>
      <c r="C41" s="4">
        <f t="shared" ca="1" si="0"/>
        <v>45300</v>
      </c>
    </row>
    <row r="42" spans="1:3" x14ac:dyDescent="0.3">
      <c r="A42" s="42">
        <v>10000000614</v>
      </c>
      <c r="B42" s="3" t="s">
        <v>857</v>
      </c>
      <c r="C42" s="4">
        <f t="shared" ca="1" si="0"/>
        <v>45300</v>
      </c>
    </row>
    <row r="43" spans="1:3" x14ac:dyDescent="0.3">
      <c r="A43" s="42">
        <v>10000000064</v>
      </c>
      <c r="B43" s="3" t="s">
        <v>858</v>
      </c>
      <c r="C43" s="4">
        <f t="shared" ca="1" si="0"/>
        <v>45300</v>
      </c>
    </row>
    <row r="44" spans="1:3" x14ac:dyDescent="0.3">
      <c r="A44" s="42">
        <v>10000000141</v>
      </c>
      <c r="B44" s="3" t="s">
        <v>859</v>
      </c>
      <c r="C44" s="4">
        <f t="shared" ca="1" si="0"/>
        <v>45300</v>
      </c>
    </row>
    <row r="45" spans="1:3" x14ac:dyDescent="0.3">
      <c r="A45" s="42">
        <v>10000000590</v>
      </c>
      <c r="B45" s="3" t="s">
        <v>860</v>
      </c>
      <c r="C45" s="4">
        <f t="shared" ca="1" si="0"/>
        <v>45300</v>
      </c>
    </row>
    <row r="46" spans="1:3" x14ac:dyDescent="0.3">
      <c r="A46" s="42">
        <v>10000000682</v>
      </c>
      <c r="B46" s="3" t="s">
        <v>861</v>
      </c>
      <c r="C46" s="4">
        <f t="shared" ca="1" si="0"/>
        <v>45300</v>
      </c>
    </row>
    <row r="47" spans="1:3" x14ac:dyDescent="0.3">
      <c r="A47" s="42">
        <v>10000000351</v>
      </c>
      <c r="B47" s="3" t="s">
        <v>862</v>
      </c>
      <c r="C47" s="4">
        <f t="shared" ca="1" si="0"/>
        <v>45300</v>
      </c>
    </row>
    <row r="48" spans="1:3" x14ac:dyDescent="0.3">
      <c r="A48" s="42">
        <v>10000000462</v>
      </c>
      <c r="B48" s="3" t="s">
        <v>863</v>
      </c>
      <c r="C48" s="4">
        <f t="shared" ca="1" si="0"/>
        <v>45300</v>
      </c>
    </row>
    <row r="49" spans="1:3" x14ac:dyDescent="0.3">
      <c r="A49" s="42">
        <v>10000000091</v>
      </c>
      <c r="B49" s="3" t="s">
        <v>864</v>
      </c>
      <c r="C49" s="4">
        <f t="shared" ca="1" si="0"/>
        <v>45300</v>
      </c>
    </row>
    <row r="50" spans="1:3" x14ac:dyDescent="0.3">
      <c r="A50" s="42">
        <v>10000000492</v>
      </c>
      <c r="B50" s="3" t="s">
        <v>865</v>
      </c>
      <c r="C50" s="4">
        <f t="shared" ca="1" si="0"/>
        <v>45300</v>
      </c>
    </row>
    <row r="51" spans="1:3" x14ac:dyDescent="0.3">
      <c r="A51" s="42">
        <v>10000000469</v>
      </c>
      <c r="B51" s="3" t="s">
        <v>866</v>
      </c>
      <c r="C51" s="4">
        <f t="shared" ca="1" si="0"/>
        <v>45300</v>
      </c>
    </row>
    <row r="52" spans="1:3" x14ac:dyDescent="0.3">
      <c r="A52" s="42">
        <v>10000000638</v>
      </c>
      <c r="B52" s="3" t="s">
        <v>867</v>
      </c>
      <c r="C52" s="4">
        <f t="shared" ca="1" si="0"/>
        <v>45300</v>
      </c>
    </row>
    <row r="53" spans="1:3" x14ac:dyDescent="0.3">
      <c r="A53" s="42">
        <v>10000000444</v>
      </c>
      <c r="B53" s="3" t="s">
        <v>868</v>
      </c>
      <c r="C53" s="4">
        <f t="shared" ca="1" si="0"/>
        <v>45300</v>
      </c>
    </row>
    <row r="54" spans="1:3" x14ac:dyDescent="0.3">
      <c r="A54" s="42">
        <v>10000000564</v>
      </c>
      <c r="B54" s="3" t="s">
        <v>869</v>
      </c>
      <c r="C54" s="4">
        <f t="shared" ca="1" si="0"/>
        <v>45300</v>
      </c>
    </row>
    <row r="55" spans="1:3" x14ac:dyDescent="0.3">
      <c r="A55" s="42">
        <v>10000000315</v>
      </c>
      <c r="B55" s="3" t="s">
        <v>870</v>
      </c>
      <c r="C55" s="4">
        <f t="shared" ca="1" si="0"/>
        <v>45300</v>
      </c>
    </row>
    <row r="56" spans="1:3" x14ac:dyDescent="0.3">
      <c r="A56" s="42">
        <v>10000000022</v>
      </c>
      <c r="B56" s="3" t="s">
        <v>871</v>
      </c>
      <c r="C56" s="4">
        <f t="shared" ca="1" si="0"/>
        <v>45300</v>
      </c>
    </row>
    <row r="57" spans="1:3" x14ac:dyDescent="0.3">
      <c r="A57" s="42">
        <v>10000000625</v>
      </c>
      <c r="B57" s="3" t="s">
        <v>872</v>
      </c>
      <c r="C57" s="4">
        <f t="shared" ca="1" si="0"/>
        <v>45300</v>
      </c>
    </row>
    <row r="58" spans="1:3" x14ac:dyDescent="0.3">
      <c r="A58" s="42">
        <v>10000000036</v>
      </c>
      <c r="B58" s="3" t="s">
        <v>873</v>
      </c>
      <c r="C58" s="4">
        <f t="shared" ca="1" si="0"/>
        <v>45300</v>
      </c>
    </row>
    <row r="59" spans="1:3" x14ac:dyDescent="0.3">
      <c r="A59" s="42">
        <v>10000000416</v>
      </c>
      <c r="B59" s="3" t="s">
        <v>874</v>
      </c>
      <c r="C59" s="4">
        <f t="shared" ca="1" si="0"/>
        <v>45300</v>
      </c>
    </row>
    <row r="60" spans="1:3" x14ac:dyDescent="0.3">
      <c r="A60" s="42">
        <v>10000000086</v>
      </c>
      <c r="B60" s="3" t="s">
        <v>875</v>
      </c>
      <c r="C60" s="4">
        <f t="shared" ca="1" si="0"/>
        <v>45300</v>
      </c>
    </row>
    <row r="61" spans="1:3" x14ac:dyDescent="0.3">
      <c r="A61" s="42">
        <v>10000000653</v>
      </c>
      <c r="B61" s="3" t="s">
        <v>822</v>
      </c>
      <c r="C61" s="4">
        <f t="shared" ca="1" si="0"/>
        <v>45300</v>
      </c>
    </row>
    <row r="62" spans="1:3" x14ac:dyDescent="0.3">
      <c r="A62" s="42">
        <v>10000000033</v>
      </c>
      <c r="B62" s="3" t="s">
        <v>876</v>
      </c>
      <c r="C62" s="4">
        <f t="shared" ca="1" si="0"/>
        <v>45300</v>
      </c>
    </row>
    <row r="63" spans="1:3" x14ac:dyDescent="0.3">
      <c r="A63" s="42">
        <v>10000000163</v>
      </c>
      <c r="B63" s="3" t="s">
        <v>877</v>
      </c>
      <c r="C63" s="4">
        <f t="shared" ca="1" si="0"/>
        <v>45300</v>
      </c>
    </row>
    <row r="64" spans="1:3" x14ac:dyDescent="0.3">
      <c r="A64" s="42">
        <v>10000000240</v>
      </c>
      <c r="B64" s="3" t="s">
        <v>878</v>
      </c>
      <c r="C64" s="4">
        <f t="shared" ca="1" si="0"/>
        <v>45300</v>
      </c>
    </row>
    <row r="65" spans="1:3" x14ac:dyDescent="0.3">
      <c r="A65" s="42">
        <v>10000000496</v>
      </c>
      <c r="B65" s="3" t="s">
        <v>879</v>
      </c>
      <c r="C65" s="4">
        <f t="shared" ca="1" si="0"/>
        <v>45300</v>
      </c>
    </row>
    <row r="66" spans="1:3" x14ac:dyDescent="0.3">
      <c r="A66" s="42">
        <v>10000000026</v>
      </c>
      <c r="B66" s="3" t="s">
        <v>880</v>
      </c>
      <c r="C66" s="4">
        <f t="shared" ca="1" si="0"/>
        <v>45300</v>
      </c>
    </row>
    <row r="67" spans="1:3" x14ac:dyDescent="0.3">
      <c r="A67" s="42">
        <v>10000000196</v>
      </c>
      <c r="B67" s="3" t="s">
        <v>881</v>
      </c>
      <c r="C67" s="4">
        <f t="shared" ca="1" si="0"/>
        <v>45300</v>
      </c>
    </row>
    <row r="68" spans="1:3" x14ac:dyDescent="0.3">
      <c r="A68" s="42">
        <v>10000000216</v>
      </c>
      <c r="B68" s="3" t="s">
        <v>874</v>
      </c>
      <c r="C68" s="4">
        <f t="shared" ca="1" si="0"/>
        <v>45300</v>
      </c>
    </row>
    <row r="69" spans="1:3" x14ac:dyDescent="0.3">
      <c r="A69" s="42">
        <v>10000000381</v>
      </c>
      <c r="B69" s="3" t="s">
        <v>831</v>
      </c>
      <c r="C69" s="4">
        <f t="shared" ca="1" si="0"/>
        <v>45300</v>
      </c>
    </row>
    <row r="70" spans="1:3" x14ac:dyDescent="0.3">
      <c r="A70" s="42">
        <v>10000000633</v>
      </c>
      <c r="B70" s="3" t="s">
        <v>876</v>
      </c>
      <c r="C70" s="4">
        <f t="shared" ca="1" si="0"/>
        <v>45300</v>
      </c>
    </row>
    <row r="71" spans="1:3" x14ac:dyDescent="0.3">
      <c r="A71" s="42">
        <v>10000000071</v>
      </c>
      <c r="B71" s="3" t="s">
        <v>882</v>
      </c>
      <c r="C71" s="4">
        <f t="shared" ca="1" si="0"/>
        <v>45300</v>
      </c>
    </row>
    <row r="72" spans="1:3" x14ac:dyDescent="0.3">
      <c r="A72" s="42">
        <v>10000000513</v>
      </c>
      <c r="B72" s="3" t="s">
        <v>883</v>
      </c>
      <c r="C72" s="4">
        <f t="shared" ca="1" si="0"/>
        <v>45300</v>
      </c>
    </row>
    <row r="73" spans="1:3" x14ac:dyDescent="0.3">
      <c r="A73" s="42">
        <v>10000000040</v>
      </c>
      <c r="B73" s="3" t="s">
        <v>878</v>
      </c>
      <c r="C73" s="4">
        <f t="shared" ca="1" si="0"/>
        <v>45300</v>
      </c>
    </row>
    <row r="74" spans="1:3" x14ac:dyDescent="0.3">
      <c r="A74" s="42">
        <v>10000000521</v>
      </c>
      <c r="B74" s="3" t="s">
        <v>884</v>
      </c>
      <c r="C74" s="4">
        <f t="shared" ca="1" si="0"/>
        <v>45300</v>
      </c>
    </row>
    <row r="75" spans="1:3" x14ac:dyDescent="0.3">
      <c r="A75" s="42">
        <v>10000000637</v>
      </c>
      <c r="B75" s="3" t="s">
        <v>885</v>
      </c>
      <c r="C75" s="4">
        <f t="shared" ca="1" si="0"/>
        <v>45300</v>
      </c>
    </row>
    <row r="76" spans="1:3" x14ac:dyDescent="0.3">
      <c r="A76" s="42">
        <v>10000000617</v>
      </c>
      <c r="B76" s="3" t="s">
        <v>832</v>
      </c>
      <c r="C76" s="4">
        <f t="shared" ca="1" si="0"/>
        <v>45300</v>
      </c>
    </row>
    <row r="77" spans="1:3" x14ac:dyDescent="0.3">
      <c r="A77" s="42">
        <v>10000000035</v>
      </c>
      <c r="B77" s="3" t="s">
        <v>886</v>
      </c>
      <c r="C77" s="4">
        <f t="shared" ca="1" si="0"/>
        <v>45300</v>
      </c>
    </row>
    <row r="78" spans="1:3" x14ac:dyDescent="0.3">
      <c r="A78" s="42">
        <v>10000000214</v>
      </c>
      <c r="B78" s="3" t="s">
        <v>857</v>
      </c>
      <c r="C78" s="4">
        <f t="shared" ca="1" si="0"/>
        <v>45300</v>
      </c>
    </row>
    <row r="79" spans="1:3" x14ac:dyDescent="0.3">
      <c r="A79" s="42">
        <v>10000000310</v>
      </c>
      <c r="B79" s="3" t="s">
        <v>887</v>
      </c>
      <c r="C79" s="4">
        <f t="shared" ca="1" si="0"/>
        <v>45300</v>
      </c>
    </row>
    <row r="80" spans="1:3" x14ac:dyDescent="0.3">
      <c r="A80" s="42">
        <v>10000000655</v>
      </c>
      <c r="B80" s="3" t="s">
        <v>888</v>
      </c>
      <c r="C80" s="4">
        <f t="shared" ca="1" si="0"/>
        <v>45300</v>
      </c>
    </row>
    <row r="81" spans="1:3" x14ac:dyDescent="0.3">
      <c r="A81" s="42">
        <v>10000000372</v>
      </c>
      <c r="B81" s="3" t="s">
        <v>889</v>
      </c>
      <c r="C81" s="4">
        <f t="shared" ca="1" si="0"/>
        <v>45300</v>
      </c>
    </row>
    <row r="82" spans="1:3" x14ac:dyDescent="0.3">
      <c r="A82" s="42">
        <v>10000000067</v>
      </c>
      <c r="B82" s="3" t="s">
        <v>820</v>
      </c>
      <c r="C82" s="4">
        <f t="shared" ca="1" si="0"/>
        <v>45300</v>
      </c>
    </row>
    <row r="83" spans="1:3" x14ac:dyDescent="0.3">
      <c r="A83" s="42">
        <v>10000000578</v>
      </c>
      <c r="B83" s="3" t="s">
        <v>890</v>
      </c>
      <c r="C83" s="4">
        <f t="shared" ca="1" si="0"/>
        <v>45300</v>
      </c>
    </row>
    <row r="84" spans="1:3" x14ac:dyDescent="0.3">
      <c r="A84" s="42">
        <v>10000000510</v>
      </c>
      <c r="B84" s="3" t="s">
        <v>887</v>
      </c>
      <c r="C84" s="4">
        <f t="shared" ca="1" si="0"/>
        <v>45300</v>
      </c>
    </row>
    <row r="85" spans="1:3" x14ac:dyDescent="0.3">
      <c r="A85" s="42">
        <v>10000000014</v>
      </c>
      <c r="B85" s="3" t="s">
        <v>857</v>
      </c>
      <c r="C85" s="4">
        <f t="shared" ref="C85:C170" ca="1" si="1">TODAY()-707</f>
        <v>45330</v>
      </c>
    </row>
    <row r="86" spans="1:3" x14ac:dyDescent="0.3">
      <c r="A86" s="42">
        <v>10000000024</v>
      </c>
      <c r="B86" s="3" t="s">
        <v>891</v>
      </c>
      <c r="C86" s="4">
        <f t="shared" ca="1" si="1"/>
        <v>45330</v>
      </c>
    </row>
    <row r="87" spans="1:3" x14ac:dyDescent="0.3">
      <c r="A87" s="42">
        <v>10000000297</v>
      </c>
      <c r="B87" s="3" t="s">
        <v>892</v>
      </c>
      <c r="C87" s="4">
        <f t="shared" ca="1" si="1"/>
        <v>45330</v>
      </c>
    </row>
    <row r="88" spans="1:3" x14ac:dyDescent="0.3">
      <c r="A88" s="42">
        <v>10000000254</v>
      </c>
      <c r="B88" s="3" t="s">
        <v>893</v>
      </c>
      <c r="C88" s="4">
        <f t="shared" ca="1" si="1"/>
        <v>45330</v>
      </c>
    </row>
    <row r="89" spans="1:3" x14ac:dyDescent="0.3">
      <c r="A89" s="42">
        <v>10000000578</v>
      </c>
      <c r="B89" s="3" t="s">
        <v>890</v>
      </c>
      <c r="C89" s="4">
        <f t="shared" ca="1" si="1"/>
        <v>45330</v>
      </c>
    </row>
    <row r="90" spans="1:3" x14ac:dyDescent="0.3">
      <c r="A90" s="42">
        <v>10000000595</v>
      </c>
      <c r="B90" s="3" t="s">
        <v>894</v>
      </c>
      <c r="C90" s="4">
        <f t="shared" ca="1" si="1"/>
        <v>45330</v>
      </c>
    </row>
    <row r="91" spans="1:3" x14ac:dyDescent="0.3">
      <c r="A91" s="42">
        <v>10000000266</v>
      </c>
      <c r="B91" s="3" t="s">
        <v>895</v>
      </c>
      <c r="C91" s="4">
        <f t="shared" ca="1" si="1"/>
        <v>45330</v>
      </c>
    </row>
    <row r="92" spans="1:3" x14ac:dyDescent="0.3">
      <c r="A92" s="42">
        <v>10000000026</v>
      </c>
      <c r="B92" s="3" t="s">
        <v>880</v>
      </c>
      <c r="C92" s="4">
        <f t="shared" ca="1" si="1"/>
        <v>45330</v>
      </c>
    </row>
    <row r="93" spans="1:3" x14ac:dyDescent="0.3">
      <c r="A93" s="42">
        <v>10000000045</v>
      </c>
      <c r="B93" s="3" t="s">
        <v>843</v>
      </c>
      <c r="C93" s="4">
        <f t="shared" ca="1" si="1"/>
        <v>45330</v>
      </c>
    </row>
    <row r="94" spans="1:3" x14ac:dyDescent="0.3">
      <c r="A94" s="42">
        <v>10000000632</v>
      </c>
      <c r="B94" s="3" t="s">
        <v>896</v>
      </c>
      <c r="C94" s="4">
        <f t="shared" ca="1" si="1"/>
        <v>45330</v>
      </c>
    </row>
    <row r="95" spans="1:3" x14ac:dyDescent="0.3">
      <c r="A95" s="42">
        <v>10000000545</v>
      </c>
      <c r="B95" s="3" t="s">
        <v>842</v>
      </c>
      <c r="C95" s="4">
        <f t="shared" ca="1" si="1"/>
        <v>45330</v>
      </c>
    </row>
    <row r="96" spans="1:3" x14ac:dyDescent="0.3">
      <c r="A96" s="42">
        <v>10000000316</v>
      </c>
      <c r="B96" s="3" t="s">
        <v>847</v>
      </c>
      <c r="C96" s="4">
        <f t="shared" ca="1" si="1"/>
        <v>45330</v>
      </c>
    </row>
    <row r="97" spans="1:3" x14ac:dyDescent="0.3">
      <c r="A97" s="42">
        <v>10000000396</v>
      </c>
      <c r="B97" s="3" t="s">
        <v>881</v>
      </c>
      <c r="C97" s="4">
        <f t="shared" ca="1" si="1"/>
        <v>45330</v>
      </c>
    </row>
    <row r="98" spans="1:3" x14ac:dyDescent="0.3">
      <c r="A98" s="42">
        <v>10000000524</v>
      </c>
      <c r="B98" s="3" t="s">
        <v>897</v>
      </c>
      <c r="C98" s="4">
        <f t="shared" ca="1" si="1"/>
        <v>45330</v>
      </c>
    </row>
    <row r="99" spans="1:3" x14ac:dyDescent="0.3">
      <c r="A99" s="42">
        <v>10000000629</v>
      </c>
      <c r="B99" s="3" t="s">
        <v>898</v>
      </c>
      <c r="C99" s="4">
        <f t="shared" ca="1" si="1"/>
        <v>45330</v>
      </c>
    </row>
    <row r="100" spans="1:3" x14ac:dyDescent="0.3">
      <c r="A100" s="42">
        <v>10000000676</v>
      </c>
      <c r="B100" s="3" t="s">
        <v>899</v>
      </c>
      <c r="C100" s="4">
        <f t="shared" ca="1" si="1"/>
        <v>45330</v>
      </c>
    </row>
    <row r="101" spans="1:3" x14ac:dyDescent="0.3">
      <c r="A101" s="42">
        <v>10000000692</v>
      </c>
      <c r="B101" s="3" t="s">
        <v>865</v>
      </c>
      <c r="C101" s="4">
        <f t="shared" ca="1" si="1"/>
        <v>45330</v>
      </c>
    </row>
    <row r="102" spans="1:3" x14ac:dyDescent="0.3">
      <c r="A102" s="42">
        <v>10000000150</v>
      </c>
      <c r="B102" s="3" t="s">
        <v>900</v>
      </c>
      <c r="C102" s="4">
        <f t="shared" ca="1" si="1"/>
        <v>45330</v>
      </c>
    </row>
    <row r="103" spans="1:3" x14ac:dyDescent="0.3">
      <c r="A103" s="42">
        <v>10000000279</v>
      </c>
      <c r="B103" s="3" t="s">
        <v>901</v>
      </c>
      <c r="C103" s="4">
        <f t="shared" ca="1" si="1"/>
        <v>45330</v>
      </c>
    </row>
    <row r="104" spans="1:3" x14ac:dyDescent="0.3">
      <c r="A104" s="42">
        <v>10000000055</v>
      </c>
      <c r="B104" s="3" t="s">
        <v>888</v>
      </c>
      <c r="C104" s="4">
        <f t="shared" ca="1" si="1"/>
        <v>45330</v>
      </c>
    </row>
    <row r="105" spans="1:3" x14ac:dyDescent="0.3">
      <c r="A105" s="42">
        <v>10000000607</v>
      </c>
      <c r="B105" s="3" t="s">
        <v>902</v>
      </c>
      <c r="C105" s="4">
        <f t="shared" ca="1" si="1"/>
        <v>45330</v>
      </c>
    </row>
    <row r="106" spans="1:3" x14ac:dyDescent="0.3">
      <c r="A106" s="42">
        <v>10000000568</v>
      </c>
      <c r="B106" s="3" t="s">
        <v>903</v>
      </c>
      <c r="C106" s="4">
        <f t="shared" ca="1" si="1"/>
        <v>45330</v>
      </c>
    </row>
    <row r="107" spans="1:3" x14ac:dyDescent="0.3">
      <c r="A107" s="42">
        <v>10000000687</v>
      </c>
      <c r="B107" s="3" t="s">
        <v>904</v>
      </c>
      <c r="C107" s="4">
        <f t="shared" ca="1" si="1"/>
        <v>45330</v>
      </c>
    </row>
    <row r="108" spans="1:3" x14ac:dyDescent="0.3">
      <c r="A108" s="42">
        <v>10000000654</v>
      </c>
      <c r="B108" s="3" t="s">
        <v>893</v>
      </c>
      <c r="C108" s="4">
        <f t="shared" ca="1" si="1"/>
        <v>45330</v>
      </c>
    </row>
    <row r="109" spans="1:3" x14ac:dyDescent="0.3">
      <c r="A109" s="42">
        <v>10000000491</v>
      </c>
      <c r="B109" s="3" t="s">
        <v>864</v>
      </c>
      <c r="C109" s="4">
        <f t="shared" ca="1" si="1"/>
        <v>45330</v>
      </c>
    </row>
    <row r="110" spans="1:3" x14ac:dyDescent="0.3">
      <c r="A110" s="42">
        <v>10000000587</v>
      </c>
      <c r="B110" s="3" t="s">
        <v>905</v>
      </c>
      <c r="C110" s="4">
        <f t="shared" ca="1" si="1"/>
        <v>45330</v>
      </c>
    </row>
    <row r="111" spans="1:3" x14ac:dyDescent="0.3">
      <c r="A111" s="42">
        <v>10000000307</v>
      </c>
      <c r="B111" s="3" t="s">
        <v>906</v>
      </c>
      <c r="C111" s="4">
        <f t="shared" ca="1" si="1"/>
        <v>45330</v>
      </c>
    </row>
    <row r="112" spans="1:3" x14ac:dyDescent="0.3">
      <c r="A112" s="42">
        <v>10000000579</v>
      </c>
      <c r="B112" s="3" t="s">
        <v>907</v>
      </c>
      <c r="C112" s="4">
        <f t="shared" ca="1" si="1"/>
        <v>45330</v>
      </c>
    </row>
    <row r="113" spans="1:3" x14ac:dyDescent="0.3">
      <c r="A113" s="42">
        <v>10000000095</v>
      </c>
      <c r="B113" s="3" t="s">
        <v>908</v>
      </c>
      <c r="C113" s="4">
        <f t="shared" ca="1" si="1"/>
        <v>45330</v>
      </c>
    </row>
    <row r="114" spans="1:3" x14ac:dyDescent="0.3">
      <c r="A114" s="42">
        <v>10000000529</v>
      </c>
      <c r="B114" s="3" t="s">
        <v>909</v>
      </c>
      <c r="C114" s="4">
        <f t="shared" ca="1" si="1"/>
        <v>45330</v>
      </c>
    </row>
    <row r="115" spans="1:3" x14ac:dyDescent="0.3">
      <c r="A115" s="42">
        <v>10000000017</v>
      </c>
      <c r="B115" s="3" t="s">
        <v>832</v>
      </c>
      <c r="C115" s="4">
        <f t="shared" ca="1" si="1"/>
        <v>45330</v>
      </c>
    </row>
    <row r="116" spans="1:3" x14ac:dyDescent="0.3">
      <c r="A116" s="42">
        <v>10000000134</v>
      </c>
      <c r="B116" s="3" t="s">
        <v>821</v>
      </c>
      <c r="C116" s="4">
        <f t="shared" ca="1" si="1"/>
        <v>45330</v>
      </c>
    </row>
    <row r="117" spans="1:3" x14ac:dyDescent="0.3">
      <c r="A117" s="42">
        <v>10000000034</v>
      </c>
      <c r="B117" s="3" t="s">
        <v>910</v>
      </c>
      <c r="C117" s="4">
        <f t="shared" ca="1" si="1"/>
        <v>45330</v>
      </c>
    </row>
    <row r="118" spans="1:3" x14ac:dyDescent="0.3">
      <c r="A118" s="42">
        <v>10000000302</v>
      </c>
      <c r="B118" s="3" t="s">
        <v>911</v>
      </c>
      <c r="C118" s="4">
        <f t="shared" ca="1" si="1"/>
        <v>45330</v>
      </c>
    </row>
    <row r="119" spans="1:3" x14ac:dyDescent="0.3">
      <c r="A119" s="42">
        <v>10000000356</v>
      </c>
      <c r="B119" s="3" t="s">
        <v>912</v>
      </c>
      <c r="C119" s="4">
        <f t="shared" ca="1" si="1"/>
        <v>45330</v>
      </c>
    </row>
    <row r="120" spans="1:3" x14ac:dyDescent="0.3">
      <c r="A120" s="42">
        <v>10000000415</v>
      </c>
      <c r="B120" s="3" t="s">
        <v>913</v>
      </c>
      <c r="C120" s="4">
        <f t="shared" ca="1" si="1"/>
        <v>45330</v>
      </c>
    </row>
    <row r="121" spans="1:3" x14ac:dyDescent="0.3">
      <c r="A121" s="42">
        <v>10000000165</v>
      </c>
      <c r="B121" s="3" t="s">
        <v>914</v>
      </c>
      <c r="C121" s="4">
        <f t="shared" ca="1" si="1"/>
        <v>45330</v>
      </c>
    </row>
    <row r="122" spans="1:3" x14ac:dyDescent="0.3">
      <c r="A122" s="42">
        <v>10000000554</v>
      </c>
      <c r="B122" s="3" t="s">
        <v>840</v>
      </c>
      <c r="C122" s="4">
        <f t="shared" ca="1" si="1"/>
        <v>45330</v>
      </c>
    </row>
    <row r="123" spans="1:3" x14ac:dyDescent="0.3">
      <c r="A123" s="42">
        <v>10000000613</v>
      </c>
      <c r="B123" s="3" t="s">
        <v>915</v>
      </c>
      <c r="C123" s="4">
        <f t="shared" ca="1" si="1"/>
        <v>45330</v>
      </c>
    </row>
    <row r="124" spans="1:3" x14ac:dyDescent="0.3">
      <c r="A124" s="42">
        <v>10000000242</v>
      </c>
      <c r="B124" s="3" t="s">
        <v>849</v>
      </c>
      <c r="C124" s="4">
        <f t="shared" ca="1" si="1"/>
        <v>45330</v>
      </c>
    </row>
    <row r="125" spans="1:3" x14ac:dyDescent="0.3">
      <c r="A125" s="42">
        <v>10000000668</v>
      </c>
      <c r="B125" s="3" t="s">
        <v>916</v>
      </c>
      <c r="C125" s="4">
        <f t="shared" ca="1" si="1"/>
        <v>45330</v>
      </c>
    </row>
    <row r="126" spans="1:3" x14ac:dyDescent="0.3">
      <c r="A126" s="42">
        <v>10000000005</v>
      </c>
      <c r="B126" s="3" t="s">
        <v>855</v>
      </c>
      <c r="C126" s="4">
        <f t="shared" ca="1" si="1"/>
        <v>45330</v>
      </c>
    </row>
    <row r="127" spans="1:3" x14ac:dyDescent="0.3">
      <c r="A127" s="42">
        <v>10000000621</v>
      </c>
      <c r="B127" s="3" t="s">
        <v>917</v>
      </c>
      <c r="C127" s="4">
        <f t="shared" ca="1" si="1"/>
        <v>45330</v>
      </c>
    </row>
    <row r="128" spans="1:3" x14ac:dyDescent="0.3">
      <c r="A128" s="42">
        <v>10000000464</v>
      </c>
      <c r="B128" s="3" t="s">
        <v>858</v>
      </c>
      <c r="C128" s="4">
        <f t="shared" ca="1" si="1"/>
        <v>45330</v>
      </c>
    </row>
    <row r="129" spans="1:3" x14ac:dyDescent="0.3">
      <c r="A129" s="42">
        <v>10000000151</v>
      </c>
      <c r="B129" s="3" t="s">
        <v>862</v>
      </c>
      <c r="C129" s="4">
        <f t="shared" ca="1" si="1"/>
        <v>45330</v>
      </c>
    </row>
    <row r="130" spans="1:3" x14ac:dyDescent="0.3">
      <c r="A130" s="42">
        <v>10000000302</v>
      </c>
      <c r="B130" s="3" t="s">
        <v>911</v>
      </c>
      <c r="C130" s="4">
        <f t="shared" ca="1" si="1"/>
        <v>45330</v>
      </c>
    </row>
    <row r="131" spans="1:3" x14ac:dyDescent="0.3">
      <c r="A131" s="42">
        <v>10000000517</v>
      </c>
      <c r="B131" s="3" t="s">
        <v>918</v>
      </c>
      <c r="C131" s="4">
        <f t="shared" ca="1" si="1"/>
        <v>45330</v>
      </c>
    </row>
    <row r="132" spans="1:3" x14ac:dyDescent="0.3">
      <c r="A132" s="42">
        <v>10000000544</v>
      </c>
      <c r="B132" s="3" t="s">
        <v>854</v>
      </c>
      <c r="C132" s="4">
        <f t="shared" ca="1" si="1"/>
        <v>45330</v>
      </c>
    </row>
    <row r="133" spans="1:3" x14ac:dyDescent="0.3">
      <c r="A133" s="42">
        <v>10000000209</v>
      </c>
      <c r="B133" s="3" t="s">
        <v>919</v>
      </c>
      <c r="C133" s="4">
        <f t="shared" ca="1" si="1"/>
        <v>45330</v>
      </c>
    </row>
    <row r="134" spans="1:3" x14ac:dyDescent="0.3">
      <c r="A134" s="42">
        <v>10000000610</v>
      </c>
      <c r="B134" s="3" t="s">
        <v>920</v>
      </c>
      <c r="C134" s="4">
        <f t="shared" ca="1" si="1"/>
        <v>45330</v>
      </c>
    </row>
    <row r="135" spans="1:3" x14ac:dyDescent="0.3">
      <c r="A135" s="42">
        <v>10000000637</v>
      </c>
      <c r="B135" s="3" t="s">
        <v>885</v>
      </c>
      <c r="C135" s="4">
        <f t="shared" ca="1" si="1"/>
        <v>45330</v>
      </c>
    </row>
    <row r="136" spans="1:3" x14ac:dyDescent="0.3">
      <c r="A136" s="42">
        <v>10000000078</v>
      </c>
      <c r="B136" s="3" t="s">
        <v>921</v>
      </c>
      <c r="C136" s="4">
        <f t="shared" ca="1" si="1"/>
        <v>45330</v>
      </c>
    </row>
    <row r="137" spans="1:3" x14ac:dyDescent="0.3">
      <c r="A137" s="42">
        <v>10000000429</v>
      </c>
      <c r="B137" s="3" t="s">
        <v>898</v>
      </c>
      <c r="C137" s="4">
        <f t="shared" ca="1" si="1"/>
        <v>45330</v>
      </c>
    </row>
    <row r="138" spans="1:3" x14ac:dyDescent="0.3">
      <c r="A138" s="42">
        <v>10000000260</v>
      </c>
      <c r="B138" s="3" t="s">
        <v>922</v>
      </c>
      <c r="C138" s="4">
        <f t="shared" ca="1" si="1"/>
        <v>45330</v>
      </c>
    </row>
    <row r="139" spans="1:3" x14ac:dyDescent="0.3">
      <c r="A139" s="42">
        <v>10000000295</v>
      </c>
      <c r="B139" s="3" t="s">
        <v>908</v>
      </c>
      <c r="C139" s="4">
        <f t="shared" ca="1" si="1"/>
        <v>45330</v>
      </c>
    </row>
    <row r="140" spans="1:3" x14ac:dyDescent="0.3">
      <c r="A140" s="42">
        <v>10000000623</v>
      </c>
      <c r="B140" s="3" t="s">
        <v>838</v>
      </c>
      <c r="C140" s="4">
        <f t="shared" ca="1" si="1"/>
        <v>45330</v>
      </c>
    </row>
    <row r="141" spans="1:3" x14ac:dyDescent="0.3">
      <c r="A141" s="42">
        <v>10000000137</v>
      </c>
      <c r="B141" s="3" t="s">
        <v>923</v>
      </c>
      <c r="C141" s="4">
        <f t="shared" ca="1" si="1"/>
        <v>45330</v>
      </c>
    </row>
    <row r="142" spans="1:3" x14ac:dyDescent="0.3">
      <c r="A142" s="42">
        <v>10000000082</v>
      </c>
      <c r="B142" s="3" t="s">
        <v>861</v>
      </c>
      <c r="C142" s="4">
        <f t="shared" ca="1" si="1"/>
        <v>45330</v>
      </c>
    </row>
    <row r="143" spans="1:3" x14ac:dyDescent="0.3">
      <c r="A143" s="42">
        <v>10000000573</v>
      </c>
      <c r="B143" s="3" t="s">
        <v>924</v>
      </c>
      <c r="C143" s="4">
        <f t="shared" ca="1" si="1"/>
        <v>45330</v>
      </c>
    </row>
    <row r="144" spans="1:3" x14ac:dyDescent="0.3">
      <c r="A144" s="42">
        <v>10000000604</v>
      </c>
      <c r="B144" s="3" t="s">
        <v>925</v>
      </c>
      <c r="C144" s="4">
        <f t="shared" ca="1" si="1"/>
        <v>45330</v>
      </c>
    </row>
    <row r="145" spans="1:3" x14ac:dyDescent="0.3">
      <c r="A145" s="42">
        <v>10000000529</v>
      </c>
      <c r="B145" s="3" t="s">
        <v>909</v>
      </c>
      <c r="C145" s="4">
        <f t="shared" ca="1" si="1"/>
        <v>45330</v>
      </c>
    </row>
    <row r="146" spans="1:3" x14ac:dyDescent="0.3">
      <c r="A146" s="42">
        <v>10000000444</v>
      </c>
      <c r="B146" s="3" t="s">
        <v>868</v>
      </c>
      <c r="C146" s="4">
        <f t="shared" ca="1" si="1"/>
        <v>45330</v>
      </c>
    </row>
    <row r="147" spans="1:3" x14ac:dyDescent="0.3">
      <c r="A147" s="42">
        <v>10000000162</v>
      </c>
      <c r="B147" s="3" t="s">
        <v>926</v>
      </c>
      <c r="C147" s="4">
        <f t="shared" ca="1" si="1"/>
        <v>45330</v>
      </c>
    </row>
    <row r="148" spans="1:3" x14ac:dyDescent="0.3">
      <c r="A148" s="42">
        <v>10000000626</v>
      </c>
      <c r="B148" s="3" t="s">
        <v>880</v>
      </c>
      <c r="C148" s="4">
        <f t="shared" ca="1" si="1"/>
        <v>45330</v>
      </c>
    </row>
    <row r="149" spans="1:3" x14ac:dyDescent="0.3">
      <c r="A149" s="42">
        <v>10000000552</v>
      </c>
      <c r="B149" s="3" t="s">
        <v>927</v>
      </c>
      <c r="C149" s="4">
        <f t="shared" ca="1" si="1"/>
        <v>45330</v>
      </c>
    </row>
    <row r="150" spans="1:3" x14ac:dyDescent="0.3">
      <c r="A150" s="42">
        <v>10000000384</v>
      </c>
      <c r="B150" s="3" t="s">
        <v>830</v>
      </c>
      <c r="C150" s="4">
        <f t="shared" ca="1" si="1"/>
        <v>45330</v>
      </c>
    </row>
    <row r="151" spans="1:3" x14ac:dyDescent="0.3">
      <c r="A151" s="42">
        <v>10000000422</v>
      </c>
      <c r="B151" s="3" t="s">
        <v>871</v>
      </c>
      <c r="C151" s="4">
        <f t="shared" ca="1" si="1"/>
        <v>45330</v>
      </c>
    </row>
    <row r="152" spans="1:3" x14ac:dyDescent="0.3">
      <c r="A152" s="42">
        <v>10000000450</v>
      </c>
      <c r="B152" s="3" t="s">
        <v>928</v>
      </c>
      <c r="C152" s="4">
        <f t="shared" ca="1" si="1"/>
        <v>45330</v>
      </c>
    </row>
    <row r="153" spans="1:3" x14ac:dyDescent="0.3">
      <c r="A153" s="42">
        <v>10000000313</v>
      </c>
      <c r="B153" s="3" t="s">
        <v>883</v>
      </c>
      <c r="C153" s="4">
        <f t="shared" ca="1" si="1"/>
        <v>45330</v>
      </c>
    </row>
    <row r="154" spans="1:3" x14ac:dyDescent="0.3">
      <c r="A154" s="42">
        <v>10000000226</v>
      </c>
      <c r="B154" s="3" t="s">
        <v>880</v>
      </c>
      <c r="C154" s="4">
        <f t="shared" ca="1" si="1"/>
        <v>45330</v>
      </c>
    </row>
    <row r="155" spans="1:3" x14ac:dyDescent="0.3">
      <c r="A155" s="42">
        <v>10000000524</v>
      </c>
      <c r="B155" s="3" t="s">
        <v>897</v>
      </c>
      <c r="C155" s="4">
        <f t="shared" ca="1" si="1"/>
        <v>45330</v>
      </c>
    </row>
    <row r="156" spans="1:3" x14ac:dyDescent="0.3">
      <c r="A156" s="42">
        <v>10000000142</v>
      </c>
      <c r="B156" s="3" t="s">
        <v>929</v>
      </c>
      <c r="C156" s="4">
        <f t="shared" ca="1" si="1"/>
        <v>45330</v>
      </c>
    </row>
    <row r="157" spans="1:3" x14ac:dyDescent="0.3">
      <c r="A157" s="42">
        <v>10000000246</v>
      </c>
      <c r="B157" s="3" t="s">
        <v>930</v>
      </c>
      <c r="C157" s="4">
        <f t="shared" ca="1" si="1"/>
        <v>45330</v>
      </c>
    </row>
    <row r="158" spans="1:3" x14ac:dyDescent="0.3">
      <c r="A158" s="42">
        <v>10000000550</v>
      </c>
      <c r="B158" s="3" t="s">
        <v>900</v>
      </c>
      <c r="C158" s="4">
        <f t="shared" ca="1" si="1"/>
        <v>45330</v>
      </c>
    </row>
    <row r="159" spans="1:3" x14ac:dyDescent="0.3">
      <c r="A159" s="42">
        <v>10000000270</v>
      </c>
      <c r="B159" s="3" t="s">
        <v>834</v>
      </c>
      <c r="C159" s="4">
        <f t="shared" ca="1" si="1"/>
        <v>45330</v>
      </c>
    </row>
    <row r="160" spans="1:3" x14ac:dyDescent="0.3">
      <c r="A160" s="42">
        <v>10000000292</v>
      </c>
      <c r="B160" s="3" t="s">
        <v>865</v>
      </c>
      <c r="C160" s="4">
        <f t="shared" ca="1" si="1"/>
        <v>45330</v>
      </c>
    </row>
    <row r="161" spans="1:3" x14ac:dyDescent="0.3">
      <c r="A161" s="42">
        <v>10000000362</v>
      </c>
      <c r="B161" s="3" t="s">
        <v>926</v>
      </c>
      <c r="C161" s="4">
        <f t="shared" ca="1" si="1"/>
        <v>45330</v>
      </c>
    </row>
    <row r="162" spans="1:3" x14ac:dyDescent="0.3">
      <c r="A162" s="42">
        <v>10000000475</v>
      </c>
      <c r="B162" s="3" t="s">
        <v>931</v>
      </c>
      <c r="C162" s="4">
        <f t="shared" ca="1" si="1"/>
        <v>45330</v>
      </c>
    </row>
    <row r="163" spans="1:3" x14ac:dyDescent="0.3">
      <c r="A163" s="42">
        <v>10000000624</v>
      </c>
      <c r="B163" s="3" t="s">
        <v>891</v>
      </c>
      <c r="C163" s="4">
        <f t="shared" ca="1" si="1"/>
        <v>45330</v>
      </c>
    </row>
    <row r="164" spans="1:3" x14ac:dyDescent="0.3">
      <c r="A164" s="42">
        <v>10000000023</v>
      </c>
      <c r="B164" s="3" t="s">
        <v>838</v>
      </c>
      <c r="C164" s="4">
        <f t="shared" ca="1" si="1"/>
        <v>45330</v>
      </c>
    </row>
    <row r="165" spans="1:3" x14ac:dyDescent="0.3">
      <c r="A165" s="42">
        <v>10000000004</v>
      </c>
      <c r="B165" s="3" t="s">
        <v>925</v>
      </c>
      <c r="C165" s="4">
        <f t="shared" ca="1" si="1"/>
        <v>45330</v>
      </c>
    </row>
    <row r="166" spans="1:3" x14ac:dyDescent="0.3">
      <c r="A166" s="42">
        <v>10000000571</v>
      </c>
      <c r="B166" s="3" t="s">
        <v>932</v>
      </c>
      <c r="C166" s="4">
        <f t="shared" ca="1" si="1"/>
        <v>45330</v>
      </c>
    </row>
    <row r="167" spans="1:3" x14ac:dyDescent="0.3">
      <c r="A167" s="42">
        <v>10000000291</v>
      </c>
      <c r="B167" s="3" t="s">
        <v>864</v>
      </c>
      <c r="C167" s="4">
        <f t="shared" ca="1" si="1"/>
        <v>45330</v>
      </c>
    </row>
    <row r="168" spans="1:3" x14ac:dyDescent="0.3">
      <c r="A168" s="42">
        <v>10000000015</v>
      </c>
      <c r="B168" s="3" t="s">
        <v>913</v>
      </c>
      <c r="C168" s="4">
        <f t="shared" ca="1" si="1"/>
        <v>45330</v>
      </c>
    </row>
    <row r="169" spans="1:3" x14ac:dyDescent="0.3">
      <c r="A169" s="42">
        <v>10000000596</v>
      </c>
      <c r="B169" s="3" t="s">
        <v>881</v>
      </c>
      <c r="C169" s="4">
        <f t="shared" ca="1" si="1"/>
        <v>45330</v>
      </c>
    </row>
    <row r="170" spans="1:3" x14ac:dyDescent="0.3">
      <c r="A170" s="42">
        <v>10000000208</v>
      </c>
      <c r="B170" s="3" t="s">
        <v>933</v>
      </c>
      <c r="C170" s="4">
        <f t="shared" ca="1" si="1"/>
        <v>45330</v>
      </c>
    </row>
    <row r="171" spans="1:3" x14ac:dyDescent="0.3">
      <c r="A171" s="42">
        <v>10000000192</v>
      </c>
      <c r="B171" s="3" t="s">
        <v>934</v>
      </c>
      <c r="C171" s="4">
        <f t="shared" ref="C171:C263" ca="1" si="2">TODAY()-676</f>
        <v>45361</v>
      </c>
    </row>
    <row r="172" spans="1:3" x14ac:dyDescent="0.3">
      <c r="A172" s="42">
        <v>10000000491</v>
      </c>
      <c r="B172" s="3" t="s">
        <v>864</v>
      </c>
      <c r="C172" s="4">
        <f t="shared" ca="1" si="2"/>
        <v>45361</v>
      </c>
    </row>
    <row r="173" spans="1:3" x14ac:dyDescent="0.3">
      <c r="A173" s="42">
        <v>10000000258</v>
      </c>
      <c r="B173" s="3" t="s">
        <v>935</v>
      </c>
      <c r="C173" s="4">
        <f t="shared" ca="1" si="2"/>
        <v>45361</v>
      </c>
    </row>
    <row r="174" spans="1:3" x14ac:dyDescent="0.3">
      <c r="A174" s="42">
        <v>10000000599</v>
      </c>
      <c r="B174" s="3" t="s">
        <v>936</v>
      </c>
      <c r="C174" s="4">
        <f t="shared" ca="1" si="2"/>
        <v>45361</v>
      </c>
    </row>
    <row r="175" spans="1:3" x14ac:dyDescent="0.3">
      <c r="A175" s="42">
        <v>10000000384</v>
      </c>
      <c r="B175" s="3" t="s">
        <v>830</v>
      </c>
      <c r="C175" s="4">
        <f t="shared" ca="1" si="2"/>
        <v>45361</v>
      </c>
    </row>
    <row r="176" spans="1:3" x14ac:dyDescent="0.3">
      <c r="A176" s="42">
        <v>10000000050</v>
      </c>
      <c r="B176" s="3" t="s">
        <v>928</v>
      </c>
      <c r="C176" s="4">
        <f t="shared" ca="1" si="2"/>
        <v>45361</v>
      </c>
    </row>
    <row r="177" spans="1:3" x14ac:dyDescent="0.3">
      <c r="A177" s="42">
        <v>10000000370</v>
      </c>
      <c r="B177" s="3" t="s">
        <v>937</v>
      </c>
      <c r="C177" s="4">
        <f t="shared" ca="1" si="2"/>
        <v>45361</v>
      </c>
    </row>
    <row r="178" spans="1:3" x14ac:dyDescent="0.3">
      <c r="A178" s="42">
        <v>10000000512</v>
      </c>
      <c r="B178" s="3" t="s">
        <v>938</v>
      </c>
      <c r="C178" s="4">
        <f t="shared" ca="1" si="2"/>
        <v>45361</v>
      </c>
    </row>
    <row r="179" spans="1:3" x14ac:dyDescent="0.3">
      <c r="A179" s="42">
        <v>10000000198</v>
      </c>
      <c r="B179" s="3" t="s">
        <v>939</v>
      </c>
      <c r="C179" s="4">
        <f t="shared" ca="1" si="2"/>
        <v>45361</v>
      </c>
    </row>
    <row r="180" spans="1:3" x14ac:dyDescent="0.3">
      <c r="A180" s="42">
        <v>10000000424</v>
      </c>
      <c r="B180" s="3" t="s">
        <v>891</v>
      </c>
      <c r="C180" s="4">
        <f t="shared" ca="1" si="2"/>
        <v>45361</v>
      </c>
    </row>
    <row r="181" spans="1:3" x14ac:dyDescent="0.3">
      <c r="A181" s="42">
        <v>10000000642</v>
      </c>
      <c r="B181" s="3" t="s">
        <v>849</v>
      </c>
      <c r="C181" s="4">
        <f t="shared" ca="1" si="2"/>
        <v>45361</v>
      </c>
    </row>
    <row r="182" spans="1:3" x14ac:dyDescent="0.3">
      <c r="A182" s="42">
        <v>10000000056</v>
      </c>
      <c r="B182" s="3" t="s">
        <v>940</v>
      </c>
      <c r="C182" s="4">
        <f t="shared" ca="1" si="2"/>
        <v>45361</v>
      </c>
    </row>
    <row r="183" spans="1:3" x14ac:dyDescent="0.3">
      <c r="A183" s="42">
        <v>10000000473</v>
      </c>
      <c r="B183" s="3" t="s">
        <v>941</v>
      </c>
      <c r="C183" s="4">
        <f t="shared" ca="1" si="2"/>
        <v>45361</v>
      </c>
    </row>
    <row r="184" spans="1:3" x14ac:dyDescent="0.3">
      <c r="A184" s="42">
        <v>10000000583</v>
      </c>
      <c r="B184" s="3" t="s">
        <v>942</v>
      </c>
      <c r="C184" s="4">
        <f t="shared" ca="1" si="2"/>
        <v>45361</v>
      </c>
    </row>
    <row r="185" spans="1:3" x14ac:dyDescent="0.3">
      <c r="A185" s="42">
        <v>10000000183</v>
      </c>
      <c r="B185" s="3" t="s">
        <v>942</v>
      </c>
      <c r="C185" s="4">
        <f t="shared" ca="1" si="2"/>
        <v>45361</v>
      </c>
    </row>
    <row r="186" spans="1:3" x14ac:dyDescent="0.3">
      <c r="A186" s="42">
        <v>10000000375</v>
      </c>
      <c r="B186" s="3" t="s">
        <v>943</v>
      </c>
      <c r="C186" s="4">
        <f t="shared" ca="1" si="2"/>
        <v>45361</v>
      </c>
    </row>
    <row r="187" spans="1:3" x14ac:dyDescent="0.3">
      <c r="A187" s="42">
        <v>10000000643</v>
      </c>
      <c r="B187" s="3" t="s">
        <v>944</v>
      </c>
      <c r="C187" s="4">
        <f t="shared" ca="1" si="2"/>
        <v>45361</v>
      </c>
    </row>
    <row r="188" spans="1:3" x14ac:dyDescent="0.3">
      <c r="A188" s="42">
        <v>10000000390</v>
      </c>
      <c r="B188" s="3" t="s">
        <v>860</v>
      </c>
      <c r="C188" s="4">
        <f t="shared" ca="1" si="2"/>
        <v>45361</v>
      </c>
    </row>
    <row r="189" spans="1:3" x14ac:dyDescent="0.3">
      <c r="A189" s="42">
        <v>10000000061</v>
      </c>
      <c r="B189" s="3" t="s">
        <v>850</v>
      </c>
      <c r="C189" s="4">
        <f t="shared" ca="1" si="2"/>
        <v>45361</v>
      </c>
    </row>
    <row r="190" spans="1:3" x14ac:dyDescent="0.3">
      <c r="A190" s="42">
        <v>10000000471</v>
      </c>
      <c r="B190" s="3" t="s">
        <v>882</v>
      </c>
      <c r="C190" s="4">
        <f t="shared" ca="1" si="2"/>
        <v>45361</v>
      </c>
    </row>
    <row r="191" spans="1:3" x14ac:dyDescent="0.3">
      <c r="A191" s="42">
        <v>10000000531</v>
      </c>
      <c r="B191" s="3" t="s">
        <v>945</v>
      </c>
      <c r="C191" s="4">
        <f t="shared" ca="1" si="2"/>
        <v>45361</v>
      </c>
    </row>
    <row r="192" spans="1:3" x14ac:dyDescent="0.3">
      <c r="A192" s="42">
        <v>10000000205</v>
      </c>
      <c r="B192" s="3" t="s">
        <v>855</v>
      </c>
      <c r="C192" s="4">
        <f t="shared" ca="1" si="2"/>
        <v>45361</v>
      </c>
    </row>
    <row r="193" spans="1:3" x14ac:dyDescent="0.3">
      <c r="A193" s="42">
        <v>10000000169</v>
      </c>
      <c r="B193" s="3" t="s">
        <v>946</v>
      </c>
      <c r="C193" s="4">
        <f t="shared" ca="1" si="2"/>
        <v>45361</v>
      </c>
    </row>
    <row r="194" spans="1:3" x14ac:dyDescent="0.3">
      <c r="A194" s="42">
        <v>10000000031</v>
      </c>
      <c r="B194" s="3" t="s">
        <v>947</v>
      </c>
      <c r="C194" s="4">
        <f t="shared" ca="1" si="2"/>
        <v>45361</v>
      </c>
    </row>
    <row r="195" spans="1:3" x14ac:dyDescent="0.3">
      <c r="A195" s="42">
        <v>10000000196</v>
      </c>
      <c r="B195" s="3" t="s">
        <v>881</v>
      </c>
      <c r="C195" s="4">
        <f t="shared" ca="1" si="2"/>
        <v>45361</v>
      </c>
    </row>
    <row r="196" spans="1:3" x14ac:dyDescent="0.3">
      <c r="A196" s="42">
        <v>10000000198</v>
      </c>
      <c r="B196" s="3" t="s">
        <v>939</v>
      </c>
      <c r="C196" s="4">
        <f t="shared" ca="1" si="2"/>
        <v>45361</v>
      </c>
    </row>
    <row r="197" spans="1:3" x14ac:dyDescent="0.3">
      <c r="A197" s="42">
        <v>10000000261</v>
      </c>
      <c r="B197" s="3" t="s">
        <v>850</v>
      </c>
      <c r="C197" s="4">
        <f t="shared" ca="1" si="2"/>
        <v>45361</v>
      </c>
    </row>
    <row r="198" spans="1:3" x14ac:dyDescent="0.3">
      <c r="A198" s="42">
        <v>10000000458</v>
      </c>
      <c r="B198" s="3" t="s">
        <v>935</v>
      </c>
      <c r="C198" s="4">
        <f t="shared" ca="1" si="2"/>
        <v>45361</v>
      </c>
    </row>
    <row r="199" spans="1:3" x14ac:dyDescent="0.3">
      <c r="A199" s="42">
        <v>10000000497</v>
      </c>
      <c r="B199" s="3" t="s">
        <v>892</v>
      </c>
      <c r="C199" s="4">
        <f t="shared" ca="1" si="2"/>
        <v>45361</v>
      </c>
    </row>
    <row r="200" spans="1:3" x14ac:dyDescent="0.3">
      <c r="A200" s="42">
        <v>10000000625</v>
      </c>
      <c r="B200" s="3" t="s">
        <v>872</v>
      </c>
      <c r="C200" s="4">
        <f t="shared" ca="1" si="2"/>
        <v>45361</v>
      </c>
    </row>
    <row r="201" spans="1:3" x14ac:dyDescent="0.3">
      <c r="A201" s="42">
        <v>10000000273</v>
      </c>
      <c r="B201" s="3" t="s">
        <v>941</v>
      </c>
      <c r="C201" s="4">
        <f t="shared" ca="1" si="2"/>
        <v>45361</v>
      </c>
    </row>
    <row r="202" spans="1:3" x14ac:dyDescent="0.3">
      <c r="A202" s="42">
        <v>10000000062</v>
      </c>
      <c r="B202" s="3" t="s">
        <v>863</v>
      </c>
      <c r="C202" s="4">
        <f t="shared" ca="1" si="2"/>
        <v>45361</v>
      </c>
    </row>
    <row r="203" spans="1:3" x14ac:dyDescent="0.3">
      <c r="A203" s="42">
        <v>10000000094</v>
      </c>
      <c r="B203" s="3" t="s">
        <v>948</v>
      </c>
      <c r="C203" s="4">
        <f t="shared" ca="1" si="2"/>
        <v>45361</v>
      </c>
    </row>
    <row r="204" spans="1:3" x14ac:dyDescent="0.3">
      <c r="A204" s="42">
        <v>10000000501</v>
      </c>
      <c r="B204" s="3" t="s">
        <v>949</v>
      </c>
      <c r="C204" s="4">
        <f t="shared" ca="1" si="2"/>
        <v>45361</v>
      </c>
    </row>
    <row r="205" spans="1:3" x14ac:dyDescent="0.3">
      <c r="A205" s="42">
        <v>10000000398</v>
      </c>
      <c r="B205" s="3" t="s">
        <v>939</v>
      </c>
      <c r="C205" s="4">
        <f t="shared" ca="1" si="2"/>
        <v>45361</v>
      </c>
    </row>
    <row r="206" spans="1:3" x14ac:dyDescent="0.3">
      <c r="A206" s="42">
        <v>10000000138</v>
      </c>
      <c r="B206" s="3" t="s">
        <v>950</v>
      </c>
      <c r="C206" s="4">
        <f t="shared" ca="1" si="2"/>
        <v>45361</v>
      </c>
    </row>
    <row r="207" spans="1:3" x14ac:dyDescent="0.3">
      <c r="A207" s="42">
        <v>10000000249</v>
      </c>
      <c r="B207" s="3" t="s">
        <v>951</v>
      </c>
      <c r="C207" s="4">
        <f t="shared" ca="1" si="2"/>
        <v>45361</v>
      </c>
    </row>
    <row r="208" spans="1:3" x14ac:dyDescent="0.3">
      <c r="A208" s="42">
        <v>10000000531</v>
      </c>
      <c r="B208" s="3" t="s">
        <v>945</v>
      </c>
      <c r="C208" s="4">
        <f t="shared" ca="1" si="2"/>
        <v>45361</v>
      </c>
    </row>
    <row r="209" spans="1:3" x14ac:dyDescent="0.3">
      <c r="A209" s="42">
        <v>10000000044</v>
      </c>
      <c r="B209" s="3" t="s">
        <v>868</v>
      </c>
      <c r="C209" s="4">
        <f t="shared" ca="1" si="2"/>
        <v>45361</v>
      </c>
    </row>
    <row r="210" spans="1:3" x14ac:dyDescent="0.3">
      <c r="A210" s="42">
        <v>10000000079</v>
      </c>
      <c r="B210" s="3" t="s">
        <v>901</v>
      </c>
      <c r="C210" s="4">
        <f t="shared" ca="1" si="2"/>
        <v>45361</v>
      </c>
    </row>
    <row r="211" spans="1:3" x14ac:dyDescent="0.3">
      <c r="A211" s="42">
        <v>10000000344</v>
      </c>
      <c r="B211" s="3" t="s">
        <v>854</v>
      </c>
      <c r="C211" s="4">
        <f t="shared" ca="1" si="2"/>
        <v>45361</v>
      </c>
    </row>
    <row r="212" spans="1:3" x14ac:dyDescent="0.3">
      <c r="A212" s="42">
        <v>10000000529</v>
      </c>
      <c r="B212" s="3" t="s">
        <v>909</v>
      </c>
      <c r="C212" s="4">
        <f t="shared" ca="1" si="2"/>
        <v>45361</v>
      </c>
    </row>
    <row r="213" spans="1:3" x14ac:dyDescent="0.3">
      <c r="A213" s="42">
        <v>10000000040</v>
      </c>
      <c r="B213" s="3" t="s">
        <v>878</v>
      </c>
      <c r="C213" s="4">
        <f t="shared" ca="1" si="2"/>
        <v>45361</v>
      </c>
    </row>
    <row r="214" spans="1:3" x14ac:dyDescent="0.3">
      <c r="A214" s="42">
        <v>10000000603</v>
      </c>
      <c r="B214" s="3" t="s">
        <v>952</v>
      </c>
      <c r="C214" s="4">
        <f t="shared" ca="1" si="2"/>
        <v>45361</v>
      </c>
    </row>
    <row r="215" spans="1:3" x14ac:dyDescent="0.3">
      <c r="A215" s="42">
        <v>10000000606</v>
      </c>
      <c r="B215" s="3" t="s">
        <v>953</v>
      </c>
      <c r="C215" s="4">
        <f t="shared" ca="1" si="2"/>
        <v>45361</v>
      </c>
    </row>
    <row r="216" spans="1:3" x14ac:dyDescent="0.3">
      <c r="A216" s="42">
        <v>10000000388</v>
      </c>
      <c r="B216" s="3" t="s">
        <v>954</v>
      </c>
      <c r="C216" s="4">
        <f t="shared" ca="1" si="2"/>
        <v>45361</v>
      </c>
    </row>
    <row r="217" spans="1:3" x14ac:dyDescent="0.3">
      <c r="A217" s="42">
        <v>10000000588</v>
      </c>
      <c r="B217" s="3" t="s">
        <v>954</v>
      </c>
      <c r="C217" s="4">
        <f t="shared" ca="1" si="2"/>
        <v>45361</v>
      </c>
    </row>
    <row r="218" spans="1:3" x14ac:dyDescent="0.3">
      <c r="A218" s="42">
        <v>10000000696</v>
      </c>
      <c r="B218" s="3" t="s">
        <v>879</v>
      </c>
      <c r="C218" s="4">
        <f t="shared" ca="1" si="2"/>
        <v>45361</v>
      </c>
    </row>
    <row r="219" spans="1:3" x14ac:dyDescent="0.3">
      <c r="A219" s="42">
        <v>10000000352</v>
      </c>
      <c r="B219" s="3" t="s">
        <v>927</v>
      </c>
      <c r="C219" s="4">
        <f t="shared" ca="1" si="2"/>
        <v>45361</v>
      </c>
    </row>
    <row r="220" spans="1:3" x14ac:dyDescent="0.3">
      <c r="A220" s="42">
        <v>10000000229</v>
      </c>
      <c r="B220" s="3" t="s">
        <v>898</v>
      </c>
      <c r="C220" s="4">
        <f t="shared" ca="1" si="2"/>
        <v>45361</v>
      </c>
    </row>
    <row r="221" spans="1:3" x14ac:dyDescent="0.3">
      <c r="A221" s="42">
        <v>10000000582</v>
      </c>
      <c r="B221" s="3" t="s">
        <v>955</v>
      </c>
      <c r="C221" s="4">
        <f t="shared" ca="1" si="2"/>
        <v>45361</v>
      </c>
    </row>
    <row r="222" spans="1:3" x14ac:dyDescent="0.3">
      <c r="A222" s="42">
        <v>10000000100</v>
      </c>
      <c r="B222" s="3" t="s">
        <v>836</v>
      </c>
      <c r="C222" s="4">
        <f t="shared" ca="1" si="2"/>
        <v>45361</v>
      </c>
    </row>
    <row r="223" spans="1:3" x14ac:dyDescent="0.3">
      <c r="A223" s="42">
        <v>10000000659</v>
      </c>
      <c r="B223" s="3" t="s">
        <v>956</v>
      </c>
      <c r="C223" s="4">
        <f t="shared" ca="1" si="2"/>
        <v>45361</v>
      </c>
    </row>
    <row r="224" spans="1:3" x14ac:dyDescent="0.3">
      <c r="A224" s="42">
        <v>10000000166</v>
      </c>
      <c r="B224" s="3" t="s">
        <v>957</v>
      </c>
      <c r="C224" s="4">
        <f t="shared" ca="1" si="2"/>
        <v>45361</v>
      </c>
    </row>
    <row r="225" spans="1:3" x14ac:dyDescent="0.3">
      <c r="A225" s="42">
        <v>10000000216</v>
      </c>
      <c r="B225" s="3" t="s">
        <v>874</v>
      </c>
      <c r="C225" s="4">
        <f t="shared" ca="1" si="2"/>
        <v>45361</v>
      </c>
    </row>
    <row r="226" spans="1:3" x14ac:dyDescent="0.3">
      <c r="A226" s="42">
        <v>10000000283</v>
      </c>
      <c r="B226" s="3" t="s">
        <v>958</v>
      </c>
      <c r="C226" s="4">
        <f t="shared" ca="1" si="2"/>
        <v>45361</v>
      </c>
    </row>
    <row r="227" spans="1:3" x14ac:dyDescent="0.3">
      <c r="A227" s="42">
        <v>10000000658</v>
      </c>
      <c r="B227" s="3" t="s">
        <v>935</v>
      </c>
      <c r="C227" s="4">
        <f t="shared" ca="1" si="2"/>
        <v>45361</v>
      </c>
    </row>
    <row r="228" spans="1:3" x14ac:dyDescent="0.3">
      <c r="A228" s="42">
        <v>10000000112</v>
      </c>
      <c r="B228" s="3" t="s">
        <v>938</v>
      </c>
      <c r="C228" s="4">
        <f t="shared" ca="1" si="2"/>
        <v>45361</v>
      </c>
    </row>
    <row r="229" spans="1:3" x14ac:dyDescent="0.3">
      <c r="A229" s="42">
        <v>10000000334</v>
      </c>
      <c r="B229" s="3" t="s">
        <v>821</v>
      </c>
      <c r="C229" s="4">
        <f t="shared" ca="1" si="2"/>
        <v>45361</v>
      </c>
    </row>
    <row r="230" spans="1:3" x14ac:dyDescent="0.3">
      <c r="A230" s="42">
        <v>10000000083</v>
      </c>
      <c r="B230" s="3" t="s">
        <v>958</v>
      </c>
      <c r="C230" s="4">
        <f t="shared" ca="1" si="2"/>
        <v>45361</v>
      </c>
    </row>
    <row r="231" spans="1:3" x14ac:dyDescent="0.3">
      <c r="A231" s="42">
        <v>10000000527</v>
      </c>
      <c r="B231" s="3" t="s">
        <v>959</v>
      </c>
      <c r="C231" s="4">
        <f t="shared" ca="1" si="2"/>
        <v>45361</v>
      </c>
    </row>
    <row r="232" spans="1:3" x14ac:dyDescent="0.3">
      <c r="A232" s="42">
        <v>10000000116</v>
      </c>
      <c r="B232" s="3" t="s">
        <v>847</v>
      </c>
      <c r="C232" s="4">
        <f t="shared" ca="1" si="2"/>
        <v>45361</v>
      </c>
    </row>
    <row r="233" spans="1:3" x14ac:dyDescent="0.3">
      <c r="A233" s="42">
        <v>10000000345</v>
      </c>
      <c r="B233" s="3" t="s">
        <v>842</v>
      </c>
      <c r="C233" s="4">
        <f t="shared" ca="1" si="2"/>
        <v>45361</v>
      </c>
    </row>
    <row r="234" spans="1:3" x14ac:dyDescent="0.3">
      <c r="A234" s="42">
        <v>10000000428</v>
      </c>
      <c r="B234" s="3" t="s">
        <v>960</v>
      </c>
      <c r="C234" s="4">
        <f t="shared" ca="1" si="2"/>
        <v>45361</v>
      </c>
    </row>
    <row r="235" spans="1:3" x14ac:dyDescent="0.3">
      <c r="A235" s="42">
        <v>10000000590</v>
      </c>
      <c r="B235" s="3" t="s">
        <v>860</v>
      </c>
      <c r="C235" s="4">
        <f t="shared" ca="1" si="2"/>
        <v>45361</v>
      </c>
    </row>
    <row r="236" spans="1:3" x14ac:dyDescent="0.3">
      <c r="A236" s="42">
        <v>10000000054</v>
      </c>
      <c r="B236" s="3" t="s">
        <v>893</v>
      </c>
      <c r="C236" s="4">
        <f t="shared" ca="1" si="2"/>
        <v>45361</v>
      </c>
    </row>
    <row r="237" spans="1:3" x14ac:dyDescent="0.3">
      <c r="A237" s="42">
        <v>10000000465</v>
      </c>
      <c r="B237" s="3" t="s">
        <v>961</v>
      </c>
      <c r="C237" s="4">
        <f t="shared" ca="1" si="2"/>
        <v>45361</v>
      </c>
    </row>
    <row r="238" spans="1:3" x14ac:dyDescent="0.3">
      <c r="A238" s="42">
        <v>10000000285</v>
      </c>
      <c r="B238" s="3" t="s">
        <v>962</v>
      </c>
      <c r="C238" s="4">
        <f t="shared" ca="1" si="2"/>
        <v>45361</v>
      </c>
    </row>
    <row r="239" spans="1:3" x14ac:dyDescent="0.3">
      <c r="A239" s="42">
        <v>10000000552</v>
      </c>
      <c r="B239" s="3" t="s">
        <v>927</v>
      </c>
      <c r="C239" s="4">
        <f t="shared" ca="1" si="2"/>
        <v>45361</v>
      </c>
    </row>
    <row r="240" spans="1:3" x14ac:dyDescent="0.3">
      <c r="A240" s="42">
        <v>10000000552</v>
      </c>
      <c r="B240" s="3" t="s">
        <v>927</v>
      </c>
      <c r="C240" s="4">
        <f t="shared" ca="1" si="2"/>
        <v>45361</v>
      </c>
    </row>
    <row r="241" spans="1:3" x14ac:dyDescent="0.3">
      <c r="A241" s="42">
        <v>10000000179</v>
      </c>
      <c r="B241" s="3" t="s">
        <v>907</v>
      </c>
      <c r="C241" s="4">
        <f t="shared" ca="1" si="2"/>
        <v>45361</v>
      </c>
    </row>
    <row r="242" spans="1:3" x14ac:dyDescent="0.3">
      <c r="A242" s="42">
        <v>10000000533</v>
      </c>
      <c r="B242" s="3" t="s">
        <v>963</v>
      </c>
      <c r="C242" s="4">
        <f t="shared" ca="1" si="2"/>
        <v>45361</v>
      </c>
    </row>
    <row r="243" spans="1:3" x14ac:dyDescent="0.3">
      <c r="A243" s="42">
        <v>10000000341</v>
      </c>
      <c r="B243" s="3" t="s">
        <v>859</v>
      </c>
      <c r="C243" s="4">
        <f t="shared" ca="1" si="2"/>
        <v>45361</v>
      </c>
    </row>
    <row r="244" spans="1:3" x14ac:dyDescent="0.3">
      <c r="A244" s="42">
        <v>10000000402</v>
      </c>
      <c r="B244" s="3" t="s">
        <v>837</v>
      </c>
      <c r="C244" s="4">
        <f t="shared" ca="1" si="2"/>
        <v>45361</v>
      </c>
    </row>
    <row r="245" spans="1:3" x14ac:dyDescent="0.3">
      <c r="A245" s="42">
        <v>10000000481</v>
      </c>
      <c r="B245" s="3" t="s">
        <v>964</v>
      </c>
      <c r="C245" s="4">
        <f t="shared" ca="1" si="2"/>
        <v>45361</v>
      </c>
    </row>
    <row r="246" spans="1:3" x14ac:dyDescent="0.3">
      <c r="A246" s="42">
        <v>10000000136</v>
      </c>
      <c r="B246" s="3" t="s">
        <v>965</v>
      </c>
      <c r="C246" s="4">
        <f t="shared" ca="1" si="2"/>
        <v>45361</v>
      </c>
    </row>
    <row r="247" spans="1:3" x14ac:dyDescent="0.3">
      <c r="A247" s="42">
        <v>10000000257</v>
      </c>
      <c r="B247" s="3" t="s">
        <v>966</v>
      </c>
      <c r="C247" s="4">
        <f t="shared" ca="1" si="2"/>
        <v>45361</v>
      </c>
    </row>
    <row r="248" spans="1:3" x14ac:dyDescent="0.3">
      <c r="A248" s="42">
        <v>10000000273</v>
      </c>
      <c r="B248" s="3" t="s">
        <v>941</v>
      </c>
      <c r="C248" s="4">
        <f t="shared" ca="1" si="2"/>
        <v>45361</v>
      </c>
    </row>
    <row r="249" spans="1:3" x14ac:dyDescent="0.3">
      <c r="A249" s="42">
        <v>10000000406</v>
      </c>
      <c r="B249" s="3" t="s">
        <v>953</v>
      </c>
      <c r="C249" s="4">
        <f t="shared" ca="1" si="2"/>
        <v>45361</v>
      </c>
    </row>
    <row r="250" spans="1:3" x14ac:dyDescent="0.3">
      <c r="A250" s="42">
        <v>10000000247</v>
      </c>
      <c r="B250" s="3" t="s">
        <v>967</v>
      </c>
      <c r="C250" s="4">
        <f t="shared" ca="1" si="2"/>
        <v>45361</v>
      </c>
    </row>
    <row r="251" spans="1:3" x14ac:dyDescent="0.3">
      <c r="A251" s="42">
        <v>10000000296</v>
      </c>
      <c r="B251" s="3" t="s">
        <v>879</v>
      </c>
      <c r="C251" s="4">
        <f t="shared" ca="1" si="2"/>
        <v>45361</v>
      </c>
    </row>
    <row r="252" spans="1:3" x14ac:dyDescent="0.3">
      <c r="A252" s="42">
        <v>10000000683</v>
      </c>
      <c r="B252" s="3" t="s">
        <v>958</v>
      </c>
      <c r="C252" s="4">
        <f t="shared" ca="1" si="2"/>
        <v>45361</v>
      </c>
    </row>
    <row r="253" spans="1:3" x14ac:dyDescent="0.3">
      <c r="A253" s="42">
        <v>10000000075</v>
      </c>
      <c r="B253" s="3" t="s">
        <v>931</v>
      </c>
      <c r="C253" s="4">
        <f t="shared" ca="1" si="2"/>
        <v>45361</v>
      </c>
    </row>
    <row r="254" spans="1:3" x14ac:dyDescent="0.3">
      <c r="A254" s="42">
        <v>10000000221</v>
      </c>
      <c r="B254" s="3" t="s">
        <v>917</v>
      </c>
      <c r="C254" s="4">
        <f t="shared" ca="1" si="2"/>
        <v>45361</v>
      </c>
    </row>
    <row r="255" spans="1:3" x14ac:dyDescent="0.3">
      <c r="A255" s="42">
        <v>10000000592</v>
      </c>
      <c r="B255" s="3" t="s">
        <v>934</v>
      </c>
      <c r="C255" s="4">
        <f t="shared" ca="1" si="2"/>
        <v>45361</v>
      </c>
    </row>
    <row r="256" spans="1:3" x14ac:dyDescent="0.3">
      <c r="A256" s="42">
        <v>10000000305</v>
      </c>
      <c r="B256" s="3" t="s">
        <v>968</v>
      </c>
      <c r="C256" s="4">
        <f t="shared" ca="1" si="2"/>
        <v>45361</v>
      </c>
    </row>
    <row r="257" spans="1:3" x14ac:dyDescent="0.3">
      <c r="A257" s="42">
        <v>10000000666</v>
      </c>
      <c r="B257" s="3" t="s">
        <v>895</v>
      </c>
      <c r="C257" s="4">
        <f t="shared" ca="1" si="2"/>
        <v>45361</v>
      </c>
    </row>
    <row r="258" spans="1:3" x14ac:dyDescent="0.3">
      <c r="A258" s="42">
        <v>10000000655</v>
      </c>
      <c r="B258" s="3" t="s">
        <v>888</v>
      </c>
      <c r="C258" s="4">
        <f t="shared" ca="1" si="2"/>
        <v>45361</v>
      </c>
    </row>
    <row r="259" spans="1:3" x14ac:dyDescent="0.3">
      <c r="A259" s="42">
        <v>10000000013</v>
      </c>
      <c r="B259" s="3" t="s">
        <v>915</v>
      </c>
      <c r="C259" s="4">
        <f t="shared" ca="1" si="2"/>
        <v>45361</v>
      </c>
    </row>
    <row r="260" spans="1:3" x14ac:dyDescent="0.3">
      <c r="A260" s="42">
        <v>10000000293</v>
      </c>
      <c r="B260" s="3" t="s">
        <v>969</v>
      </c>
      <c r="C260" s="4">
        <f t="shared" ca="1" si="2"/>
        <v>45361</v>
      </c>
    </row>
    <row r="261" spans="1:3" x14ac:dyDescent="0.3">
      <c r="A261" s="42">
        <v>10000000151</v>
      </c>
      <c r="B261" s="3" t="s">
        <v>862</v>
      </c>
      <c r="C261" s="4">
        <f t="shared" ca="1" si="2"/>
        <v>45361</v>
      </c>
    </row>
    <row r="262" spans="1:3" x14ac:dyDescent="0.3">
      <c r="A262" s="42">
        <v>10000000095</v>
      </c>
      <c r="B262" s="3" t="s">
        <v>908</v>
      </c>
      <c r="C262" s="4">
        <f t="shared" ca="1" si="2"/>
        <v>45361</v>
      </c>
    </row>
    <row r="263" spans="1:3" x14ac:dyDescent="0.3">
      <c r="A263" s="42">
        <v>10000000284</v>
      </c>
      <c r="B263" s="3" t="s">
        <v>970</v>
      </c>
      <c r="C263" s="4">
        <f t="shared" ca="1" si="2"/>
        <v>45361</v>
      </c>
    </row>
    <row r="264" spans="1:3" x14ac:dyDescent="0.3">
      <c r="A264" s="42">
        <v>10000000026</v>
      </c>
      <c r="B264" s="3" t="s">
        <v>880</v>
      </c>
      <c r="C264" s="4">
        <f t="shared" ref="C264:C360" ca="1" si="3">TODAY()-646</f>
        <v>45391</v>
      </c>
    </row>
    <row r="265" spans="1:3" x14ac:dyDescent="0.3">
      <c r="A265" s="42">
        <v>10000000687</v>
      </c>
      <c r="B265" s="3" t="s">
        <v>904</v>
      </c>
      <c r="C265" s="4">
        <f t="shared" ca="1" si="3"/>
        <v>45391</v>
      </c>
    </row>
    <row r="266" spans="1:3" x14ac:dyDescent="0.3">
      <c r="A266" s="42">
        <v>10000000437</v>
      </c>
      <c r="B266" s="3" t="s">
        <v>885</v>
      </c>
      <c r="C266" s="4">
        <f t="shared" ca="1" si="3"/>
        <v>45391</v>
      </c>
    </row>
    <row r="267" spans="1:3" x14ac:dyDescent="0.3">
      <c r="A267" s="42">
        <v>10000000406</v>
      </c>
      <c r="B267" s="3" t="s">
        <v>953</v>
      </c>
      <c r="C267" s="4">
        <f t="shared" ca="1" si="3"/>
        <v>45391</v>
      </c>
    </row>
    <row r="268" spans="1:3" x14ac:dyDescent="0.3">
      <c r="A268" s="42">
        <v>10000000448</v>
      </c>
      <c r="B268" s="3" t="s">
        <v>856</v>
      </c>
      <c r="C268" s="4">
        <f t="shared" ca="1" si="3"/>
        <v>45391</v>
      </c>
    </row>
    <row r="269" spans="1:3" x14ac:dyDescent="0.3">
      <c r="A269" s="42">
        <v>10000000678</v>
      </c>
      <c r="B269" s="3" t="s">
        <v>921</v>
      </c>
      <c r="C269" s="4">
        <f t="shared" ca="1" si="3"/>
        <v>45391</v>
      </c>
    </row>
    <row r="270" spans="1:3" x14ac:dyDescent="0.3">
      <c r="A270" s="42">
        <v>10000000103</v>
      </c>
      <c r="B270" s="3" t="s">
        <v>853</v>
      </c>
      <c r="C270" s="4">
        <f t="shared" ca="1" si="3"/>
        <v>45391</v>
      </c>
    </row>
    <row r="271" spans="1:3" x14ac:dyDescent="0.3">
      <c r="A271" s="42">
        <v>10000000551</v>
      </c>
      <c r="B271" s="3" t="s">
        <v>862</v>
      </c>
      <c r="C271" s="4">
        <f t="shared" ca="1" si="3"/>
        <v>45391</v>
      </c>
    </row>
    <row r="272" spans="1:3" x14ac:dyDescent="0.3">
      <c r="A272" s="42">
        <v>10000000138</v>
      </c>
      <c r="B272" s="3" t="s">
        <v>950</v>
      </c>
      <c r="C272" s="4">
        <f t="shared" ca="1" si="3"/>
        <v>45391</v>
      </c>
    </row>
    <row r="273" spans="1:3" x14ac:dyDescent="0.3">
      <c r="A273" s="42">
        <v>10000000273</v>
      </c>
      <c r="B273" s="3" t="s">
        <v>941</v>
      </c>
      <c r="C273" s="4">
        <f t="shared" ca="1" si="3"/>
        <v>45391</v>
      </c>
    </row>
    <row r="274" spans="1:3" x14ac:dyDescent="0.3">
      <c r="A274" s="42">
        <v>10000000507</v>
      </c>
      <c r="B274" s="3" t="s">
        <v>906</v>
      </c>
      <c r="C274" s="4">
        <f t="shared" ca="1" si="3"/>
        <v>45391</v>
      </c>
    </row>
    <row r="275" spans="1:3" x14ac:dyDescent="0.3">
      <c r="A275" s="42">
        <v>10000000542</v>
      </c>
      <c r="B275" s="3" t="s">
        <v>929</v>
      </c>
      <c r="C275" s="4">
        <f t="shared" ca="1" si="3"/>
        <v>45391</v>
      </c>
    </row>
    <row r="276" spans="1:3" x14ac:dyDescent="0.3">
      <c r="A276" s="42">
        <v>10000000477</v>
      </c>
      <c r="B276" s="3" t="s">
        <v>971</v>
      </c>
      <c r="C276" s="4">
        <f t="shared" ca="1" si="3"/>
        <v>45391</v>
      </c>
    </row>
    <row r="277" spans="1:3" x14ac:dyDescent="0.3">
      <c r="A277" s="42">
        <v>10000000672</v>
      </c>
      <c r="B277" s="3" t="s">
        <v>972</v>
      </c>
      <c r="C277" s="4">
        <f t="shared" ca="1" si="3"/>
        <v>45391</v>
      </c>
    </row>
    <row r="278" spans="1:3" x14ac:dyDescent="0.3">
      <c r="A278" s="42">
        <v>10000000505</v>
      </c>
      <c r="B278" s="3" t="s">
        <v>968</v>
      </c>
      <c r="C278" s="4">
        <f t="shared" ca="1" si="3"/>
        <v>45391</v>
      </c>
    </row>
    <row r="279" spans="1:3" x14ac:dyDescent="0.3">
      <c r="A279" s="42">
        <v>10000000638</v>
      </c>
      <c r="B279" s="3" t="s">
        <v>867</v>
      </c>
      <c r="C279" s="4">
        <f t="shared" ca="1" si="3"/>
        <v>45391</v>
      </c>
    </row>
    <row r="280" spans="1:3" x14ac:dyDescent="0.3">
      <c r="A280" s="42">
        <v>10000000251</v>
      </c>
      <c r="B280" s="3" t="s">
        <v>973</v>
      </c>
      <c r="C280" s="4">
        <f t="shared" ca="1" si="3"/>
        <v>45391</v>
      </c>
    </row>
    <row r="281" spans="1:3" x14ac:dyDescent="0.3">
      <c r="A281" s="42">
        <v>10000000332</v>
      </c>
      <c r="B281" s="3" t="s">
        <v>974</v>
      </c>
      <c r="C281" s="4">
        <f t="shared" ca="1" si="3"/>
        <v>45391</v>
      </c>
    </row>
    <row r="282" spans="1:3" x14ac:dyDescent="0.3">
      <c r="A282" s="42">
        <v>10000000081</v>
      </c>
      <c r="B282" s="3" t="s">
        <v>964</v>
      </c>
      <c r="C282" s="4">
        <f t="shared" ca="1" si="3"/>
        <v>45391</v>
      </c>
    </row>
    <row r="283" spans="1:3" x14ac:dyDescent="0.3">
      <c r="A283" s="42">
        <v>10000000090</v>
      </c>
      <c r="B283" s="3" t="s">
        <v>848</v>
      </c>
      <c r="C283" s="4">
        <f t="shared" ca="1" si="3"/>
        <v>45391</v>
      </c>
    </row>
    <row r="284" spans="1:3" x14ac:dyDescent="0.3">
      <c r="A284" s="42">
        <v>10000000174</v>
      </c>
      <c r="B284" s="3" t="s">
        <v>845</v>
      </c>
      <c r="C284" s="4">
        <f t="shared" ca="1" si="3"/>
        <v>45391</v>
      </c>
    </row>
    <row r="285" spans="1:3" x14ac:dyDescent="0.3">
      <c r="A285" s="42">
        <v>10000000219</v>
      </c>
      <c r="B285" s="3" t="s">
        <v>975</v>
      </c>
      <c r="C285" s="4">
        <f t="shared" ca="1" si="3"/>
        <v>45391</v>
      </c>
    </row>
    <row r="286" spans="1:3" x14ac:dyDescent="0.3">
      <c r="A286" s="42">
        <v>10000000145</v>
      </c>
      <c r="B286" s="3" t="s">
        <v>842</v>
      </c>
      <c r="C286" s="4">
        <f t="shared" ca="1" si="3"/>
        <v>45391</v>
      </c>
    </row>
    <row r="287" spans="1:3" x14ac:dyDescent="0.3">
      <c r="A287" s="42">
        <v>10000000680</v>
      </c>
      <c r="B287" s="3" t="s">
        <v>844</v>
      </c>
      <c r="C287" s="4">
        <f t="shared" ca="1" si="3"/>
        <v>45391</v>
      </c>
    </row>
    <row r="288" spans="1:3" x14ac:dyDescent="0.3">
      <c r="A288" s="42">
        <v>10000000603</v>
      </c>
      <c r="B288" s="3" t="s">
        <v>952</v>
      </c>
      <c r="C288" s="4">
        <f t="shared" ca="1" si="3"/>
        <v>45391</v>
      </c>
    </row>
    <row r="289" spans="1:3" x14ac:dyDescent="0.3">
      <c r="A289" s="42">
        <v>10000000132</v>
      </c>
      <c r="B289" s="3" t="s">
        <v>974</v>
      </c>
      <c r="C289" s="4">
        <f t="shared" ca="1" si="3"/>
        <v>45391</v>
      </c>
    </row>
    <row r="290" spans="1:3" x14ac:dyDescent="0.3">
      <c r="A290" s="42">
        <v>10000000019</v>
      </c>
      <c r="B290" s="3" t="s">
        <v>975</v>
      </c>
      <c r="C290" s="4">
        <f t="shared" ca="1" si="3"/>
        <v>45391</v>
      </c>
    </row>
    <row r="291" spans="1:3" x14ac:dyDescent="0.3">
      <c r="A291" s="42">
        <v>10000000470</v>
      </c>
      <c r="B291" s="3" t="s">
        <v>834</v>
      </c>
      <c r="C291" s="4">
        <f t="shared" ca="1" si="3"/>
        <v>45391</v>
      </c>
    </row>
    <row r="292" spans="1:3" x14ac:dyDescent="0.3">
      <c r="A292" s="42">
        <v>10000000541</v>
      </c>
      <c r="B292" s="3" t="s">
        <v>859</v>
      </c>
      <c r="C292" s="4">
        <f t="shared" ca="1" si="3"/>
        <v>45391</v>
      </c>
    </row>
    <row r="293" spans="1:3" x14ac:dyDescent="0.3">
      <c r="A293" s="42">
        <v>10000000452</v>
      </c>
      <c r="B293" s="3" t="s">
        <v>976</v>
      </c>
      <c r="C293" s="4">
        <f t="shared" ca="1" si="3"/>
        <v>45391</v>
      </c>
    </row>
    <row r="294" spans="1:3" x14ac:dyDescent="0.3">
      <c r="A294" s="42">
        <v>10000000561</v>
      </c>
      <c r="B294" s="3" t="s">
        <v>977</v>
      </c>
      <c r="C294" s="4">
        <f t="shared" ca="1" si="3"/>
        <v>45391</v>
      </c>
    </row>
    <row r="295" spans="1:3" x14ac:dyDescent="0.3">
      <c r="A295" s="42">
        <v>10000000565</v>
      </c>
      <c r="B295" s="3" t="s">
        <v>914</v>
      </c>
      <c r="C295" s="4">
        <f t="shared" ca="1" si="3"/>
        <v>45391</v>
      </c>
    </row>
    <row r="296" spans="1:3" x14ac:dyDescent="0.3">
      <c r="A296" s="42">
        <v>10000000028</v>
      </c>
      <c r="B296" s="3" t="s">
        <v>960</v>
      </c>
      <c r="C296" s="4">
        <f t="shared" ca="1" si="3"/>
        <v>45391</v>
      </c>
    </row>
    <row r="297" spans="1:3" x14ac:dyDescent="0.3">
      <c r="A297" s="42">
        <v>10000000352</v>
      </c>
      <c r="B297" s="3" t="s">
        <v>927</v>
      </c>
      <c r="C297" s="4">
        <f t="shared" ca="1" si="3"/>
        <v>45391</v>
      </c>
    </row>
    <row r="298" spans="1:3" x14ac:dyDescent="0.3">
      <c r="A298" s="42">
        <v>10000000086</v>
      </c>
      <c r="B298" s="3" t="s">
        <v>875</v>
      </c>
      <c r="C298" s="4">
        <f t="shared" ca="1" si="3"/>
        <v>45391</v>
      </c>
    </row>
    <row r="299" spans="1:3" x14ac:dyDescent="0.3">
      <c r="A299" s="42">
        <v>10000000683</v>
      </c>
      <c r="B299" s="3" t="s">
        <v>958</v>
      </c>
      <c r="C299" s="4">
        <f t="shared" ca="1" si="3"/>
        <v>45391</v>
      </c>
    </row>
    <row r="300" spans="1:3" x14ac:dyDescent="0.3">
      <c r="A300" s="42">
        <v>10000000038</v>
      </c>
      <c r="B300" s="3" t="s">
        <v>867</v>
      </c>
      <c r="C300" s="4">
        <f t="shared" ca="1" si="3"/>
        <v>45391</v>
      </c>
    </row>
    <row r="301" spans="1:3" x14ac:dyDescent="0.3">
      <c r="A301" s="42">
        <v>10000000176</v>
      </c>
      <c r="B301" s="3" t="s">
        <v>978</v>
      </c>
      <c r="C301" s="4">
        <f t="shared" ca="1" si="3"/>
        <v>45391</v>
      </c>
    </row>
    <row r="302" spans="1:3" x14ac:dyDescent="0.3">
      <c r="A302" s="42">
        <v>10000000320</v>
      </c>
      <c r="B302" s="3" t="s">
        <v>979</v>
      </c>
      <c r="C302" s="4">
        <f t="shared" ca="1" si="3"/>
        <v>45391</v>
      </c>
    </row>
    <row r="303" spans="1:3" x14ac:dyDescent="0.3">
      <c r="A303" s="42">
        <v>10000000386</v>
      </c>
      <c r="B303" s="3" t="s">
        <v>980</v>
      </c>
      <c r="C303" s="4">
        <f t="shared" ca="1" si="3"/>
        <v>45391</v>
      </c>
    </row>
    <row r="304" spans="1:3" x14ac:dyDescent="0.3">
      <c r="A304" s="42">
        <v>10000000173</v>
      </c>
      <c r="B304" s="3" t="s">
        <v>924</v>
      </c>
      <c r="C304" s="4">
        <f t="shared" ca="1" si="3"/>
        <v>45391</v>
      </c>
    </row>
    <row r="305" spans="1:3" x14ac:dyDescent="0.3">
      <c r="A305" s="42">
        <v>10000000372</v>
      </c>
      <c r="B305" s="3" t="s">
        <v>889</v>
      </c>
      <c r="C305" s="4">
        <f t="shared" ca="1" si="3"/>
        <v>45391</v>
      </c>
    </row>
    <row r="306" spans="1:3" x14ac:dyDescent="0.3">
      <c r="A306" s="42">
        <v>10000000049</v>
      </c>
      <c r="B306" s="3" t="s">
        <v>951</v>
      </c>
      <c r="C306" s="4">
        <f t="shared" ca="1" si="3"/>
        <v>45391</v>
      </c>
    </row>
    <row r="307" spans="1:3" x14ac:dyDescent="0.3">
      <c r="A307" s="42">
        <v>10000000074</v>
      </c>
      <c r="B307" s="3" t="s">
        <v>981</v>
      </c>
      <c r="C307" s="4">
        <f t="shared" ca="1" si="3"/>
        <v>45391</v>
      </c>
    </row>
    <row r="308" spans="1:3" x14ac:dyDescent="0.3">
      <c r="A308" s="42">
        <v>10000000680</v>
      </c>
      <c r="B308" s="3" t="s">
        <v>844</v>
      </c>
      <c r="C308" s="4">
        <f t="shared" ca="1" si="3"/>
        <v>45391</v>
      </c>
    </row>
    <row r="309" spans="1:3" x14ac:dyDescent="0.3">
      <c r="A309" s="42">
        <v>10000000434</v>
      </c>
      <c r="B309" s="3" t="s">
        <v>910</v>
      </c>
      <c r="C309" s="4">
        <f t="shared" ca="1" si="3"/>
        <v>45391</v>
      </c>
    </row>
    <row r="310" spans="1:3" x14ac:dyDescent="0.3">
      <c r="A310" s="42">
        <v>10000000654</v>
      </c>
      <c r="B310" s="3" t="s">
        <v>893</v>
      </c>
      <c r="C310" s="4">
        <f t="shared" ca="1" si="3"/>
        <v>45391</v>
      </c>
    </row>
    <row r="311" spans="1:3" x14ac:dyDescent="0.3">
      <c r="A311" s="42">
        <v>10000000324</v>
      </c>
      <c r="B311" s="3" t="s">
        <v>897</v>
      </c>
      <c r="C311" s="4">
        <f t="shared" ca="1" si="3"/>
        <v>45391</v>
      </c>
    </row>
    <row r="312" spans="1:3" x14ac:dyDescent="0.3">
      <c r="A312" s="42">
        <v>10000000413</v>
      </c>
      <c r="B312" s="3" t="s">
        <v>915</v>
      </c>
      <c r="C312" s="4">
        <f t="shared" ca="1" si="3"/>
        <v>45391</v>
      </c>
    </row>
    <row r="313" spans="1:3" x14ac:dyDescent="0.3">
      <c r="A313" s="42">
        <v>10000000147</v>
      </c>
      <c r="B313" s="3" t="s">
        <v>982</v>
      </c>
      <c r="C313" s="4">
        <f t="shared" ca="1" si="3"/>
        <v>45391</v>
      </c>
    </row>
    <row r="314" spans="1:3" x14ac:dyDescent="0.3">
      <c r="A314" s="42">
        <v>10000000337</v>
      </c>
      <c r="B314" s="3" t="s">
        <v>923</v>
      </c>
      <c r="C314" s="4">
        <f t="shared" ca="1" si="3"/>
        <v>45391</v>
      </c>
    </row>
    <row r="315" spans="1:3" x14ac:dyDescent="0.3">
      <c r="A315" s="42">
        <v>10000000355</v>
      </c>
      <c r="B315" s="3" t="s">
        <v>983</v>
      </c>
      <c r="C315" s="4">
        <f t="shared" ca="1" si="3"/>
        <v>45391</v>
      </c>
    </row>
    <row r="316" spans="1:3" x14ac:dyDescent="0.3">
      <c r="A316" s="42">
        <v>10000000367</v>
      </c>
      <c r="B316" s="3" t="s">
        <v>984</v>
      </c>
      <c r="C316" s="4">
        <f t="shared" ca="1" si="3"/>
        <v>45391</v>
      </c>
    </row>
    <row r="317" spans="1:3" x14ac:dyDescent="0.3">
      <c r="A317" s="42">
        <v>10000000126</v>
      </c>
      <c r="B317" s="3" t="s">
        <v>985</v>
      </c>
      <c r="C317" s="4">
        <f t="shared" ca="1" si="3"/>
        <v>45391</v>
      </c>
    </row>
    <row r="318" spans="1:3" x14ac:dyDescent="0.3">
      <c r="A318" s="42">
        <v>10000000272</v>
      </c>
      <c r="B318" s="3" t="s">
        <v>972</v>
      </c>
      <c r="C318" s="4">
        <f t="shared" ca="1" si="3"/>
        <v>45391</v>
      </c>
    </row>
    <row r="319" spans="1:3" x14ac:dyDescent="0.3">
      <c r="A319" s="42">
        <v>10000000064</v>
      </c>
      <c r="B319" s="3" t="s">
        <v>858</v>
      </c>
      <c r="C319" s="4">
        <f t="shared" ca="1" si="3"/>
        <v>45391</v>
      </c>
    </row>
    <row r="320" spans="1:3" x14ac:dyDescent="0.3">
      <c r="A320" s="42">
        <v>10000000688</v>
      </c>
      <c r="B320" s="3" t="s">
        <v>986</v>
      </c>
      <c r="C320" s="4">
        <f t="shared" ca="1" si="3"/>
        <v>45391</v>
      </c>
    </row>
    <row r="321" spans="1:3" x14ac:dyDescent="0.3">
      <c r="A321" s="42">
        <v>10000000258</v>
      </c>
      <c r="B321" s="3" t="s">
        <v>935</v>
      </c>
      <c r="C321" s="4">
        <f t="shared" ca="1" si="3"/>
        <v>45391</v>
      </c>
    </row>
    <row r="322" spans="1:3" x14ac:dyDescent="0.3">
      <c r="A322" s="42">
        <v>10000000351</v>
      </c>
      <c r="B322" s="3" t="s">
        <v>862</v>
      </c>
      <c r="C322" s="4">
        <f t="shared" ca="1" si="3"/>
        <v>45391</v>
      </c>
    </row>
    <row r="323" spans="1:3" x14ac:dyDescent="0.3">
      <c r="A323" s="42">
        <v>10000000591</v>
      </c>
      <c r="B323" s="3" t="s">
        <v>987</v>
      </c>
      <c r="C323" s="4">
        <f t="shared" ca="1" si="3"/>
        <v>45391</v>
      </c>
    </row>
    <row r="324" spans="1:3" x14ac:dyDescent="0.3">
      <c r="A324" s="42">
        <v>10000000627</v>
      </c>
      <c r="B324" s="3" t="s">
        <v>828</v>
      </c>
      <c r="C324" s="4">
        <f t="shared" ca="1" si="3"/>
        <v>45391</v>
      </c>
    </row>
    <row r="325" spans="1:3" x14ac:dyDescent="0.3">
      <c r="A325" s="42">
        <v>10000000523</v>
      </c>
      <c r="B325" s="3" t="s">
        <v>988</v>
      </c>
      <c r="C325" s="4">
        <f t="shared" ca="1" si="3"/>
        <v>45391</v>
      </c>
    </row>
    <row r="326" spans="1:3" x14ac:dyDescent="0.3">
      <c r="A326" s="42">
        <v>10000000634</v>
      </c>
      <c r="B326" s="3" t="s">
        <v>910</v>
      </c>
      <c r="C326" s="4">
        <f t="shared" ca="1" si="3"/>
        <v>45391</v>
      </c>
    </row>
    <row r="327" spans="1:3" x14ac:dyDescent="0.3">
      <c r="A327" s="42">
        <v>10000000609</v>
      </c>
      <c r="B327" s="3" t="s">
        <v>919</v>
      </c>
      <c r="C327" s="4">
        <f t="shared" ca="1" si="3"/>
        <v>45391</v>
      </c>
    </row>
    <row r="328" spans="1:3" x14ac:dyDescent="0.3">
      <c r="A328" s="42">
        <v>10000000174</v>
      </c>
      <c r="B328" s="3" t="s">
        <v>845</v>
      </c>
      <c r="C328" s="4">
        <f t="shared" ca="1" si="3"/>
        <v>45391</v>
      </c>
    </row>
    <row r="329" spans="1:3" x14ac:dyDescent="0.3">
      <c r="A329" s="42">
        <v>10000000163</v>
      </c>
      <c r="B329" s="3" t="s">
        <v>877</v>
      </c>
      <c r="C329" s="4">
        <f t="shared" ca="1" si="3"/>
        <v>45391</v>
      </c>
    </row>
    <row r="330" spans="1:3" x14ac:dyDescent="0.3">
      <c r="A330" s="42">
        <v>10000000342</v>
      </c>
      <c r="B330" s="3" t="s">
        <v>929</v>
      </c>
      <c r="C330" s="4">
        <f t="shared" ca="1" si="3"/>
        <v>45391</v>
      </c>
    </row>
    <row r="331" spans="1:3" x14ac:dyDescent="0.3">
      <c r="A331" s="42">
        <v>10000000413</v>
      </c>
      <c r="B331" s="3" t="s">
        <v>915</v>
      </c>
      <c r="C331" s="4">
        <f t="shared" ca="1" si="3"/>
        <v>45391</v>
      </c>
    </row>
    <row r="332" spans="1:3" x14ac:dyDescent="0.3">
      <c r="A332" s="42">
        <v>10000000213</v>
      </c>
      <c r="B332" s="3" t="s">
        <v>915</v>
      </c>
      <c r="C332" s="4">
        <f t="shared" ca="1" si="3"/>
        <v>45391</v>
      </c>
    </row>
    <row r="333" spans="1:3" x14ac:dyDescent="0.3">
      <c r="A333" s="42">
        <v>10000000677</v>
      </c>
      <c r="B333" s="3" t="s">
        <v>971</v>
      </c>
      <c r="C333" s="4">
        <f t="shared" ca="1" si="3"/>
        <v>45391</v>
      </c>
    </row>
    <row r="334" spans="1:3" x14ac:dyDescent="0.3">
      <c r="A334" s="42">
        <v>10000000512</v>
      </c>
      <c r="B334" s="3" t="s">
        <v>938</v>
      </c>
      <c r="C334" s="4">
        <f t="shared" ca="1" si="3"/>
        <v>45391</v>
      </c>
    </row>
    <row r="335" spans="1:3" x14ac:dyDescent="0.3">
      <c r="A335" s="42">
        <v>10000000460</v>
      </c>
      <c r="B335" s="3" t="s">
        <v>922</v>
      </c>
      <c r="C335" s="4">
        <f t="shared" ca="1" si="3"/>
        <v>45391</v>
      </c>
    </row>
    <row r="336" spans="1:3" x14ac:dyDescent="0.3">
      <c r="A336" s="42">
        <v>10000000673</v>
      </c>
      <c r="B336" s="3" t="s">
        <v>941</v>
      </c>
      <c r="C336" s="4">
        <f t="shared" ca="1" si="3"/>
        <v>45391</v>
      </c>
    </row>
    <row r="337" spans="1:3" x14ac:dyDescent="0.3">
      <c r="A337" s="42">
        <v>10000000460</v>
      </c>
      <c r="B337" s="3" t="s">
        <v>922</v>
      </c>
      <c r="C337" s="4">
        <f t="shared" ca="1" si="3"/>
        <v>45391</v>
      </c>
    </row>
    <row r="338" spans="1:3" x14ac:dyDescent="0.3">
      <c r="A338" s="42">
        <v>10000000596</v>
      </c>
      <c r="B338" s="3" t="s">
        <v>881</v>
      </c>
      <c r="C338" s="4">
        <f t="shared" ca="1" si="3"/>
        <v>45391</v>
      </c>
    </row>
    <row r="339" spans="1:3" x14ac:dyDescent="0.3">
      <c r="A339" s="42">
        <v>10000000142</v>
      </c>
      <c r="B339" s="3" t="s">
        <v>929</v>
      </c>
      <c r="C339" s="4">
        <f t="shared" ca="1" si="3"/>
        <v>45391</v>
      </c>
    </row>
    <row r="340" spans="1:3" x14ac:dyDescent="0.3">
      <c r="A340" s="42">
        <v>10000000599</v>
      </c>
      <c r="B340" s="3" t="s">
        <v>936</v>
      </c>
      <c r="C340" s="4">
        <f t="shared" ca="1" si="3"/>
        <v>45391</v>
      </c>
    </row>
    <row r="341" spans="1:3" x14ac:dyDescent="0.3">
      <c r="A341" s="42">
        <v>10000000097</v>
      </c>
      <c r="B341" s="3" t="s">
        <v>892</v>
      </c>
      <c r="C341" s="4">
        <f t="shared" ca="1" si="3"/>
        <v>45391</v>
      </c>
    </row>
    <row r="342" spans="1:3" x14ac:dyDescent="0.3">
      <c r="A342" s="42">
        <v>10000000385</v>
      </c>
      <c r="B342" s="3" t="s">
        <v>989</v>
      </c>
      <c r="C342" s="4">
        <f t="shared" ca="1" si="3"/>
        <v>45391</v>
      </c>
    </row>
    <row r="343" spans="1:3" x14ac:dyDescent="0.3">
      <c r="A343" s="42">
        <v>10000000091</v>
      </c>
      <c r="B343" s="3" t="s">
        <v>864</v>
      </c>
      <c r="C343" s="4">
        <f t="shared" ca="1" si="3"/>
        <v>45391</v>
      </c>
    </row>
    <row r="344" spans="1:3" x14ac:dyDescent="0.3">
      <c r="A344" s="42">
        <v>10000000171</v>
      </c>
      <c r="B344" s="3" t="s">
        <v>932</v>
      </c>
      <c r="C344" s="4">
        <f t="shared" ca="1" si="3"/>
        <v>45391</v>
      </c>
    </row>
    <row r="345" spans="1:3" x14ac:dyDescent="0.3">
      <c r="A345" s="42">
        <v>10000000464</v>
      </c>
      <c r="B345" s="3" t="s">
        <v>858</v>
      </c>
      <c r="C345" s="4">
        <f t="shared" ca="1" si="3"/>
        <v>45391</v>
      </c>
    </row>
    <row r="346" spans="1:3" x14ac:dyDescent="0.3">
      <c r="A346" s="42">
        <v>10000000048</v>
      </c>
      <c r="B346" s="3" t="s">
        <v>856</v>
      </c>
      <c r="C346" s="4">
        <f t="shared" ca="1" si="3"/>
        <v>45391</v>
      </c>
    </row>
    <row r="347" spans="1:3" x14ac:dyDescent="0.3">
      <c r="A347" s="42">
        <v>10000000038</v>
      </c>
      <c r="B347" s="3" t="s">
        <v>867</v>
      </c>
      <c r="C347" s="4">
        <f t="shared" ca="1" si="3"/>
        <v>45391</v>
      </c>
    </row>
    <row r="348" spans="1:3" x14ac:dyDescent="0.3">
      <c r="A348" s="42">
        <v>10000000456</v>
      </c>
      <c r="B348" s="3" t="s">
        <v>940</v>
      </c>
      <c r="C348" s="4">
        <f t="shared" ca="1" si="3"/>
        <v>45391</v>
      </c>
    </row>
    <row r="349" spans="1:3" x14ac:dyDescent="0.3">
      <c r="A349" s="42">
        <v>10000000121</v>
      </c>
      <c r="B349" s="3" t="s">
        <v>884</v>
      </c>
      <c r="C349" s="4">
        <f t="shared" ca="1" si="3"/>
        <v>45391</v>
      </c>
    </row>
    <row r="350" spans="1:3" x14ac:dyDescent="0.3">
      <c r="A350" s="42">
        <v>10000000030</v>
      </c>
      <c r="B350" s="3" t="s">
        <v>990</v>
      </c>
      <c r="C350" s="4">
        <f t="shared" ca="1" si="3"/>
        <v>45391</v>
      </c>
    </row>
    <row r="351" spans="1:3" x14ac:dyDescent="0.3">
      <c r="A351" s="42">
        <v>10000000565</v>
      </c>
      <c r="B351" s="3" t="s">
        <v>914</v>
      </c>
      <c r="C351" s="4">
        <f t="shared" ca="1" si="3"/>
        <v>45391</v>
      </c>
    </row>
    <row r="352" spans="1:3" x14ac:dyDescent="0.3">
      <c r="A352" s="42">
        <v>10000000580</v>
      </c>
      <c r="B352" s="3" t="s">
        <v>991</v>
      </c>
      <c r="C352" s="4">
        <f t="shared" ca="1" si="3"/>
        <v>45391</v>
      </c>
    </row>
    <row r="353" spans="1:3" x14ac:dyDescent="0.3">
      <c r="A353" s="42">
        <v>10000000090</v>
      </c>
      <c r="B353" s="3" t="s">
        <v>848</v>
      </c>
      <c r="C353" s="4">
        <f t="shared" ca="1" si="3"/>
        <v>45391</v>
      </c>
    </row>
    <row r="354" spans="1:3" x14ac:dyDescent="0.3">
      <c r="A354" s="42">
        <v>10000000148</v>
      </c>
      <c r="B354" s="3" t="s">
        <v>829</v>
      </c>
      <c r="C354" s="4">
        <f t="shared" ca="1" si="3"/>
        <v>45391</v>
      </c>
    </row>
    <row r="355" spans="1:3" x14ac:dyDescent="0.3">
      <c r="A355" s="42">
        <v>10000000129</v>
      </c>
      <c r="B355" s="3" t="s">
        <v>909</v>
      </c>
      <c r="C355" s="4">
        <f t="shared" ca="1" si="3"/>
        <v>45391</v>
      </c>
    </row>
    <row r="356" spans="1:3" x14ac:dyDescent="0.3">
      <c r="A356" s="42">
        <v>10000000016</v>
      </c>
      <c r="B356" s="3" t="s">
        <v>874</v>
      </c>
      <c r="C356" s="4">
        <f t="shared" ca="1" si="3"/>
        <v>45391</v>
      </c>
    </row>
    <row r="357" spans="1:3" x14ac:dyDescent="0.3">
      <c r="A357" s="42">
        <v>10000000106</v>
      </c>
      <c r="B357" s="3" t="s">
        <v>992</v>
      </c>
      <c r="C357" s="4">
        <f t="shared" ca="1" si="3"/>
        <v>45391</v>
      </c>
    </row>
    <row r="358" spans="1:3" x14ac:dyDescent="0.3">
      <c r="A358" s="42">
        <v>10000000487</v>
      </c>
      <c r="B358" s="3" t="s">
        <v>904</v>
      </c>
      <c r="C358" s="4">
        <f t="shared" ca="1" si="3"/>
        <v>45391</v>
      </c>
    </row>
    <row r="359" spans="1:3" x14ac:dyDescent="0.3">
      <c r="A359" s="42">
        <v>10000000231</v>
      </c>
      <c r="B359" s="3" t="s">
        <v>947</v>
      </c>
      <c r="C359" s="4">
        <f t="shared" ca="1" si="3"/>
        <v>45391</v>
      </c>
    </row>
    <row r="360" spans="1:3" x14ac:dyDescent="0.3">
      <c r="A360" s="42">
        <v>10000000376</v>
      </c>
      <c r="B360" s="3" t="s">
        <v>978</v>
      </c>
      <c r="C360" s="4">
        <f t="shared" ca="1" si="3"/>
        <v>45391</v>
      </c>
    </row>
    <row r="361" spans="1:3" x14ac:dyDescent="0.3">
      <c r="A361" s="42">
        <v>10000000239</v>
      </c>
      <c r="B361" s="3" t="s">
        <v>852</v>
      </c>
      <c r="C361" s="4">
        <f t="shared" ref="C361:C460" ca="1" si="4">TODAY()-615</f>
        <v>45422</v>
      </c>
    </row>
    <row r="362" spans="1:3" x14ac:dyDescent="0.3">
      <c r="A362" s="42">
        <v>10000000257</v>
      </c>
      <c r="B362" s="3" t="s">
        <v>966</v>
      </c>
      <c r="C362" s="4">
        <f t="shared" ca="1" si="4"/>
        <v>45422</v>
      </c>
    </row>
    <row r="363" spans="1:3" x14ac:dyDescent="0.3">
      <c r="A363" s="42">
        <v>10000000059</v>
      </c>
      <c r="B363" s="3" t="s">
        <v>956</v>
      </c>
      <c r="C363" s="4">
        <f t="shared" ca="1" si="4"/>
        <v>45422</v>
      </c>
    </row>
    <row r="364" spans="1:3" x14ac:dyDescent="0.3">
      <c r="A364" s="42">
        <v>10000000021</v>
      </c>
      <c r="B364" s="3" t="s">
        <v>917</v>
      </c>
      <c r="C364" s="4">
        <f t="shared" ca="1" si="4"/>
        <v>45422</v>
      </c>
    </row>
    <row r="365" spans="1:3" x14ac:dyDescent="0.3">
      <c r="A365" s="42">
        <v>10000000023</v>
      </c>
      <c r="B365" s="3" t="s">
        <v>838</v>
      </c>
      <c r="C365" s="4">
        <f t="shared" ca="1" si="4"/>
        <v>45422</v>
      </c>
    </row>
    <row r="366" spans="1:3" x14ac:dyDescent="0.3">
      <c r="A366" s="42">
        <v>10000000291</v>
      </c>
      <c r="B366" s="3" t="s">
        <v>864</v>
      </c>
      <c r="C366" s="4">
        <f t="shared" ca="1" si="4"/>
        <v>45422</v>
      </c>
    </row>
    <row r="367" spans="1:3" x14ac:dyDescent="0.3">
      <c r="A367" s="42">
        <v>10000000008</v>
      </c>
      <c r="B367" s="3" t="s">
        <v>933</v>
      </c>
      <c r="C367" s="4">
        <f t="shared" ca="1" si="4"/>
        <v>45422</v>
      </c>
    </row>
    <row r="368" spans="1:3" x14ac:dyDescent="0.3">
      <c r="A368" s="42">
        <v>10000000670</v>
      </c>
      <c r="B368" s="3" t="s">
        <v>834</v>
      </c>
      <c r="C368" s="4">
        <f t="shared" ca="1" si="4"/>
        <v>45422</v>
      </c>
    </row>
    <row r="369" spans="1:3" x14ac:dyDescent="0.3">
      <c r="A369" s="42">
        <v>10000000523</v>
      </c>
      <c r="B369" s="3" t="s">
        <v>988</v>
      </c>
      <c r="C369" s="4">
        <f t="shared" ca="1" si="4"/>
        <v>45422</v>
      </c>
    </row>
    <row r="370" spans="1:3" x14ac:dyDescent="0.3">
      <c r="A370" s="42">
        <v>10000000022</v>
      </c>
      <c r="B370" s="3" t="s">
        <v>871</v>
      </c>
      <c r="C370" s="4">
        <f t="shared" ca="1" si="4"/>
        <v>45422</v>
      </c>
    </row>
    <row r="371" spans="1:3" x14ac:dyDescent="0.3">
      <c r="A371" s="42">
        <v>10000000108</v>
      </c>
      <c r="B371" s="3" t="s">
        <v>993</v>
      </c>
      <c r="C371" s="4">
        <f t="shared" ca="1" si="4"/>
        <v>45422</v>
      </c>
    </row>
    <row r="372" spans="1:3" x14ac:dyDescent="0.3">
      <c r="A372" s="42">
        <v>10000000575</v>
      </c>
      <c r="B372" s="3" t="s">
        <v>943</v>
      </c>
      <c r="C372" s="4">
        <f t="shared" ca="1" si="4"/>
        <v>45422</v>
      </c>
    </row>
    <row r="373" spans="1:3" x14ac:dyDescent="0.3">
      <c r="A373" s="42">
        <v>10000000158</v>
      </c>
      <c r="B373" s="3" t="s">
        <v>994</v>
      </c>
      <c r="C373" s="4">
        <f t="shared" ca="1" si="4"/>
        <v>45422</v>
      </c>
    </row>
    <row r="374" spans="1:3" x14ac:dyDescent="0.3">
      <c r="A374" s="42">
        <v>10000000482</v>
      </c>
      <c r="B374" s="3" t="s">
        <v>861</v>
      </c>
      <c r="C374" s="4">
        <f t="shared" ca="1" si="4"/>
        <v>45422</v>
      </c>
    </row>
    <row r="375" spans="1:3" x14ac:dyDescent="0.3">
      <c r="A375" s="42">
        <v>10000000547</v>
      </c>
      <c r="B375" s="3" t="s">
        <v>982</v>
      </c>
      <c r="C375" s="4">
        <f t="shared" ca="1" si="4"/>
        <v>45422</v>
      </c>
    </row>
    <row r="376" spans="1:3" x14ac:dyDescent="0.3">
      <c r="A376" s="42">
        <v>10000000238</v>
      </c>
      <c r="B376" s="3" t="s">
        <v>867</v>
      </c>
      <c r="C376" s="4">
        <f t="shared" ca="1" si="4"/>
        <v>45422</v>
      </c>
    </row>
    <row r="377" spans="1:3" x14ac:dyDescent="0.3">
      <c r="A377" s="42">
        <v>10000000292</v>
      </c>
      <c r="B377" s="3" t="s">
        <v>865</v>
      </c>
      <c r="C377" s="4">
        <f t="shared" ca="1" si="4"/>
        <v>45422</v>
      </c>
    </row>
    <row r="378" spans="1:3" x14ac:dyDescent="0.3">
      <c r="A378" s="42">
        <v>10000000505</v>
      </c>
      <c r="B378" s="3" t="s">
        <v>968</v>
      </c>
      <c r="C378" s="4">
        <f t="shared" ca="1" si="4"/>
        <v>45422</v>
      </c>
    </row>
    <row r="379" spans="1:3" x14ac:dyDescent="0.3">
      <c r="A379" s="42">
        <v>10000000665</v>
      </c>
      <c r="B379" s="3" t="s">
        <v>961</v>
      </c>
      <c r="C379" s="4">
        <f t="shared" ca="1" si="4"/>
        <v>45422</v>
      </c>
    </row>
    <row r="380" spans="1:3" x14ac:dyDescent="0.3">
      <c r="A380" s="42">
        <v>10000000049</v>
      </c>
      <c r="B380" s="3" t="s">
        <v>951</v>
      </c>
      <c r="C380" s="4">
        <f t="shared" ca="1" si="4"/>
        <v>45422</v>
      </c>
    </row>
    <row r="381" spans="1:3" x14ac:dyDescent="0.3">
      <c r="A381" s="42">
        <v>10000000189</v>
      </c>
      <c r="B381" s="3" t="s">
        <v>841</v>
      </c>
      <c r="C381" s="4">
        <f t="shared" ca="1" si="4"/>
        <v>45422</v>
      </c>
    </row>
    <row r="382" spans="1:3" x14ac:dyDescent="0.3">
      <c r="A382" s="42">
        <v>10000000664</v>
      </c>
      <c r="B382" s="3" t="s">
        <v>858</v>
      </c>
      <c r="C382" s="4">
        <f t="shared" ca="1" si="4"/>
        <v>45422</v>
      </c>
    </row>
    <row r="383" spans="1:3" x14ac:dyDescent="0.3">
      <c r="A383" s="42">
        <v>10000000139</v>
      </c>
      <c r="B383" s="3" t="s">
        <v>995</v>
      </c>
      <c r="C383" s="4">
        <f t="shared" ca="1" si="4"/>
        <v>45422</v>
      </c>
    </row>
    <row r="384" spans="1:3" x14ac:dyDescent="0.3">
      <c r="A384" s="42">
        <v>10000000242</v>
      </c>
      <c r="B384" s="3" t="s">
        <v>849</v>
      </c>
      <c r="C384" s="4">
        <f t="shared" ca="1" si="4"/>
        <v>45422</v>
      </c>
    </row>
    <row r="385" spans="1:3" x14ac:dyDescent="0.3">
      <c r="A385" s="42">
        <v>10000000540</v>
      </c>
      <c r="B385" s="3" t="s">
        <v>996</v>
      </c>
      <c r="C385" s="4">
        <f t="shared" ca="1" si="4"/>
        <v>45422</v>
      </c>
    </row>
    <row r="386" spans="1:3" x14ac:dyDescent="0.3">
      <c r="A386" s="42">
        <v>10000000574</v>
      </c>
      <c r="B386" s="3" t="s">
        <v>845</v>
      </c>
      <c r="C386" s="4">
        <f t="shared" ca="1" si="4"/>
        <v>45422</v>
      </c>
    </row>
    <row r="387" spans="1:3" x14ac:dyDescent="0.3">
      <c r="A387" s="42">
        <v>10000000024</v>
      </c>
      <c r="B387" s="3" t="s">
        <v>891</v>
      </c>
      <c r="C387" s="4">
        <f t="shared" ca="1" si="4"/>
        <v>45422</v>
      </c>
    </row>
    <row r="388" spans="1:3" x14ac:dyDescent="0.3">
      <c r="A388" s="42">
        <v>10000000270</v>
      </c>
      <c r="B388" s="3" t="s">
        <v>834</v>
      </c>
      <c r="C388" s="4">
        <f t="shared" ca="1" si="4"/>
        <v>45422</v>
      </c>
    </row>
    <row r="389" spans="1:3" x14ac:dyDescent="0.3">
      <c r="A389" s="42">
        <v>10000000439</v>
      </c>
      <c r="B389" s="3" t="s">
        <v>852</v>
      </c>
      <c r="C389" s="4">
        <f t="shared" ca="1" si="4"/>
        <v>45422</v>
      </c>
    </row>
    <row r="390" spans="1:3" x14ac:dyDescent="0.3">
      <c r="A390" s="42">
        <v>10000000465</v>
      </c>
      <c r="B390" s="3" t="s">
        <v>961</v>
      </c>
      <c r="C390" s="4">
        <f t="shared" ca="1" si="4"/>
        <v>45422</v>
      </c>
    </row>
    <row r="391" spans="1:3" x14ac:dyDescent="0.3">
      <c r="A391" s="42">
        <v>10000000503</v>
      </c>
      <c r="B391" s="3" t="s">
        <v>853</v>
      </c>
      <c r="C391" s="4">
        <f t="shared" ca="1" si="4"/>
        <v>45422</v>
      </c>
    </row>
    <row r="392" spans="1:3" x14ac:dyDescent="0.3">
      <c r="A392" s="42">
        <v>10000000093</v>
      </c>
      <c r="B392" s="3" t="s">
        <v>969</v>
      </c>
      <c r="C392" s="4">
        <f t="shared" ca="1" si="4"/>
        <v>45422</v>
      </c>
    </row>
    <row r="393" spans="1:3" x14ac:dyDescent="0.3">
      <c r="A393" s="42">
        <v>10000000185</v>
      </c>
      <c r="B393" s="3" t="s">
        <v>989</v>
      </c>
      <c r="C393" s="4">
        <f t="shared" ca="1" si="4"/>
        <v>45422</v>
      </c>
    </row>
    <row r="394" spans="1:3" x14ac:dyDescent="0.3">
      <c r="A394" s="42">
        <v>10000000280</v>
      </c>
      <c r="B394" s="3" t="s">
        <v>844</v>
      </c>
      <c r="C394" s="4">
        <f t="shared" ca="1" si="4"/>
        <v>45422</v>
      </c>
    </row>
    <row r="395" spans="1:3" x14ac:dyDescent="0.3">
      <c r="A395" s="42">
        <v>10000000361</v>
      </c>
      <c r="B395" s="3" t="s">
        <v>977</v>
      </c>
      <c r="C395" s="4">
        <f t="shared" ca="1" si="4"/>
        <v>45422</v>
      </c>
    </row>
    <row r="396" spans="1:3" x14ac:dyDescent="0.3">
      <c r="A396" s="42">
        <v>10000000501</v>
      </c>
      <c r="B396" s="3" t="s">
        <v>949</v>
      </c>
      <c r="C396" s="4">
        <f t="shared" ca="1" si="4"/>
        <v>45422</v>
      </c>
    </row>
    <row r="397" spans="1:3" x14ac:dyDescent="0.3">
      <c r="A397" s="42">
        <v>10000000306</v>
      </c>
      <c r="B397" s="3" t="s">
        <v>992</v>
      </c>
      <c r="C397" s="4">
        <f t="shared" ca="1" si="4"/>
        <v>45422</v>
      </c>
    </row>
    <row r="398" spans="1:3" x14ac:dyDescent="0.3">
      <c r="A398" s="42">
        <v>10000000466</v>
      </c>
      <c r="B398" s="3" t="s">
        <v>895</v>
      </c>
      <c r="C398" s="4">
        <f t="shared" ca="1" si="4"/>
        <v>45422</v>
      </c>
    </row>
    <row r="399" spans="1:3" x14ac:dyDescent="0.3">
      <c r="A399" s="42">
        <v>10000000272</v>
      </c>
      <c r="B399" s="3" t="s">
        <v>972</v>
      </c>
      <c r="C399" s="4">
        <f t="shared" ca="1" si="4"/>
        <v>45422</v>
      </c>
    </row>
    <row r="400" spans="1:3" x14ac:dyDescent="0.3">
      <c r="A400" s="42">
        <v>10000000071</v>
      </c>
      <c r="B400" s="3" t="s">
        <v>882</v>
      </c>
      <c r="C400" s="4">
        <f t="shared" ca="1" si="4"/>
        <v>45422</v>
      </c>
    </row>
    <row r="401" spans="1:3" x14ac:dyDescent="0.3">
      <c r="A401" s="42">
        <v>10000000470</v>
      </c>
      <c r="B401" s="3" t="s">
        <v>834</v>
      </c>
      <c r="C401" s="4">
        <f t="shared" ca="1" si="4"/>
        <v>45422</v>
      </c>
    </row>
    <row r="402" spans="1:3" x14ac:dyDescent="0.3">
      <c r="A402" s="42">
        <v>10000000035</v>
      </c>
      <c r="B402" s="3" t="s">
        <v>886</v>
      </c>
      <c r="C402" s="4">
        <f t="shared" ca="1" si="4"/>
        <v>45422</v>
      </c>
    </row>
    <row r="403" spans="1:3" x14ac:dyDescent="0.3">
      <c r="A403" s="42">
        <v>10000000333</v>
      </c>
      <c r="B403" s="3" t="s">
        <v>963</v>
      </c>
      <c r="C403" s="4">
        <f t="shared" ca="1" si="4"/>
        <v>45422</v>
      </c>
    </row>
    <row r="404" spans="1:3" x14ac:dyDescent="0.3">
      <c r="A404" s="42">
        <v>10000000573</v>
      </c>
      <c r="B404" s="3" t="s">
        <v>924</v>
      </c>
      <c r="C404" s="4">
        <f t="shared" ca="1" si="4"/>
        <v>45422</v>
      </c>
    </row>
    <row r="405" spans="1:3" x14ac:dyDescent="0.3">
      <c r="A405" s="42">
        <v>10000000035</v>
      </c>
      <c r="B405" s="3" t="s">
        <v>886</v>
      </c>
      <c r="C405" s="4">
        <f t="shared" ca="1" si="4"/>
        <v>45422</v>
      </c>
    </row>
    <row r="406" spans="1:3" x14ac:dyDescent="0.3">
      <c r="A406" s="42">
        <v>10000000034</v>
      </c>
      <c r="B406" s="3" t="s">
        <v>910</v>
      </c>
      <c r="C406" s="4">
        <f t="shared" ca="1" si="4"/>
        <v>45422</v>
      </c>
    </row>
    <row r="407" spans="1:3" x14ac:dyDescent="0.3">
      <c r="A407" s="42">
        <v>10000000506</v>
      </c>
      <c r="B407" s="3" t="s">
        <v>992</v>
      </c>
      <c r="C407" s="4">
        <f t="shared" ca="1" si="4"/>
        <v>45422</v>
      </c>
    </row>
    <row r="408" spans="1:3" x14ac:dyDescent="0.3">
      <c r="A408" s="42">
        <v>10000000166</v>
      </c>
      <c r="B408" s="3" t="s">
        <v>957</v>
      </c>
      <c r="C408" s="4">
        <f t="shared" ca="1" si="4"/>
        <v>45422</v>
      </c>
    </row>
    <row r="409" spans="1:3" x14ac:dyDescent="0.3">
      <c r="A409" s="42">
        <v>10000000180</v>
      </c>
      <c r="B409" s="3" t="s">
        <v>991</v>
      </c>
      <c r="C409" s="4">
        <f t="shared" ca="1" si="4"/>
        <v>45422</v>
      </c>
    </row>
    <row r="410" spans="1:3" x14ac:dyDescent="0.3">
      <c r="A410" s="42">
        <v>10000000308</v>
      </c>
      <c r="B410" s="3" t="s">
        <v>993</v>
      </c>
      <c r="C410" s="4">
        <f t="shared" ca="1" si="4"/>
        <v>45422</v>
      </c>
    </row>
    <row r="411" spans="1:3" x14ac:dyDescent="0.3">
      <c r="A411" s="42">
        <v>10000000268</v>
      </c>
      <c r="B411" s="3" t="s">
        <v>916</v>
      </c>
      <c r="C411" s="4">
        <f t="shared" ca="1" si="4"/>
        <v>45422</v>
      </c>
    </row>
    <row r="412" spans="1:3" x14ac:dyDescent="0.3">
      <c r="A412" s="42">
        <v>10000000363</v>
      </c>
      <c r="B412" s="3" t="s">
        <v>877</v>
      </c>
      <c r="C412" s="4">
        <f t="shared" ca="1" si="4"/>
        <v>45422</v>
      </c>
    </row>
    <row r="413" spans="1:3" x14ac:dyDescent="0.3">
      <c r="A413" s="42">
        <v>10000000322</v>
      </c>
      <c r="B413" s="3" t="s">
        <v>824</v>
      </c>
      <c r="C413" s="4">
        <f t="shared" ca="1" si="4"/>
        <v>45422</v>
      </c>
    </row>
    <row r="414" spans="1:3" x14ac:dyDescent="0.3">
      <c r="A414" s="42">
        <v>10000000253</v>
      </c>
      <c r="B414" s="3" t="s">
        <v>822</v>
      </c>
      <c r="C414" s="4">
        <f t="shared" ca="1" si="4"/>
        <v>45422</v>
      </c>
    </row>
    <row r="415" spans="1:3" x14ac:dyDescent="0.3">
      <c r="A415" s="42">
        <v>10000000218</v>
      </c>
      <c r="B415" s="3" t="s">
        <v>833</v>
      </c>
      <c r="C415" s="4">
        <f t="shared" ca="1" si="4"/>
        <v>45422</v>
      </c>
    </row>
    <row r="416" spans="1:3" x14ac:dyDescent="0.3">
      <c r="A416" s="42">
        <v>10000000453</v>
      </c>
      <c r="B416" s="3" t="s">
        <v>822</v>
      </c>
      <c r="C416" s="4">
        <f t="shared" ca="1" si="4"/>
        <v>45422</v>
      </c>
    </row>
    <row r="417" spans="1:3" x14ac:dyDescent="0.3">
      <c r="A417" s="42">
        <v>10000000010</v>
      </c>
      <c r="B417" s="3" t="s">
        <v>920</v>
      </c>
      <c r="C417" s="4">
        <f t="shared" ca="1" si="4"/>
        <v>45422</v>
      </c>
    </row>
    <row r="418" spans="1:3" x14ac:dyDescent="0.3">
      <c r="A418" s="42">
        <v>10000000548</v>
      </c>
      <c r="B418" s="3" t="s">
        <v>829</v>
      </c>
      <c r="C418" s="4">
        <f t="shared" ca="1" si="4"/>
        <v>45422</v>
      </c>
    </row>
    <row r="419" spans="1:3" x14ac:dyDescent="0.3">
      <c r="A419" s="42">
        <v>10000000600</v>
      </c>
      <c r="B419" s="3" t="s">
        <v>997</v>
      </c>
      <c r="C419" s="4">
        <f t="shared" ca="1" si="4"/>
        <v>45422</v>
      </c>
    </row>
    <row r="420" spans="1:3" x14ac:dyDescent="0.3">
      <c r="A420" s="42">
        <v>10000000388</v>
      </c>
      <c r="B420" s="3" t="s">
        <v>954</v>
      </c>
      <c r="C420" s="4">
        <f t="shared" ca="1" si="4"/>
        <v>45422</v>
      </c>
    </row>
    <row r="421" spans="1:3" x14ac:dyDescent="0.3">
      <c r="A421" s="42">
        <v>10000000359</v>
      </c>
      <c r="B421" s="3" t="s">
        <v>998</v>
      </c>
      <c r="C421" s="4">
        <f t="shared" ca="1" si="4"/>
        <v>45422</v>
      </c>
    </row>
    <row r="422" spans="1:3" x14ac:dyDescent="0.3">
      <c r="A422" s="42">
        <v>10000000047</v>
      </c>
      <c r="B422" s="3" t="s">
        <v>967</v>
      </c>
      <c r="C422" s="4">
        <f t="shared" ca="1" si="4"/>
        <v>45422</v>
      </c>
    </row>
    <row r="423" spans="1:3" x14ac:dyDescent="0.3">
      <c r="A423" s="42">
        <v>10000000437</v>
      </c>
      <c r="B423" s="3" t="s">
        <v>885</v>
      </c>
      <c r="C423" s="4">
        <f t="shared" ca="1" si="4"/>
        <v>45422</v>
      </c>
    </row>
    <row r="424" spans="1:3" x14ac:dyDescent="0.3">
      <c r="A424" s="42">
        <v>10000000153</v>
      </c>
      <c r="B424" s="3" t="s">
        <v>825</v>
      </c>
      <c r="C424" s="4">
        <f t="shared" ca="1" si="4"/>
        <v>45422</v>
      </c>
    </row>
    <row r="425" spans="1:3" x14ac:dyDescent="0.3">
      <c r="A425" s="42">
        <v>10000000688</v>
      </c>
      <c r="B425" s="3" t="s">
        <v>986</v>
      </c>
      <c r="C425" s="4">
        <f t="shared" ca="1" si="4"/>
        <v>45422</v>
      </c>
    </row>
    <row r="426" spans="1:3" x14ac:dyDescent="0.3">
      <c r="A426" s="42">
        <v>10000000079</v>
      </c>
      <c r="B426" s="3" t="s">
        <v>901</v>
      </c>
      <c r="C426" s="4">
        <f t="shared" ca="1" si="4"/>
        <v>45422</v>
      </c>
    </row>
    <row r="427" spans="1:3" x14ac:dyDescent="0.3">
      <c r="A427" s="42">
        <v>10000000468</v>
      </c>
      <c r="B427" s="3" t="s">
        <v>916</v>
      </c>
      <c r="C427" s="4">
        <f t="shared" ca="1" si="4"/>
        <v>45422</v>
      </c>
    </row>
    <row r="428" spans="1:3" x14ac:dyDescent="0.3">
      <c r="A428" s="42">
        <v>10000000340</v>
      </c>
      <c r="B428" s="3" t="s">
        <v>996</v>
      </c>
      <c r="C428" s="4">
        <f t="shared" ca="1" si="4"/>
        <v>45422</v>
      </c>
    </row>
    <row r="429" spans="1:3" x14ac:dyDescent="0.3">
      <c r="A429" s="42">
        <v>10000000675</v>
      </c>
      <c r="B429" s="3" t="s">
        <v>931</v>
      </c>
      <c r="C429" s="4">
        <f t="shared" ca="1" si="4"/>
        <v>45422</v>
      </c>
    </row>
    <row r="430" spans="1:3" x14ac:dyDescent="0.3">
      <c r="A430" s="42">
        <v>10000000635</v>
      </c>
      <c r="B430" s="3" t="s">
        <v>886</v>
      </c>
      <c r="C430" s="4">
        <f t="shared" ca="1" si="4"/>
        <v>45422</v>
      </c>
    </row>
    <row r="431" spans="1:3" x14ac:dyDescent="0.3">
      <c r="A431" s="42">
        <v>10000000579</v>
      </c>
      <c r="B431" s="3" t="s">
        <v>907</v>
      </c>
      <c r="C431" s="4">
        <f t="shared" ca="1" si="4"/>
        <v>45422</v>
      </c>
    </row>
    <row r="432" spans="1:3" x14ac:dyDescent="0.3">
      <c r="A432" s="42">
        <v>10000000434</v>
      </c>
      <c r="B432" s="3" t="s">
        <v>910</v>
      </c>
      <c r="C432" s="4">
        <f t="shared" ca="1" si="4"/>
        <v>45422</v>
      </c>
    </row>
    <row r="433" spans="1:3" x14ac:dyDescent="0.3">
      <c r="A433" s="42">
        <v>10000000206</v>
      </c>
      <c r="B433" s="3" t="s">
        <v>953</v>
      </c>
      <c r="C433" s="4">
        <f t="shared" ca="1" si="4"/>
        <v>45422</v>
      </c>
    </row>
    <row r="434" spans="1:3" x14ac:dyDescent="0.3">
      <c r="A434" s="42">
        <v>10000000330</v>
      </c>
      <c r="B434" s="3" t="s">
        <v>835</v>
      </c>
      <c r="C434" s="4">
        <f t="shared" ca="1" si="4"/>
        <v>45422</v>
      </c>
    </row>
    <row r="435" spans="1:3" x14ac:dyDescent="0.3">
      <c r="A435" s="42">
        <v>10000000031</v>
      </c>
      <c r="B435" s="3" t="s">
        <v>947</v>
      </c>
      <c r="C435" s="4">
        <f t="shared" ca="1" si="4"/>
        <v>45422</v>
      </c>
    </row>
    <row r="436" spans="1:3" x14ac:dyDescent="0.3">
      <c r="A436" s="42">
        <v>10000000538</v>
      </c>
      <c r="B436" s="3" t="s">
        <v>950</v>
      </c>
      <c r="C436" s="4">
        <f t="shared" ca="1" si="4"/>
        <v>45422</v>
      </c>
    </row>
    <row r="437" spans="1:3" x14ac:dyDescent="0.3">
      <c r="A437" s="42">
        <v>10000000170</v>
      </c>
      <c r="B437" s="3" t="s">
        <v>937</v>
      </c>
      <c r="C437" s="4">
        <f t="shared" ca="1" si="4"/>
        <v>45422</v>
      </c>
    </row>
    <row r="438" spans="1:3" x14ac:dyDescent="0.3">
      <c r="A438" s="42">
        <v>10000000244</v>
      </c>
      <c r="B438" s="3" t="s">
        <v>868</v>
      </c>
      <c r="C438" s="4">
        <f t="shared" ca="1" si="4"/>
        <v>45422</v>
      </c>
    </row>
    <row r="439" spans="1:3" x14ac:dyDescent="0.3">
      <c r="A439" s="42">
        <v>10000000363</v>
      </c>
      <c r="B439" s="3" t="s">
        <v>877</v>
      </c>
      <c r="C439" s="4">
        <f t="shared" ca="1" si="4"/>
        <v>45422</v>
      </c>
    </row>
    <row r="440" spans="1:3" x14ac:dyDescent="0.3">
      <c r="A440" s="42">
        <v>10000000170</v>
      </c>
      <c r="B440" s="3" t="s">
        <v>937</v>
      </c>
      <c r="C440" s="4">
        <f t="shared" ca="1" si="4"/>
        <v>45422</v>
      </c>
    </row>
    <row r="441" spans="1:3" x14ac:dyDescent="0.3">
      <c r="A441" s="42">
        <v>10000000140</v>
      </c>
      <c r="B441" s="3" t="s">
        <v>996</v>
      </c>
      <c r="C441" s="4">
        <f t="shared" ca="1" si="4"/>
        <v>45422</v>
      </c>
    </row>
    <row r="442" spans="1:3" x14ac:dyDescent="0.3">
      <c r="A442" s="42">
        <v>10000000097</v>
      </c>
      <c r="B442" s="3" t="s">
        <v>892</v>
      </c>
      <c r="C442" s="4">
        <f t="shared" ca="1" si="4"/>
        <v>45422</v>
      </c>
    </row>
    <row r="443" spans="1:3" x14ac:dyDescent="0.3">
      <c r="A443" s="42">
        <v>10000000203</v>
      </c>
      <c r="B443" s="3" t="s">
        <v>952</v>
      </c>
      <c r="C443" s="4">
        <f t="shared" ca="1" si="4"/>
        <v>45422</v>
      </c>
    </row>
    <row r="444" spans="1:3" x14ac:dyDescent="0.3">
      <c r="A444" s="42">
        <v>10000000408</v>
      </c>
      <c r="B444" s="3" t="s">
        <v>933</v>
      </c>
      <c r="C444" s="4">
        <f t="shared" ca="1" si="4"/>
        <v>45422</v>
      </c>
    </row>
    <row r="445" spans="1:3" x14ac:dyDescent="0.3">
      <c r="A445" s="42">
        <v>10000000528</v>
      </c>
      <c r="B445" s="3" t="s">
        <v>999</v>
      </c>
      <c r="C445" s="4">
        <f t="shared" ca="1" si="4"/>
        <v>45422</v>
      </c>
    </row>
    <row r="446" spans="1:3" x14ac:dyDescent="0.3">
      <c r="A446" s="42">
        <v>10000000400</v>
      </c>
      <c r="B446" s="3" t="s">
        <v>997</v>
      </c>
      <c r="C446" s="4">
        <f t="shared" ca="1" si="4"/>
        <v>45422</v>
      </c>
    </row>
    <row r="447" spans="1:3" x14ac:dyDescent="0.3">
      <c r="A447" s="42">
        <v>10000000327</v>
      </c>
      <c r="B447" s="3" t="s">
        <v>959</v>
      </c>
      <c r="C447" s="4">
        <f t="shared" ca="1" si="4"/>
        <v>45422</v>
      </c>
    </row>
    <row r="448" spans="1:3" x14ac:dyDescent="0.3">
      <c r="A448" s="42">
        <v>10000000470</v>
      </c>
      <c r="B448" s="3" t="s">
        <v>834</v>
      </c>
      <c r="C448" s="4">
        <f t="shared" ca="1" si="4"/>
        <v>45422</v>
      </c>
    </row>
    <row r="449" spans="1:3" x14ac:dyDescent="0.3">
      <c r="A449" s="42">
        <v>10000000058</v>
      </c>
      <c r="B449" s="3" t="s">
        <v>935</v>
      </c>
      <c r="C449" s="4">
        <f t="shared" ca="1" si="4"/>
        <v>45422</v>
      </c>
    </row>
    <row r="450" spans="1:3" x14ac:dyDescent="0.3">
      <c r="A450" s="42">
        <v>10000000429</v>
      </c>
      <c r="B450" s="3" t="s">
        <v>898</v>
      </c>
      <c r="C450" s="4">
        <f t="shared" ca="1" si="4"/>
        <v>45422</v>
      </c>
    </row>
    <row r="451" spans="1:3" x14ac:dyDescent="0.3">
      <c r="A451" s="42">
        <v>10000000545</v>
      </c>
      <c r="B451" s="3" t="s">
        <v>842</v>
      </c>
      <c r="C451" s="4">
        <f t="shared" ca="1" si="4"/>
        <v>45422</v>
      </c>
    </row>
    <row r="452" spans="1:3" x14ac:dyDescent="0.3">
      <c r="A452" s="42">
        <v>10000000677</v>
      </c>
      <c r="B452" s="3" t="s">
        <v>971</v>
      </c>
      <c r="C452" s="4">
        <f t="shared" ca="1" si="4"/>
        <v>45422</v>
      </c>
    </row>
    <row r="453" spans="1:3" x14ac:dyDescent="0.3">
      <c r="A453" s="42">
        <v>10000000056</v>
      </c>
      <c r="B453" s="3" t="s">
        <v>940</v>
      </c>
      <c r="C453" s="4">
        <f t="shared" ca="1" si="4"/>
        <v>45422</v>
      </c>
    </row>
    <row r="454" spans="1:3" x14ac:dyDescent="0.3">
      <c r="A454" s="42">
        <v>10000000087</v>
      </c>
      <c r="B454" s="3" t="s">
        <v>904</v>
      </c>
      <c r="C454" s="4">
        <f t="shared" ca="1" si="4"/>
        <v>45422</v>
      </c>
    </row>
    <row r="455" spans="1:3" x14ac:dyDescent="0.3">
      <c r="A455" s="42">
        <v>10000000514</v>
      </c>
      <c r="B455" s="3" t="s">
        <v>1000</v>
      </c>
      <c r="C455" s="4">
        <f t="shared" ca="1" si="4"/>
        <v>45422</v>
      </c>
    </row>
    <row r="456" spans="1:3" x14ac:dyDescent="0.3">
      <c r="A456" s="42">
        <v>10000000247</v>
      </c>
      <c r="B456" s="3" t="s">
        <v>967</v>
      </c>
      <c r="C456" s="4">
        <f t="shared" ca="1" si="4"/>
        <v>45422</v>
      </c>
    </row>
    <row r="457" spans="1:3" x14ac:dyDescent="0.3">
      <c r="A457" s="42">
        <v>10000000674</v>
      </c>
      <c r="B457" s="3" t="s">
        <v>981</v>
      </c>
      <c r="C457" s="4">
        <f t="shared" ca="1" si="4"/>
        <v>45422</v>
      </c>
    </row>
    <row r="458" spans="1:3" x14ac:dyDescent="0.3">
      <c r="A458" s="42">
        <v>10000000142</v>
      </c>
      <c r="B458" s="3" t="s">
        <v>929</v>
      </c>
      <c r="C458" s="4">
        <f t="shared" ca="1" si="4"/>
        <v>45422</v>
      </c>
    </row>
    <row r="459" spans="1:3" x14ac:dyDescent="0.3">
      <c r="A459" s="42">
        <v>10000000004</v>
      </c>
      <c r="B459" s="3" t="s">
        <v>925</v>
      </c>
      <c r="C459" s="4">
        <f t="shared" ca="1" si="4"/>
        <v>45422</v>
      </c>
    </row>
    <row r="460" spans="1:3" x14ac:dyDescent="0.3">
      <c r="A460" s="42">
        <v>10000000376</v>
      </c>
      <c r="B460" s="3" t="s">
        <v>978</v>
      </c>
      <c r="C460" s="4">
        <f t="shared" ca="1" si="4"/>
        <v>45422</v>
      </c>
    </row>
    <row r="461" spans="1:3" x14ac:dyDescent="0.3">
      <c r="A461" s="42">
        <v>10000000140</v>
      </c>
      <c r="B461" s="3" t="s">
        <v>996</v>
      </c>
      <c r="C461" s="4">
        <f t="shared" ref="C461:C558" ca="1" si="5">TODAY()-584</f>
        <v>45453</v>
      </c>
    </row>
    <row r="462" spans="1:3" x14ac:dyDescent="0.3">
      <c r="A462" s="42">
        <v>10000000224</v>
      </c>
      <c r="B462" s="3" t="s">
        <v>891</v>
      </c>
      <c r="C462" s="4">
        <f t="shared" ca="1" si="5"/>
        <v>45453</v>
      </c>
    </row>
    <row r="463" spans="1:3" x14ac:dyDescent="0.3">
      <c r="A463" s="42">
        <v>10000000405</v>
      </c>
      <c r="B463" s="3" t="s">
        <v>855</v>
      </c>
      <c r="C463" s="4">
        <f t="shared" ca="1" si="5"/>
        <v>45453</v>
      </c>
    </row>
    <row r="464" spans="1:3" x14ac:dyDescent="0.3">
      <c r="A464" s="42">
        <v>10000000433</v>
      </c>
      <c r="B464" s="3" t="s">
        <v>876</v>
      </c>
      <c r="C464" s="4">
        <f t="shared" ca="1" si="5"/>
        <v>45453</v>
      </c>
    </row>
    <row r="465" spans="1:3" x14ac:dyDescent="0.3">
      <c r="A465" s="42">
        <v>10000000197</v>
      </c>
      <c r="B465" s="3" t="s">
        <v>1001</v>
      </c>
      <c r="C465" s="4">
        <f t="shared" ca="1" si="5"/>
        <v>45453</v>
      </c>
    </row>
    <row r="466" spans="1:3" x14ac:dyDescent="0.3">
      <c r="A466" s="42">
        <v>10000000685</v>
      </c>
      <c r="B466" s="3" t="s">
        <v>962</v>
      </c>
      <c r="C466" s="4">
        <f t="shared" ca="1" si="5"/>
        <v>45453</v>
      </c>
    </row>
    <row r="467" spans="1:3" x14ac:dyDescent="0.3">
      <c r="A467" s="42">
        <v>10000000618</v>
      </c>
      <c r="B467" s="3" t="s">
        <v>833</v>
      </c>
      <c r="C467" s="4">
        <f t="shared" ca="1" si="5"/>
        <v>45453</v>
      </c>
    </row>
    <row r="468" spans="1:3" x14ac:dyDescent="0.3">
      <c r="A468" s="42">
        <v>10000000199</v>
      </c>
      <c r="B468" s="3" t="s">
        <v>936</v>
      </c>
      <c r="C468" s="4">
        <f t="shared" ca="1" si="5"/>
        <v>45453</v>
      </c>
    </row>
    <row r="469" spans="1:3" x14ac:dyDescent="0.3">
      <c r="A469" s="42">
        <v>10000000369</v>
      </c>
      <c r="B469" s="3" t="s">
        <v>946</v>
      </c>
      <c r="C469" s="4">
        <f t="shared" ca="1" si="5"/>
        <v>45453</v>
      </c>
    </row>
    <row r="470" spans="1:3" x14ac:dyDescent="0.3">
      <c r="A470" s="42">
        <v>10000000249</v>
      </c>
      <c r="B470" s="3" t="s">
        <v>951</v>
      </c>
      <c r="C470" s="4">
        <f t="shared" ca="1" si="5"/>
        <v>45453</v>
      </c>
    </row>
    <row r="471" spans="1:3" x14ac:dyDescent="0.3">
      <c r="A471" s="42">
        <v>10000000278</v>
      </c>
      <c r="B471" s="3" t="s">
        <v>921</v>
      </c>
      <c r="C471" s="4">
        <f t="shared" ca="1" si="5"/>
        <v>45453</v>
      </c>
    </row>
    <row r="472" spans="1:3" x14ac:dyDescent="0.3">
      <c r="A472" s="42">
        <v>10000000628</v>
      </c>
      <c r="B472" s="3" t="s">
        <v>960</v>
      </c>
      <c r="C472" s="4">
        <f t="shared" ca="1" si="5"/>
        <v>45453</v>
      </c>
    </row>
    <row r="473" spans="1:3" x14ac:dyDescent="0.3">
      <c r="A473" s="42">
        <v>10000000538</v>
      </c>
      <c r="B473" s="3" t="s">
        <v>950</v>
      </c>
      <c r="C473" s="4">
        <f t="shared" ca="1" si="5"/>
        <v>45453</v>
      </c>
    </row>
    <row r="474" spans="1:3" x14ac:dyDescent="0.3">
      <c r="A474" s="42">
        <v>10000000128</v>
      </c>
      <c r="B474" s="3" t="s">
        <v>999</v>
      </c>
      <c r="C474" s="4">
        <f t="shared" ca="1" si="5"/>
        <v>45453</v>
      </c>
    </row>
    <row r="475" spans="1:3" x14ac:dyDescent="0.3">
      <c r="A475" s="42">
        <v>10000000214</v>
      </c>
      <c r="B475" s="3" t="s">
        <v>857</v>
      </c>
      <c r="C475" s="4">
        <f t="shared" ca="1" si="5"/>
        <v>45453</v>
      </c>
    </row>
    <row r="476" spans="1:3" x14ac:dyDescent="0.3">
      <c r="A476" s="42">
        <v>10000000394</v>
      </c>
      <c r="B476" s="3" t="s">
        <v>846</v>
      </c>
      <c r="C476" s="4">
        <f t="shared" ca="1" si="5"/>
        <v>45453</v>
      </c>
    </row>
    <row r="477" spans="1:3" x14ac:dyDescent="0.3">
      <c r="A477" s="42">
        <v>10000000554</v>
      </c>
      <c r="B477" s="3" t="s">
        <v>840</v>
      </c>
      <c r="C477" s="4">
        <f t="shared" ca="1" si="5"/>
        <v>45453</v>
      </c>
    </row>
    <row r="478" spans="1:3" x14ac:dyDescent="0.3">
      <c r="A478" s="42">
        <v>10000000055</v>
      </c>
      <c r="B478" s="3" t="s">
        <v>888</v>
      </c>
      <c r="C478" s="4">
        <f t="shared" ca="1" si="5"/>
        <v>45453</v>
      </c>
    </row>
    <row r="479" spans="1:3" x14ac:dyDescent="0.3">
      <c r="A479" s="42">
        <v>10000000487</v>
      </c>
      <c r="B479" s="3" t="s">
        <v>904</v>
      </c>
      <c r="C479" s="4">
        <f t="shared" ca="1" si="5"/>
        <v>45453</v>
      </c>
    </row>
    <row r="480" spans="1:3" x14ac:dyDescent="0.3">
      <c r="A480" s="42">
        <v>10000000395</v>
      </c>
      <c r="B480" s="3" t="s">
        <v>894</v>
      </c>
      <c r="C480" s="4">
        <f t="shared" ca="1" si="5"/>
        <v>45453</v>
      </c>
    </row>
    <row r="481" spans="1:3" x14ac:dyDescent="0.3">
      <c r="A481" s="42">
        <v>10000000557</v>
      </c>
      <c r="B481" s="3" t="s">
        <v>1002</v>
      </c>
      <c r="C481" s="4">
        <f t="shared" ca="1" si="5"/>
        <v>45453</v>
      </c>
    </row>
    <row r="482" spans="1:3" x14ac:dyDescent="0.3">
      <c r="A482" s="42">
        <v>10000000570</v>
      </c>
      <c r="B482" s="3" t="s">
        <v>937</v>
      </c>
      <c r="C482" s="4">
        <f t="shared" ca="1" si="5"/>
        <v>45453</v>
      </c>
    </row>
    <row r="483" spans="1:3" x14ac:dyDescent="0.3">
      <c r="A483" s="42">
        <v>10000000103</v>
      </c>
      <c r="B483" s="3" t="s">
        <v>853</v>
      </c>
      <c r="C483" s="4">
        <f t="shared" ca="1" si="5"/>
        <v>45453</v>
      </c>
    </row>
    <row r="484" spans="1:3" x14ac:dyDescent="0.3">
      <c r="A484" s="42">
        <v>10000000466</v>
      </c>
      <c r="B484" s="3" t="s">
        <v>895</v>
      </c>
      <c r="C484" s="4">
        <f t="shared" ca="1" si="5"/>
        <v>45453</v>
      </c>
    </row>
    <row r="485" spans="1:3" x14ac:dyDescent="0.3">
      <c r="A485" s="42">
        <v>10000000691</v>
      </c>
      <c r="B485" s="3" t="s">
        <v>864</v>
      </c>
      <c r="C485" s="4">
        <f t="shared" ca="1" si="5"/>
        <v>45453</v>
      </c>
    </row>
    <row r="486" spans="1:3" x14ac:dyDescent="0.3">
      <c r="A486" s="42">
        <v>10000000051</v>
      </c>
      <c r="B486" s="3" t="s">
        <v>973</v>
      </c>
      <c r="C486" s="4">
        <f t="shared" ca="1" si="5"/>
        <v>45453</v>
      </c>
    </row>
    <row r="487" spans="1:3" x14ac:dyDescent="0.3">
      <c r="A487" s="42">
        <v>10000000390</v>
      </c>
      <c r="B487" s="3" t="s">
        <v>860</v>
      </c>
      <c r="C487" s="4">
        <f t="shared" ca="1" si="5"/>
        <v>45453</v>
      </c>
    </row>
    <row r="488" spans="1:3" x14ac:dyDescent="0.3">
      <c r="A488" s="42">
        <v>10000000449</v>
      </c>
      <c r="B488" s="3" t="s">
        <v>951</v>
      </c>
      <c r="C488" s="4">
        <f t="shared" ca="1" si="5"/>
        <v>45453</v>
      </c>
    </row>
    <row r="489" spans="1:3" x14ac:dyDescent="0.3">
      <c r="A489" s="42">
        <v>10000000291</v>
      </c>
      <c r="B489" s="3" t="s">
        <v>864</v>
      </c>
      <c r="C489" s="4">
        <f t="shared" ca="1" si="5"/>
        <v>45453</v>
      </c>
    </row>
    <row r="490" spans="1:3" x14ac:dyDescent="0.3">
      <c r="A490" s="42">
        <v>10000000145</v>
      </c>
      <c r="B490" s="3" t="s">
        <v>842</v>
      </c>
      <c r="C490" s="4">
        <f t="shared" ca="1" si="5"/>
        <v>45453</v>
      </c>
    </row>
    <row r="491" spans="1:3" x14ac:dyDescent="0.3">
      <c r="A491" s="42">
        <v>10000000519</v>
      </c>
      <c r="B491" s="3" t="s">
        <v>1003</v>
      </c>
      <c r="C491" s="4">
        <f t="shared" ca="1" si="5"/>
        <v>45453</v>
      </c>
    </row>
    <row r="492" spans="1:3" x14ac:dyDescent="0.3">
      <c r="A492" s="42">
        <v>10000000345</v>
      </c>
      <c r="B492" s="3" t="s">
        <v>842</v>
      </c>
      <c r="C492" s="4">
        <f t="shared" ca="1" si="5"/>
        <v>45453</v>
      </c>
    </row>
    <row r="493" spans="1:3" x14ac:dyDescent="0.3">
      <c r="A493" s="42">
        <v>10000000577</v>
      </c>
      <c r="B493" s="3" t="s">
        <v>1004</v>
      </c>
      <c r="C493" s="4">
        <f t="shared" ca="1" si="5"/>
        <v>45453</v>
      </c>
    </row>
    <row r="494" spans="1:3" x14ac:dyDescent="0.3">
      <c r="A494" s="42">
        <v>10000000333</v>
      </c>
      <c r="B494" s="3" t="s">
        <v>963</v>
      </c>
      <c r="C494" s="4">
        <f t="shared" ca="1" si="5"/>
        <v>45453</v>
      </c>
    </row>
    <row r="495" spans="1:3" x14ac:dyDescent="0.3">
      <c r="A495" s="42">
        <v>10000000591</v>
      </c>
      <c r="B495" s="3" t="s">
        <v>987</v>
      </c>
      <c r="C495" s="4">
        <f t="shared" ca="1" si="5"/>
        <v>45453</v>
      </c>
    </row>
    <row r="496" spans="1:3" x14ac:dyDescent="0.3">
      <c r="A496" s="42">
        <v>10000000597</v>
      </c>
      <c r="B496" s="3" t="s">
        <v>1001</v>
      </c>
      <c r="C496" s="4">
        <f t="shared" ca="1" si="5"/>
        <v>45453</v>
      </c>
    </row>
    <row r="497" spans="1:3" x14ac:dyDescent="0.3">
      <c r="A497" s="42">
        <v>10000000611</v>
      </c>
      <c r="B497" s="3" t="s">
        <v>1005</v>
      </c>
      <c r="C497" s="4">
        <f t="shared" ca="1" si="5"/>
        <v>45453</v>
      </c>
    </row>
    <row r="498" spans="1:3" x14ac:dyDescent="0.3">
      <c r="A498" s="42">
        <v>10000000334</v>
      </c>
      <c r="B498" s="3" t="s">
        <v>821</v>
      </c>
      <c r="C498" s="4">
        <f t="shared" ca="1" si="5"/>
        <v>45453</v>
      </c>
    </row>
    <row r="499" spans="1:3" x14ac:dyDescent="0.3">
      <c r="A499" s="42">
        <v>10000000233</v>
      </c>
      <c r="B499" s="3" t="s">
        <v>876</v>
      </c>
      <c r="C499" s="4">
        <f t="shared" ca="1" si="5"/>
        <v>45453</v>
      </c>
    </row>
    <row r="500" spans="1:3" x14ac:dyDescent="0.3">
      <c r="A500" s="42">
        <v>10000000369</v>
      </c>
      <c r="B500" s="3" t="s">
        <v>946</v>
      </c>
      <c r="C500" s="4">
        <f t="shared" ca="1" si="5"/>
        <v>45453</v>
      </c>
    </row>
    <row r="501" spans="1:3" x14ac:dyDescent="0.3">
      <c r="A501" s="42">
        <v>10000000407</v>
      </c>
      <c r="B501" s="3" t="s">
        <v>902</v>
      </c>
      <c r="C501" s="4">
        <f t="shared" ca="1" si="5"/>
        <v>45453</v>
      </c>
    </row>
    <row r="502" spans="1:3" x14ac:dyDescent="0.3">
      <c r="A502" s="42">
        <v>10000000200</v>
      </c>
      <c r="B502" s="3" t="s">
        <v>997</v>
      </c>
      <c r="C502" s="4">
        <f t="shared" ca="1" si="5"/>
        <v>45453</v>
      </c>
    </row>
    <row r="503" spans="1:3" x14ac:dyDescent="0.3">
      <c r="A503" s="42">
        <v>10000000558</v>
      </c>
      <c r="B503" s="3" t="s">
        <v>994</v>
      </c>
      <c r="C503" s="4">
        <f t="shared" ca="1" si="5"/>
        <v>45453</v>
      </c>
    </row>
    <row r="504" spans="1:3" x14ac:dyDescent="0.3">
      <c r="A504" s="42">
        <v>10000000126</v>
      </c>
      <c r="B504" s="3" t="s">
        <v>985</v>
      </c>
      <c r="C504" s="4">
        <f t="shared" ca="1" si="5"/>
        <v>45453</v>
      </c>
    </row>
    <row r="505" spans="1:3" x14ac:dyDescent="0.3">
      <c r="A505" s="42">
        <v>10000000316</v>
      </c>
      <c r="B505" s="3" t="s">
        <v>847</v>
      </c>
      <c r="C505" s="4">
        <f t="shared" ca="1" si="5"/>
        <v>45453</v>
      </c>
    </row>
    <row r="506" spans="1:3" x14ac:dyDescent="0.3">
      <c r="A506" s="42">
        <v>10000000229</v>
      </c>
      <c r="B506" s="3" t="s">
        <v>898</v>
      </c>
      <c r="C506" s="4">
        <f t="shared" ca="1" si="5"/>
        <v>45453</v>
      </c>
    </row>
    <row r="507" spans="1:3" x14ac:dyDescent="0.3">
      <c r="A507" s="42">
        <v>10000000239</v>
      </c>
      <c r="B507" s="3" t="s">
        <v>852</v>
      </c>
      <c r="C507" s="4">
        <f t="shared" ca="1" si="5"/>
        <v>45453</v>
      </c>
    </row>
    <row r="508" spans="1:3" x14ac:dyDescent="0.3">
      <c r="A508" s="42">
        <v>10000000500</v>
      </c>
      <c r="B508" s="3" t="s">
        <v>836</v>
      </c>
      <c r="C508" s="4">
        <f t="shared" ca="1" si="5"/>
        <v>45453</v>
      </c>
    </row>
    <row r="509" spans="1:3" x14ac:dyDescent="0.3">
      <c r="A509" s="42">
        <v>10000000155</v>
      </c>
      <c r="B509" s="3" t="s">
        <v>983</v>
      </c>
      <c r="C509" s="4">
        <f t="shared" ca="1" si="5"/>
        <v>45453</v>
      </c>
    </row>
    <row r="510" spans="1:3" x14ac:dyDescent="0.3">
      <c r="A510" s="42">
        <v>10000000409</v>
      </c>
      <c r="B510" s="3" t="s">
        <v>919</v>
      </c>
      <c r="C510" s="4">
        <f t="shared" ca="1" si="5"/>
        <v>45453</v>
      </c>
    </row>
    <row r="511" spans="1:3" x14ac:dyDescent="0.3">
      <c r="A511" s="42">
        <v>10000000542</v>
      </c>
      <c r="B511" s="3" t="s">
        <v>929</v>
      </c>
      <c r="C511" s="4">
        <f t="shared" ca="1" si="5"/>
        <v>45453</v>
      </c>
    </row>
    <row r="512" spans="1:3" x14ac:dyDescent="0.3">
      <c r="A512" s="42">
        <v>10000000682</v>
      </c>
      <c r="B512" s="3" t="s">
        <v>861</v>
      </c>
      <c r="C512" s="4">
        <f t="shared" ca="1" si="5"/>
        <v>45453</v>
      </c>
    </row>
    <row r="513" spans="1:3" x14ac:dyDescent="0.3">
      <c r="A513" s="42">
        <v>10000000652</v>
      </c>
      <c r="B513" s="3" t="s">
        <v>976</v>
      </c>
      <c r="C513" s="4">
        <f t="shared" ca="1" si="5"/>
        <v>45453</v>
      </c>
    </row>
    <row r="514" spans="1:3" x14ac:dyDescent="0.3">
      <c r="A514" s="42">
        <v>10000000108</v>
      </c>
      <c r="B514" s="3" t="s">
        <v>993</v>
      </c>
      <c r="C514" s="4">
        <f t="shared" ca="1" si="5"/>
        <v>45453</v>
      </c>
    </row>
    <row r="515" spans="1:3" x14ac:dyDescent="0.3">
      <c r="A515" s="42">
        <v>10000000471</v>
      </c>
      <c r="B515" s="3" t="s">
        <v>882</v>
      </c>
      <c r="C515" s="4">
        <f t="shared" ca="1" si="5"/>
        <v>45453</v>
      </c>
    </row>
    <row r="516" spans="1:3" x14ac:dyDescent="0.3">
      <c r="A516" s="42">
        <v>10000000056</v>
      </c>
      <c r="B516" s="3" t="s">
        <v>940</v>
      </c>
      <c r="C516" s="4">
        <f t="shared" ca="1" si="5"/>
        <v>45453</v>
      </c>
    </row>
    <row r="517" spans="1:3" x14ac:dyDescent="0.3">
      <c r="A517" s="42">
        <v>10000000256</v>
      </c>
      <c r="B517" s="3" t="s">
        <v>940</v>
      </c>
      <c r="C517" s="4">
        <f t="shared" ca="1" si="5"/>
        <v>45453</v>
      </c>
    </row>
    <row r="518" spans="1:3" x14ac:dyDescent="0.3">
      <c r="A518" s="42">
        <v>10000000419</v>
      </c>
      <c r="B518" s="3" t="s">
        <v>975</v>
      </c>
      <c r="C518" s="4">
        <f t="shared" ca="1" si="5"/>
        <v>45453</v>
      </c>
    </row>
    <row r="519" spans="1:3" x14ac:dyDescent="0.3">
      <c r="A519" s="42">
        <v>10000000070</v>
      </c>
      <c r="B519" s="3" t="s">
        <v>834</v>
      </c>
      <c r="C519" s="4">
        <f t="shared" ca="1" si="5"/>
        <v>45453</v>
      </c>
    </row>
    <row r="520" spans="1:3" x14ac:dyDescent="0.3">
      <c r="A520" s="42">
        <v>10000000479</v>
      </c>
      <c r="B520" s="3" t="s">
        <v>901</v>
      </c>
      <c r="C520" s="4">
        <f t="shared" ca="1" si="5"/>
        <v>45453</v>
      </c>
    </row>
    <row r="521" spans="1:3" x14ac:dyDescent="0.3">
      <c r="A521" s="42">
        <v>10000000179</v>
      </c>
      <c r="B521" s="3" t="s">
        <v>907</v>
      </c>
      <c r="C521" s="4">
        <f t="shared" ca="1" si="5"/>
        <v>45453</v>
      </c>
    </row>
    <row r="522" spans="1:3" x14ac:dyDescent="0.3">
      <c r="A522" s="42">
        <v>10000000235</v>
      </c>
      <c r="B522" s="3" t="s">
        <v>886</v>
      </c>
      <c r="C522" s="4">
        <f t="shared" ca="1" si="5"/>
        <v>45453</v>
      </c>
    </row>
    <row r="523" spans="1:3" x14ac:dyDescent="0.3">
      <c r="A523" s="42">
        <v>10000000281</v>
      </c>
      <c r="B523" s="3" t="s">
        <v>964</v>
      </c>
      <c r="C523" s="4">
        <f t="shared" ca="1" si="5"/>
        <v>45453</v>
      </c>
    </row>
    <row r="524" spans="1:3" x14ac:dyDescent="0.3">
      <c r="A524" s="42">
        <v>10000000442</v>
      </c>
      <c r="B524" s="3" t="s">
        <v>849</v>
      </c>
      <c r="C524" s="4">
        <f t="shared" ca="1" si="5"/>
        <v>45453</v>
      </c>
    </row>
    <row r="525" spans="1:3" x14ac:dyDescent="0.3">
      <c r="A525" s="42">
        <v>10000000644</v>
      </c>
      <c r="B525" s="3" t="s">
        <v>868</v>
      </c>
      <c r="C525" s="4">
        <f t="shared" ca="1" si="5"/>
        <v>45453</v>
      </c>
    </row>
    <row r="526" spans="1:3" x14ac:dyDescent="0.3">
      <c r="A526" s="42">
        <v>10000000674</v>
      </c>
      <c r="B526" s="3" t="s">
        <v>981</v>
      </c>
      <c r="C526" s="4">
        <f t="shared" ca="1" si="5"/>
        <v>45453</v>
      </c>
    </row>
    <row r="527" spans="1:3" x14ac:dyDescent="0.3">
      <c r="A527" s="42">
        <v>10000000356</v>
      </c>
      <c r="B527" s="3" t="s">
        <v>912</v>
      </c>
      <c r="C527" s="4">
        <f t="shared" ca="1" si="5"/>
        <v>45453</v>
      </c>
    </row>
    <row r="528" spans="1:3" x14ac:dyDescent="0.3">
      <c r="A528" s="42">
        <v>10000000075</v>
      </c>
      <c r="B528" s="3" t="s">
        <v>931</v>
      </c>
      <c r="C528" s="4">
        <f t="shared" ca="1" si="5"/>
        <v>45453</v>
      </c>
    </row>
    <row r="529" spans="1:3" x14ac:dyDescent="0.3">
      <c r="A529" s="42">
        <v>10000000135</v>
      </c>
      <c r="B529" s="3" t="s">
        <v>1006</v>
      </c>
      <c r="C529" s="4">
        <f t="shared" ca="1" si="5"/>
        <v>45453</v>
      </c>
    </row>
    <row r="530" spans="1:3" x14ac:dyDescent="0.3">
      <c r="A530" s="42">
        <v>10000000318</v>
      </c>
      <c r="B530" s="3" t="s">
        <v>1007</v>
      </c>
      <c r="C530" s="4">
        <f t="shared" ca="1" si="5"/>
        <v>45453</v>
      </c>
    </row>
    <row r="531" spans="1:3" x14ac:dyDescent="0.3">
      <c r="A531" s="42">
        <v>10000000683</v>
      </c>
      <c r="B531" s="3" t="s">
        <v>958</v>
      </c>
      <c r="C531" s="4">
        <f t="shared" ca="1" si="5"/>
        <v>45453</v>
      </c>
    </row>
    <row r="532" spans="1:3" x14ac:dyDescent="0.3">
      <c r="A532" s="42">
        <v>10000000263</v>
      </c>
      <c r="B532" s="3" t="s">
        <v>1008</v>
      </c>
      <c r="C532" s="4">
        <f t="shared" ca="1" si="5"/>
        <v>45453</v>
      </c>
    </row>
    <row r="533" spans="1:3" x14ac:dyDescent="0.3">
      <c r="A533" s="42">
        <v>10000000248</v>
      </c>
      <c r="B533" s="3" t="s">
        <v>856</v>
      </c>
      <c r="C533" s="4">
        <f t="shared" ca="1" si="5"/>
        <v>45453</v>
      </c>
    </row>
    <row r="534" spans="1:3" x14ac:dyDescent="0.3">
      <c r="A534" s="42">
        <v>10000000434</v>
      </c>
      <c r="B534" s="3" t="s">
        <v>910</v>
      </c>
      <c r="C534" s="4">
        <f t="shared" ca="1" si="5"/>
        <v>45453</v>
      </c>
    </row>
    <row r="535" spans="1:3" x14ac:dyDescent="0.3">
      <c r="A535" s="42">
        <v>10000000643</v>
      </c>
      <c r="B535" s="3" t="s">
        <v>944</v>
      </c>
      <c r="C535" s="4">
        <f t="shared" ca="1" si="5"/>
        <v>45453</v>
      </c>
    </row>
    <row r="536" spans="1:3" x14ac:dyDescent="0.3">
      <c r="A536" s="42">
        <v>10000000278</v>
      </c>
      <c r="B536" s="3" t="s">
        <v>921</v>
      </c>
      <c r="C536" s="4">
        <f t="shared" ca="1" si="5"/>
        <v>45453</v>
      </c>
    </row>
    <row r="537" spans="1:3" x14ac:dyDescent="0.3">
      <c r="A537" s="42">
        <v>10000000560</v>
      </c>
      <c r="B537" s="3" t="s">
        <v>1009</v>
      </c>
      <c r="C537" s="4">
        <f t="shared" ca="1" si="5"/>
        <v>45453</v>
      </c>
    </row>
    <row r="538" spans="1:3" x14ac:dyDescent="0.3">
      <c r="A538" s="42">
        <v>10000000136</v>
      </c>
      <c r="B538" s="3" t="s">
        <v>965</v>
      </c>
      <c r="C538" s="4">
        <f t="shared" ca="1" si="5"/>
        <v>45453</v>
      </c>
    </row>
    <row r="539" spans="1:3" x14ac:dyDescent="0.3">
      <c r="A539" s="42">
        <v>10000000213</v>
      </c>
      <c r="B539" s="3" t="s">
        <v>915</v>
      </c>
      <c r="C539" s="4">
        <f t="shared" ca="1" si="5"/>
        <v>45453</v>
      </c>
    </row>
    <row r="540" spans="1:3" x14ac:dyDescent="0.3">
      <c r="A540" s="42">
        <v>10000000366</v>
      </c>
      <c r="B540" s="3" t="s">
        <v>957</v>
      </c>
      <c r="C540" s="4">
        <f t="shared" ca="1" si="5"/>
        <v>45453</v>
      </c>
    </row>
    <row r="541" spans="1:3" x14ac:dyDescent="0.3">
      <c r="A541" s="42">
        <v>10000000129</v>
      </c>
      <c r="B541" s="3" t="s">
        <v>909</v>
      </c>
      <c r="C541" s="4">
        <f t="shared" ca="1" si="5"/>
        <v>45453</v>
      </c>
    </row>
    <row r="542" spans="1:3" x14ac:dyDescent="0.3">
      <c r="A542" s="42">
        <v>10000000528</v>
      </c>
      <c r="B542" s="3" t="s">
        <v>999</v>
      </c>
      <c r="C542" s="4">
        <f t="shared" ca="1" si="5"/>
        <v>45453</v>
      </c>
    </row>
    <row r="543" spans="1:3" x14ac:dyDescent="0.3">
      <c r="A543" s="42">
        <v>10000000236</v>
      </c>
      <c r="B543" s="3" t="s">
        <v>873</v>
      </c>
      <c r="C543" s="4">
        <f t="shared" ca="1" si="5"/>
        <v>45453</v>
      </c>
    </row>
    <row r="544" spans="1:3" x14ac:dyDescent="0.3">
      <c r="A544" s="42">
        <v>10000000150</v>
      </c>
      <c r="B544" s="3" t="s">
        <v>900</v>
      </c>
      <c r="C544" s="4">
        <f t="shared" ca="1" si="5"/>
        <v>45453</v>
      </c>
    </row>
    <row r="545" spans="1:3" x14ac:dyDescent="0.3">
      <c r="A545" s="42">
        <v>10000000223</v>
      </c>
      <c r="B545" s="3" t="s">
        <v>838</v>
      </c>
      <c r="C545" s="4">
        <f t="shared" ca="1" si="5"/>
        <v>45453</v>
      </c>
    </row>
    <row r="546" spans="1:3" x14ac:dyDescent="0.3">
      <c r="A546" s="42">
        <v>10000000100</v>
      </c>
      <c r="B546" s="3" t="s">
        <v>836</v>
      </c>
      <c r="C546" s="4">
        <f t="shared" ca="1" si="5"/>
        <v>45453</v>
      </c>
    </row>
    <row r="547" spans="1:3" x14ac:dyDescent="0.3">
      <c r="A547" s="42">
        <v>10000000516</v>
      </c>
      <c r="B547" s="3" t="s">
        <v>847</v>
      </c>
      <c r="C547" s="4">
        <f t="shared" ca="1" si="5"/>
        <v>45453</v>
      </c>
    </row>
    <row r="548" spans="1:3" x14ac:dyDescent="0.3">
      <c r="A548" s="42">
        <v>10000000128</v>
      </c>
      <c r="B548" s="3" t="s">
        <v>999</v>
      </c>
      <c r="C548" s="4">
        <f t="shared" ca="1" si="5"/>
        <v>45453</v>
      </c>
    </row>
    <row r="549" spans="1:3" x14ac:dyDescent="0.3">
      <c r="A549" s="42">
        <v>10000000407</v>
      </c>
      <c r="B549" s="3" t="s">
        <v>902</v>
      </c>
      <c r="C549" s="4">
        <f t="shared" ca="1" si="5"/>
        <v>45453</v>
      </c>
    </row>
    <row r="550" spans="1:3" x14ac:dyDescent="0.3">
      <c r="A550" s="42">
        <v>10000000082</v>
      </c>
      <c r="B550" s="3" t="s">
        <v>861</v>
      </c>
      <c r="C550" s="4">
        <f t="shared" ca="1" si="5"/>
        <v>45453</v>
      </c>
    </row>
    <row r="551" spans="1:3" x14ac:dyDescent="0.3">
      <c r="A551" s="42">
        <v>10000000503</v>
      </c>
      <c r="B551" s="3" t="s">
        <v>853</v>
      </c>
      <c r="C551" s="4">
        <f t="shared" ca="1" si="5"/>
        <v>45453</v>
      </c>
    </row>
    <row r="552" spans="1:3" x14ac:dyDescent="0.3">
      <c r="A552" s="42">
        <v>10000000628</v>
      </c>
      <c r="B552" s="3" t="s">
        <v>960</v>
      </c>
      <c r="C552" s="4">
        <f t="shared" ca="1" si="5"/>
        <v>45453</v>
      </c>
    </row>
    <row r="553" spans="1:3" x14ac:dyDescent="0.3">
      <c r="A553" s="42">
        <v>10000000633</v>
      </c>
      <c r="B553" s="3" t="s">
        <v>876</v>
      </c>
      <c r="C553" s="4">
        <f t="shared" ca="1" si="5"/>
        <v>45453</v>
      </c>
    </row>
    <row r="554" spans="1:3" x14ac:dyDescent="0.3">
      <c r="A554" s="42">
        <v>10000000599</v>
      </c>
      <c r="B554" s="3" t="s">
        <v>936</v>
      </c>
      <c r="C554" s="4">
        <f t="shared" ca="1" si="5"/>
        <v>45453</v>
      </c>
    </row>
    <row r="555" spans="1:3" x14ac:dyDescent="0.3">
      <c r="A555" s="42">
        <v>10000000668</v>
      </c>
      <c r="B555" s="3" t="s">
        <v>916</v>
      </c>
      <c r="C555" s="4">
        <f t="shared" ca="1" si="5"/>
        <v>45453</v>
      </c>
    </row>
    <row r="556" spans="1:3" x14ac:dyDescent="0.3">
      <c r="A556" s="42">
        <v>10000000144</v>
      </c>
      <c r="B556" s="3" t="s">
        <v>854</v>
      </c>
      <c r="C556" s="4">
        <f t="shared" ca="1" si="5"/>
        <v>45453</v>
      </c>
    </row>
    <row r="557" spans="1:3" x14ac:dyDescent="0.3">
      <c r="A557" s="42">
        <v>10000000557</v>
      </c>
      <c r="B557" s="3" t="s">
        <v>1002</v>
      </c>
      <c r="C557" s="4">
        <f t="shared" ca="1" si="5"/>
        <v>45453</v>
      </c>
    </row>
    <row r="558" spans="1:3" x14ac:dyDescent="0.3">
      <c r="A558" s="42">
        <v>10000000015</v>
      </c>
      <c r="B558" s="3" t="s">
        <v>913</v>
      </c>
      <c r="C558" s="4">
        <f t="shared" ca="1" si="5"/>
        <v>45453</v>
      </c>
    </row>
    <row r="559" spans="1:3" x14ac:dyDescent="0.3">
      <c r="A559" s="42">
        <v>10000000504</v>
      </c>
      <c r="B559" s="3" t="s">
        <v>1010</v>
      </c>
      <c r="C559" s="4">
        <f t="shared" ref="C559:C662" ca="1" si="6">TODAY()-554</f>
        <v>45483</v>
      </c>
    </row>
    <row r="560" spans="1:3" x14ac:dyDescent="0.3">
      <c r="A560" s="42">
        <v>10000000115</v>
      </c>
      <c r="B560" s="3" t="s">
        <v>870</v>
      </c>
      <c r="C560" s="4">
        <f t="shared" ca="1" si="6"/>
        <v>45483</v>
      </c>
    </row>
    <row r="561" spans="1:3" x14ac:dyDescent="0.3">
      <c r="A561" s="42">
        <v>10000000278</v>
      </c>
      <c r="B561" s="3" t="s">
        <v>921</v>
      </c>
      <c r="C561" s="4">
        <f t="shared" ca="1" si="6"/>
        <v>45483</v>
      </c>
    </row>
    <row r="562" spans="1:3" x14ac:dyDescent="0.3">
      <c r="A562" s="42">
        <v>10000000456</v>
      </c>
      <c r="B562" s="3" t="s">
        <v>940</v>
      </c>
      <c r="C562" s="4">
        <f t="shared" ca="1" si="6"/>
        <v>45483</v>
      </c>
    </row>
    <row r="563" spans="1:3" x14ac:dyDescent="0.3">
      <c r="A563" s="42">
        <v>10000000427</v>
      </c>
      <c r="B563" s="3" t="s">
        <v>828</v>
      </c>
      <c r="C563" s="4">
        <f t="shared" ca="1" si="6"/>
        <v>45483</v>
      </c>
    </row>
    <row r="564" spans="1:3" x14ac:dyDescent="0.3">
      <c r="A564" s="42">
        <v>10000000455</v>
      </c>
      <c r="B564" s="3" t="s">
        <v>888</v>
      </c>
      <c r="C564" s="4">
        <f t="shared" ca="1" si="6"/>
        <v>45483</v>
      </c>
    </row>
    <row r="565" spans="1:3" x14ac:dyDescent="0.3">
      <c r="A565" s="42">
        <v>10000000477</v>
      </c>
      <c r="B565" s="3" t="s">
        <v>971</v>
      </c>
      <c r="C565" s="4">
        <f t="shared" ca="1" si="6"/>
        <v>45483</v>
      </c>
    </row>
    <row r="566" spans="1:3" x14ac:dyDescent="0.3">
      <c r="A566" s="42">
        <v>10000000015</v>
      </c>
      <c r="B566" s="3" t="s">
        <v>913</v>
      </c>
      <c r="C566" s="4">
        <f t="shared" ca="1" si="6"/>
        <v>45483</v>
      </c>
    </row>
    <row r="567" spans="1:3" x14ac:dyDescent="0.3">
      <c r="A567" s="42">
        <v>10000000099</v>
      </c>
      <c r="B567" s="3" t="s">
        <v>1011</v>
      </c>
      <c r="C567" s="4">
        <f t="shared" ca="1" si="6"/>
        <v>45483</v>
      </c>
    </row>
    <row r="568" spans="1:3" x14ac:dyDescent="0.3">
      <c r="A568" s="42">
        <v>10000000349</v>
      </c>
      <c r="B568" s="3" t="s">
        <v>1012</v>
      </c>
      <c r="C568" s="4">
        <f t="shared" ca="1" si="6"/>
        <v>45483</v>
      </c>
    </row>
    <row r="569" spans="1:3" x14ac:dyDescent="0.3">
      <c r="A569" s="42">
        <v>10000000695</v>
      </c>
      <c r="B569" s="3" t="s">
        <v>908</v>
      </c>
      <c r="C569" s="4">
        <f t="shared" ca="1" si="6"/>
        <v>45483</v>
      </c>
    </row>
    <row r="570" spans="1:3" x14ac:dyDescent="0.3">
      <c r="A570" s="42">
        <v>10000000527</v>
      </c>
      <c r="B570" s="3" t="s">
        <v>959</v>
      </c>
      <c r="C570" s="4">
        <f t="shared" ca="1" si="6"/>
        <v>45483</v>
      </c>
    </row>
    <row r="571" spans="1:3" x14ac:dyDescent="0.3">
      <c r="A571" s="42">
        <v>10000000691</v>
      </c>
      <c r="B571" s="3" t="s">
        <v>864</v>
      </c>
      <c r="C571" s="4">
        <f t="shared" ca="1" si="6"/>
        <v>45483</v>
      </c>
    </row>
    <row r="572" spans="1:3" x14ac:dyDescent="0.3">
      <c r="A572" s="42">
        <v>10000000402</v>
      </c>
      <c r="B572" s="3" t="s">
        <v>837</v>
      </c>
      <c r="C572" s="4">
        <f t="shared" ca="1" si="6"/>
        <v>45483</v>
      </c>
    </row>
    <row r="573" spans="1:3" x14ac:dyDescent="0.3">
      <c r="A573" s="42">
        <v>10000000534</v>
      </c>
      <c r="B573" s="3" t="s">
        <v>821</v>
      </c>
      <c r="C573" s="4">
        <f t="shared" ca="1" si="6"/>
        <v>45483</v>
      </c>
    </row>
    <row r="574" spans="1:3" x14ac:dyDescent="0.3">
      <c r="A574" s="42">
        <v>10000000213</v>
      </c>
      <c r="B574" s="3" t="s">
        <v>915</v>
      </c>
      <c r="C574" s="4">
        <f t="shared" ca="1" si="6"/>
        <v>45483</v>
      </c>
    </row>
    <row r="575" spans="1:3" x14ac:dyDescent="0.3">
      <c r="A575" s="42">
        <v>10000000556</v>
      </c>
      <c r="B575" s="3" t="s">
        <v>912</v>
      </c>
      <c r="C575" s="4">
        <f t="shared" ca="1" si="6"/>
        <v>45483</v>
      </c>
    </row>
    <row r="576" spans="1:3" x14ac:dyDescent="0.3">
      <c r="A576" s="42">
        <v>10000000643</v>
      </c>
      <c r="B576" s="3" t="s">
        <v>944</v>
      </c>
      <c r="C576" s="4">
        <f t="shared" ca="1" si="6"/>
        <v>45483</v>
      </c>
    </row>
    <row r="577" spans="1:3" x14ac:dyDescent="0.3">
      <c r="A577" s="42">
        <v>10000000041</v>
      </c>
      <c r="B577" s="3" t="s">
        <v>1013</v>
      </c>
      <c r="C577" s="4">
        <f t="shared" ca="1" si="6"/>
        <v>45483</v>
      </c>
    </row>
    <row r="578" spans="1:3" x14ac:dyDescent="0.3">
      <c r="A578" s="42">
        <v>10000000520</v>
      </c>
      <c r="B578" s="3" t="s">
        <v>979</v>
      </c>
      <c r="C578" s="4">
        <f t="shared" ca="1" si="6"/>
        <v>45483</v>
      </c>
    </row>
    <row r="579" spans="1:3" x14ac:dyDescent="0.3">
      <c r="A579" s="42">
        <v>10000000631</v>
      </c>
      <c r="B579" s="3" t="s">
        <v>947</v>
      </c>
      <c r="C579" s="4">
        <f t="shared" ca="1" si="6"/>
        <v>45483</v>
      </c>
    </row>
    <row r="580" spans="1:3" x14ac:dyDescent="0.3">
      <c r="A580" s="42">
        <v>10000000092</v>
      </c>
      <c r="B580" s="3" t="s">
        <v>865</v>
      </c>
      <c r="C580" s="4">
        <f t="shared" ca="1" si="6"/>
        <v>45483</v>
      </c>
    </row>
    <row r="581" spans="1:3" x14ac:dyDescent="0.3">
      <c r="A581" s="42">
        <v>10000000583</v>
      </c>
      <c r="B581" s="3" t="s">
        <v>942</v>
      </c>
      <c r="C581" s="4">
        <f t="shared" ca="1" si="6"/>
        <v>45483</v>
      </c>
    </row>
    <row r="582" spans="1:3" x14ac:dyDescent="0.3">
      <c r="A582" s="42">
        <v>10000000549</v>
      </c>
      <c r="B582" s="3" t="s">
        <v>1012</v>
      </c>
      <c r="C582" s="4">
        <f t="shared" ca="1" si="6"/>
        <v>45483</v>
      </c>
    </row>
    <row r="583" spans="1:3" x14ac:dyDescent="0.3">
      <c r="A583" s="42">
        <v>10000000139</v>
      </c>
      <c r="B583" s="3" t="s">
        <v>995</v>
      </c>
      <c r="C583" s="4">
        <f t="shared" ca="1" si="6"/>
        <v>45483</v>
      </c>
    </row>
    <row r="584" spans="1:3" x14ac:dyDescent="0.3">
      <c r="A584" s="42">
        <v>10000000171</v>
      </c>
      <c r="B584" s="3" t="s">
        <v>932</v>
      </c>
      <c r="C584" s="4">
        <f t="shared" ca="1" si="6"/>
        <v>45483</v>
      </c>
    </row>
    <row r="585" spans="1:3" x14ac:dyDescent="0.3">
      <c r="A585" s="42">
        <v>10000000088</v>
      </c>
      <c r="B585" s="3" t="s">
        <v>986</v>
      </c>
      <c r="C585" s="4">
        <f t="shared" ca="1" si="6"/>
        <v>45483</v>
      </c>
    </row>
    <row r="586" spans="1:3" x14ac:dyDescent="0.3">
      <c r="A586" s="42">
        <v>10000000476</v>
      </c>
      <c r="B586" s="3" t="s">
        <v>899</v>
      </c>
      <c r="C586" s="4">
        <f t="shared" ca="1" si="6"/>
        <v>45483</v>
      </c>
    </row>
    <row r="587" spans="1:3" x14ac:dyDescent="0.3">
      <c r="A587" s="42">
        <v>10000000479</v>
      </c>
      <c r="B587" s="3" t="s">
        <v>901</v>
      </c>
      <c r="C587" s="4">
        <f t="shared" ca="1" si="6"/>
        <v>45483</v>
      </c>
    </row>
    <row r="588" spans="1:3" x14ac:dyDescent="0.3">
      <c r="A588" s="42">
        <v>10000000539</v>
      </c>
      <c r="B588" s="3" t="s">
        <v>995</v>
      </c>
      <c r="C588" s="4">
        <f t="shared" ca="1" si="6"/>
        <v>45483</v>
      </c>
    </row>
    <row r="589" spans="1:3" x14ac:dyDescent="0.3">
      <c r="A589" s="42">
        <v>10000000573</v>
      </c>
      <c r="B589" s="3" t="s">
        <v>924</v>
      </c>
      <c r="C589" s="4">
        <f t="shared" ca="1" si="6"/>
        <v>45483</v>
      </c>
    </row>
    <row r="590" spans="1:3" x14ac:dyDescent="0.3">
      <c r="A590" s="42">
        <v>10000000543</v>
      </c>
      <c r="B590" s="3" t="s">
        <v>1014</v>
      </c>
      <c r="C590" s="4">
        <f t="shared" ca="1" si="6"/>
        <v>45483</v>
      </c>
    </row>
    <row r="591" spans="1:3" x14ac:dyDescent="0.3">
      <c r="A591" s="42">
        <v>10000000658</v>
      </c>
      <c r="B591" s="3" t="s">
        <v>935</v>
      </c>
      <c r="C591" s="4">
        <f t="shared" ca="1" si="6"/>
        <v>45483</v>
      </c>
    </row>
    <row r="592" spans="1:3" x14ac:dyDescent="0.3">
      <c r="A592" s="42">
        <v>10000000265</v>
      </c>
      <c r="B592" s="3" t="s">
        <v>961</v>
      </c>
      <c r="C592" s="4">
        <f t="shared" ca="1" si="6"/>
        <v>45483</v>
      </c>
    </row>
    <row r="593" spans="1:3" x14ac:dyDescent="0.3">
      <c r="A593" s="42">
        <v>10000000099</v>
      </c>
      <c r="B593" s="3" t="s">
        <v>1011</v>
      </c>
      <c r="C593" s="4">
        <f t="shared" ca="1" si="6"/>
        <v>45483</v>
      </c>
    </row>
    <row r="594" spans="1:3" x14ac:dyDescent="0.3">
      <c r="A594" s="42">
        <v>10000000128</v>
      </c>
      <c r="B594" s="3" t="s">
        <v>999</v>
      </c>
      <c r="C594" s="4">
        <f t="shared" ca="1" si="6"/>
        <v>45483</v>
      </c>
    </row>
    <row r="595" spans="1:3" x14ac:dyDescent="0.3">
      <c r="A595" s="42">
        <v>10000000308</v>
      </c>
      <c r="B595" s="3" t="s">
        <v>993</v>
      </c>
      <c r="C595" s="4">
        <f t="shared" ca="1" si="6"/>
        <v>45483</v>
      </c>
    </row>
    <row r="596" spans="1:3" x14ac:dyDescent="0.3">
      <c r="A596" s="42">
        <v>10000000684</v>
      </c>
      <c r="B596" s="3" t="s">
        <v>970</v>
      </c>
      <c r="C596" s="4">
        <f t="shared" ca="1" si="6"/>
        <v>45483</v>
      </c>
    </row>
    <row r="597" spans="1:3" x14ac:dyDescent="0.3">
      <c r="A597" s="42">
        <v>10000000194</v>
      </c>
      <c r="B597" s="3" t="s">
        <v>846</v>
      </c>
      <c r="C597" s="4">
        <f t="shared" ca="1" si="6"/>
        <v>45483</v>
      </c>
    </row>
    <row r="598" spans="1:3" x14ac:dyDescent="0.3">
      <c r="A598" s="42">
        <v>10000000586</v>
      </c>
      <c r="B598" s="3" t="s">
        <v>980</v>
      </c>
      <c r="C598" s="4">
        <f t="shared" ca="1" si="6"/>
        <v>45483</v>
      </c>
    </row>
    <row r="599" spans="1:3" x14ac:dyDescent="0.3">
      <c r="A599" s="42">
        <v>10000000037</v>
      </c>
      <c r="B599" s="3" t="s">
        <v>885</v>
      </c>
      <c r="C599" s="4">
        <f t="shared" ca="1" si="6"/>
        <v>45483</v>
      </c>
    </row>
    <row r="600" spans="1:3" x14ac:dyDescent="0.3">
      <c r="A600" s="42">
        <v>10000000433</v>
      </c>
      <c r="B600" s="3" t="s">
        <v>876</v>
      </c>
      <c r="C600" s="4">
        <f t="shared" ca="1" si="6"/>
        <v>45483</v>
      </c>
    </row>
    <row r="601" spans="1:3" x14ac:dyDescent="0.3">
      <c r="A601" s="42">
        <v>10000000660</v>
      </c>
      <c r="B601" s="3" t="s">
        <v>922</v>
      </c>
      <c r="C601" s="4">
        <f t="shared" ca="1" si="6"/>
        <v>45483</v>
      </c>
    </row>
    <row r="602" spans="1:3" x14ac:dyDescent="0.3">
      <c r="A602" s="42">
        <v>10000000001</v>
      </c>
      <c r="B602" s="3" t="s">
        <v>1015</v>
      </c>
      <c r="C602" s="4">
        <f t="shared" ca="1" si="6"/>
        <v>45483</v>
      </c>
    </row>
    <row r="603" spans="1:3" x14ac:dyDescent="0.3">
      <c r="A603" s="42">
        <v>10000000001</v>
      </c>
      <c r="B603" s="3" t="s">
        <v>1015</v>
      </c>
      <c r="C603" s="4">
        <f t="shared" ca="1" si="6"/>
        <v>45483</v>
      </c>
    </row>
    <row r="604" spans="1:3" x14ac:dyDescent="0.3">
      <c r="A604" s="42">
        <v>10000000380</v>
      </c>
      <c r="B604" s="3" t="s">
        <v>991</v>
      </c>
      <c r="C604" s="4">
        <f t="shared" ca="1" si="6"/>
        <v>45483</v>
      </c>
    </row>
    <row r="605" spans="1:3" x14ac:dyDescent="0.3">
      <c r="A605" s="42">
        <v>10000000382</v>
      </c>
      <c r="B605" s="3" t="s">
        <v>955</v>
      </c>
      <c r="C605" s="4">
        <f t="shared" ca="1" si="6"/>
        <v>45483</v>
      </c>
    </row>
    <row r="606" spans="1:3" x14ac:dyDescent="0.3">
      <c r="A606" s="42">
        <v>10000000077</v>
      </c>
      <c r="B606" s="3" t="s">
        <v>971</v>
      </c>
      <c r="C606" s="4">
        <f t="shared" ca="1" si="6"/>
        <v>45483</v>
      </c>
    </row>
    <row r="607" spans="1:3" x14ac:dyDescent="0.3">
      <c r="A607" s="42">
        <v>10000000299</v>
      </c>
      <c r="B607" s="3" t="s">
        <v>1011</v>
      </c>
      <c r="C607" s="4">
        <f t="shared" ca="1" si="6"/>
        <v>45483</v>
      </c>
    </row>
    <row r="608" spans="1:3" x14ac:dyDescent="0.3">
      <c r="A608" s="42">
        <v>10000000663</v>
      </c>
      <c r="B608" s="3" t="s">
        <v>1008</v>
      </c>
      <c r="C608" s="4">
        <f t="shared" ca="1" si="6"/>
        <v>45483</v>
      </c>
    </row>
    <row r="609" spans="1:3" x14ac:dyDescent="0.3">
      <c r="A609" s="42">
        <v>10000000222</v>
      </c>
      <c r="B609" s="3" t="s">
        <v>871</v>
      </c>
      <c r="C609" s="4">
        <f t="shared" ca="1" si="6"/>
        <v>45483</v>
      </c>
    </row>
    <row r="610" spans="1:3" x14ac:dyDescent="0.3">
      <c r="A610" s="42">
        <v>10000000300</v>
      </c>
      <c r="B610" s="3" t="s">
        <v>836</v>
      </c>
      <c r="C610" s="4">
        <f t="shared" ca="1" si="6"/>
        <v>45483</v>
      </c>
    </row>
    <row r="611" spans="1:3" x14ac:dyDescent="0.3">
      <c r="A611" s="42">
        <v>10000000351</v>
      </c>
      <c r="B611" s="3" t="s">
        <v>862</v>
      </c>
      <c r="C611" s="4">
        <f t="shared" ca="1" si="6"/>
        <v>45483</v>
      </c>
    </row>
    <row r="612" spans="1:3" x14ac:dyDescent="0.3">
      <c r="A612" s="42">
        <v>10000000378</v>
      </c>
      <c r="B612" s="3" t="s">
        <v>890</v>
      </c>
      <c r="C612" s="4">
        <f t="shared" ca="1" si="6"/>
        <v>45483</v>
      </c>
    </row>
    <row r="613" spans="1:3" x14ac:dyDescent="0.3">
      <c r="A613" s="42">
        <v>10000000113</v>
      </c>
      <c r="B613" s="3" t="s">
        <v>883</v>
      </c>
      <c r="C613" s="4">
        <f t="shared" ca="1" si="6"/>
        <v>45483</v>
      </c>
    </row>
    <row r="614" spans="1:3" x14ac:dyDescent="0.3">
      <c r="A614" s="42">
        <v>10000000016</v>
      </c>
      <c r="B614" s="3" t="s">
        <v>874</v>
      </c>
      <c r="C614" s="4">
        <f t="shared" ca="1" si="6"/>
        <v>45483</v>
      </c>
    </row>
    <row r="615" spans="1:3" x14ac:dyDescent="0.3">
      <c r="A615" s="42">
        <v>10000000055</v>
      </c>
      <c r="B615" s="3" t="s">
        <v>888</v>
      </c>
      <c r="C615" s="4">
        <f t="shared" ca="1" si="6"/>
        <v>45483</v>
      </c>
    </row>
    <row r="616" spans="1:3" x14ac:dyDescent="0.3">
      <c r="A616" s="42">
        <v>10000000274</v>
      </c>
      <c r="B616" s="3" t="s">
        <v>981</v>
      </c>
      <c r="C616" s="4">
        <f t="shared" ca="1" si="6"/>
        <v>45483</v>
      </c>
    </row>
    <row r="617" spans="1:3" x14ac:dyDescent="0.3">
      <c r="A617" s="42">
        <v>10000000133</v>
      </c>
      <c r="B617" s="3" t="s">
        <v>963</v>
      </c>
      <c r="C617" s="4">
        <f t="shared" ca="1" si="6"/>
        <v>45483</v>
      </c>
    </row>
    <row r="618" spans="1:3" x14ac:dyDescent="0.3">
      <c r="A618" s="42">
        <v>10000000139</v>
      </c>
      <c r="B618" s="3" t="s">
        <v>995</v>
      </c>
      <c r="C618" s="4">
        <f t="shared" ca="1" si="6"/>
        <v>45483</v>
      </c>
    </row>
    <row r="619" spans="1:3" x14ac:dyDescent="0.3">
      <c r="A619" s="42">
        <v>10000000203</v>
      </c>
      <c r="B619" s="3" t="s">
        <v>952</v>
      </c>
      <c r="C619" s="4">
        <f t="shared" ca="1" si="6"/>
        <v>45483</v>
      </c>
    </row>
    <row r="620" spans="1:3" x14ac:dyDescent="0.3">
      <c r="A620" s="42">
        <v>10000000447</v>
      </c>
      <c r="B620" s="3" t="s">
        <v>967</v>
      </c>
      <c r="C620" s="4">
        <f t="shared" ca="1" si="6"/>
        <v>45483</v>
      </c>
    </row>
    <row r="621" spans="1:3" x14ac:dyDescent="0.3">
      <c r="A621" s="42">
        <v>10000000220</v>
      </c>
      <c r="B621" s="3" t="s">
        <v>851</v>
      </c>
      <c r="C621" s="4">
        <f t="shared" ca="1" si="6"/>
        <v>45483</v>
      </c>
    </row>
    <row r="622" spans="1:3" x14ac:dyDescent="0.3">
      <c r="A622" s="42">
        <v>10000000180</v>
      </c>
      <c r="B622" s="3" t="s">
        <v>991</v>
      </c>
      <c r="C622" s="4">
        <f t="shared" ca="1" si="6"/>
        <v>45483</v>
      </c>
    </row>
    <row r="623" spans="1:3" x14ac:dyDescent="0.3">
      <c r="A623" s="42">
        <v>10000000279</v>
      </c>
      <c r="B623" s="3" t="s">
        <v>901</v>
      </c>
      <c r="C623" s="4">
        <f t="shared" ca="1" si="6"/>
        <v>45483</v>
      </c>
    </row>
    <row r="624" spans="1:3" x14ac:dyDescent="0.3">
      <c r="A624" s="42">
        <v>10000000297</v>
      </c>
      <c r="B624" s="3" t="s">
        <v>892</v>
      </c>
      <c r="C624" s="4">
        <f t="shared" ca="1" si="6"/>
        <v>45483</v>
      </c>
    </row>
    <row r="625" spans="1:3" x14ac:dyDescent="0.3">
      <c r="A625" s="42">
        <v>10000000432</v>
      </c>
      <c r="B625" s="3" t="s">
        <v>896</v>
      </c>
      <c r="C625" s="4">
        <f t="shared" ca="1" si="6"/>
        <v>45483</v>
      </c>
    </row>
    <row r="626" spans="1:3" x14ac:dyDescent="0.3">
      <c r="A626" s="42">
        <v>10000000615</v>
      </c>
      <c r="B626" s="3" t="s">
        <v>913</v>
      </c>
      <c r="C626" s="4">
        <f t="shared" ca="1" si="6"/>
        <v>45483</v>
      </c>
    </row>
    <row r="627" spans="1:3" x14ac:dyDescent="0.3">
      <c r="A627" s="42">
        <v>10000000334</v>
      </c>
      <c r="B627" s="3" t="s">
        <v>821</v>
      </c>
      <c r="C627" s="4">
        <f t="shared" ca="1" si="6"/>
        <v>45483</v>
      </c>
    </row>
    <row r="628" spans="1:3" x14ac:dyDescent="0.3">
      <c r="A628" s="42">
        <v>10000000277</v>
      </c>
      <c r="B628" s="3" t="s">
        <v>971</v>
      </c>
      <c r="C628" s="4">
        <f t="shared" ca="1" si="6"/>
        <v>45483</v>
      </c>
    </row>
    <row r="629" spans="1:3" x14ac:dyDescent="0.3">
      <c r="A629" s="42">
        <v>10000000584</v>
      </c>
      <c r="B629" s="3" t="s">
        <v>830</v>
      </c>
      <c r="C629" s="4">
        <f t="shared" ca="1" si="6"/>
        <v>45483</v>
      </c>
    </row>
    <row r="630" spans="1:3" x14ac:dyDescent="0.3">
      <c r="A630" s="42">
        <v>10000000660</v>
      </c>
      <c r="B630" s="3" t="s">
        <v>922</v>
      </c>
      <c r="C630" s="4">
        <f t="shared" ca="1" si="6"/>
        <v>45483</v>
      </c>
    </row>
    <row r="631" spans="1:3" x14ac:dyDescent="0.3">
      <c r="A631" s="42">
        <v>10000000057</v>
      </c>
      <c r="B631" s="3" t="s">
        <v>966</v>
      </c>
      <c r="C631" s="4">
        <f t="shared" ca="1" si="6"/>
        <v>45483</v>
      </c>
    </row>
    <row r="632" spans="1:3" x14ac:dyDescent="0.3">
      <c r="A632" s="42">
        <v>10000000665</v>
      </c>
      <c r="B632" s="3" t="s">
        <v>961</v>
      </c>
      <c r="C632" s="4">
        <f t="shared" ca="1" si="6"/>
        <v>45483</v>
      </c>
    </row>
    <row r="633" spans="1:3" x14ac:dyDescent="0.3">
      <c r="A633" s="42">
        <v>10000000302</v>
      </c>
      <c r="B633" s="3" t="s">
        <v>911</v>
      </c>
      <c r="C633" s="4">
        <f t="shared" ca="1" si="6"/>
        <v>45483</v>
      </c>
    </row>
    <row r="634" spans="1:3" x14ac:dyDescent="0.3">
      <c r="A634" s="42">
        <v>10000000234</v>
      </c>
      <c r="B634" s="3" t="s">
        <v>910</v>
      </c>
      <c r="C634" s="4">
        <f t="shared" ca="1" si="6"/>
        <v>45483</v>
      </c>
    </row>
    <row r="635" spans="1:3" x14ac:dyDescent="0.3">
      <c r="A635" s="42">
        <v>10000000414</v>
      </c>
      <c r="B635" s="3" t="s">
        <v>857</v>
      </c>
      <c r="C635" s="4">
        <f t="shared" ca="1" si="6"/>
        <v>45483</v>
      </c>
    </row>
    <row r="636" spans="1:3" x14ac:dyDescent="0.3">
      <c r="A636" s="42">
        <v>10000000298</v>
      </c>
      <c r="B636" s="3" t="s">
        <v>1016</v>
      </c>
      <c r="C636" s="4">
        <f t="shared" ca="1" si="6"/>
        <v>45483</v>
      </c>
    </row>
    <row r="637" spans="1:3" x14ac:dyDescent="0.3">
      <c r="A637" s="42">
        <v>10000000357</v>
      </c>
      <c r="B637" s="3" t="s">
        <v>1002</v>
      </c>
      <c r="C637" s="4">
        <f t="shared" ca="1" si="6"/>
        <v>45483</v>
      </c>
    </row>
    <row r="638" spans="1:3" x14ac:dyDescent="0.3">
      <c r="A638" s="42">
        <v>10000000134</v>
      </c>
      <c r="B638" s="3" t="s">
        <v>821</v>
      </c>
      <c r="C638" s="4">
        <f t="shared" ca="1" si="6"/>
        <v>45483</v>
      </c>
    </row>
    <row r="639" spans="1:3" x14ac:dyDescent="0.3">
      <c r="A639" s="42">
        <v>10000000276</v>
      </c>
      <c r="B639" s="3" t="s">
        <v>899</v>
      </c>
      <c r="C639" s="4">
        <f t="shared" ca="1" si="6"/>
        <v>45483</v>
      </c>
    </row>
    <row r="640" spans="1:3" x14ac:dyDescent="0.3">
      <c r="A640" s="42">
        <v>10000000313</v>
      </c>
      <c r="B640" s="3" t="s">
        <v>883</v>
      </c>
      <c r="C640" s="4">
        <f t="shared" ca="1" si="6"/>
        <v>45483</v>
      </c>
    </row>
    <row r="641" spans="1:3" x14ac:dyDescent="0.3">
      <c r="A641" s="42">
        <v>10000000073</v>
      </c>
      <c r="B641" s="3" t="s">
        <v>941</v>
      </c>
      <c r="C641" s="4">
        <f t="shared" ca="1" si="6"/>
        <v>45483</v>
      </c>
    </row>
    <row r="642" spans="1:3" x14ac:dyDescent="0.3">
      <c r="A642" s="42">
        <v>10000000217</v>
      </c>
      <c r="B642" s="3" t="s">
        <v>832</v>
      </c>
      <c r="C642" s="4">
        <f t="shared" ca="1" si="6"/>
        <v>45483</v>
      </c>
    </row>
    <row r="643" spans="1:3" x14ac:dyDescent="0.3">
      <c r="A643" s="42">
        <v>10000000630</v>
      </c>
      <c r="B643" s="3" t="s">
        <v>990</v>
      </c>
      <c r="C643" s="4">
        <f t="shared" ca="1" si="6"/>
        <v>45483</v>
      </c>
    </row>
    <row r="644" spans="1:3" x14ac:dyDescent="0.3">
      <c r="A644" s="42">
        <v>10000000048</v>
      </c>
      <c r="B644" s="3" t="s">
        <v>856</v>
      </c>
      <c r="C644" s="4">
        <f t="shared" ca="1" si="6"/>
        <v>45483</v>
      </c>
    </row>
    <row r="645" spans="1:3" x14ac:dyDescent="0.3">
      <c r="A645" s="42">
        <v>10000000310</v>
      </c>
      <c r="B645" s="3" t="s">
        <v>887</v>
      </c>
      <c r="C645" s="4">
        <f t="shared" ca="1" si="6"/>
        <v>45483</v>
      </c>
    </row>
    <row r="646" spans="1:3" x14ac:dyDescent="0.3">
      <c r="A646" s="42">
        <v>10000000635</v>
      </c>
      <c r="B646" s="3" t="s">
        <v>886</v>
      </c>
      <c r="C646" s="4">
        <f t="shared" ca="1" si="6"/>
        <v>45483</v>
      </c>
    </row>
    <row r="647" spans="1:3" x14ac:dyDescent="0.3">
      <c r="A647" s="42">
        <v>10000000231</v>
      </c>
      <c r="B647" s="3" t="s">
        <v>947</v>
      </c>
      <c r="C647" s="4">
        <f t="shared" ca="1" si="6"/>
        <v>45483</v>
      </c>
    </row>
    <row r="648" spans="1:3" x14ac:dyDescent="0.3">
      <c r="A648" s="42">
        <v>10000000421</v>
      </c>
      <c r="B648" s="3" t="s">
        <v>917</v>
      </c>
      <c r="C648" s="4">
        <f t="shared" ca="1" si="6"/>
        <v>45483</v>
      </c>
    </row>
    <row r="649" spans="1:3" x14ac:dyDescent="0.3">
      <c r="A649" s="42">
        <v>10000000265</v>
      </c>
      <c r="B649" s="3" t="s">
        <v>961</v>
      </c>
      <c r="C649" s="4">
        <f t="shared" ca="1" si="6"/>
        <v>45483</v>
      </c>
    </row>
    <row r="650" spans="1:3" x14ac:dyDescent="0.3">
      <c r="A650" s="42">
        <v>10000000113</v>
      </c>
      <c r="B650" s="3" t="s">
        <v>883</v>
      </c>
      <c r="C650" s="4">
        <f t="shared" ca="1" si="6"/>
        <v>45483</v>
      </c>
    </row>
    <row r="651" spans="1:3" x14ac:dyDescent="0.3">
      <c r="A651" s="42">
        <v>10000000156</v>
      </c>
      <c r="B651" s="3" t="s">
        <v>912</v>
      </c>
      <c r="C651" s="4">
        <f t="shared" ca="1" si="6"/>
        <v>45483</v>
      </c>
    </row>
    <row r="652" spans="1:3" x14ac:dyDescent="0.3">
      <c r="A652" s="42">
        <v>10000000311</v>
      </c>
      <c r="B652" s="3" t="s">
        <v>1017</v>
      </c>
      <c r="C652" s="4">
        <f t="shared" ca="1" si="6"/>
        <v>45483</v>
      </c>
    </row>
    <row r="653" spans="1:3" x14ac:dyDescent="0.3">
      <c r="A653" s="42">
        <v>10000000377</v>
      </c>
      <c r="B653" s="3" t="s">
        <v>1004</v>
      </c>
      <c r="C653" s="4">
        <f t="shared" ca="1" si="6"/>
        <v>45483</v>
      </c>
    </row>
    <row r="654" spans="1:3" x14ac:dyDescent="0.3">
      <c r="A654" s="42">
        <v>10000000678</v>
      </c>
      <c r="B654" s="3" t="s">
        <v>921</v>
      </c>
      <c r="C654" s="4">
        <f t="shared" ca="1" si="6"/>
        <v>45483</v>
      </c>
    </row>
    <row r="655" spans="1:3" x14ac:dyDescent="0.3">
      <c r="A655" s="42">
        <v>10000000521</v>
      </c>
      <c r="B655" s="3" t="s">
        <v>884</v>
      </c>
      <c r="C655" s="4">
        <f t="shared" ca="1" si="6"/>
        <v>45483</v>
      </c>
    </row>
    <row r="656" spans="1:3" x14ac:dyDescent="0.3">
      <c r="A656" s="42">
        <v>10000000669</v>
      </c>
      <c r="B656" s="3" t="s">
        <v>866</v>
      </c>
      <c r="C656" s="4">
        <f t="shared" ca="1" si="6"/>
        <v>45483</v>
      </c>
    </row>
    <row r="657" spans="1:3" x14ac:dyDescent="0.3">
      <c r="A657" s="42">
        <v>10000000437</v>
      </c>
      <c r="B657" s="3" t="s">
        <v>885</v>
      </c>
      <c r="C657" s="4">
        <f t="shared" ca="1" si="6"/>
        <v>45483</v>
      </c>
    </row>
    <row r="658" spans="1:3" x14ac:dyDescent="0.3">
      <c r="A658" s="42">
        <v>10000000132</v>
      </c>
      <c r="B658" s="3" t="s">
        <v>974</v>
      </c>
      <c r="C658" s="4">
        <f t="shared" ca="1" si="6"/>
        <v>45483</v>
      </c>
    </row>
    <row r="659" spans="1:3" x14ac:dyDescent="0.3">
      <c r="A659" s="42">
        <v>10000000482</v>
      </c>
      <c r="B659" s="3" t="s">
        <v>861</v>
      </c>
      <c r="C659" s="4">
        <f t="shared" ca="1" si="6"/>
        <v>45483</v>
      </c>
    </row>
    <row r="660" spans="1:3" x14ac:dyDescent="0.3">
      <c r="A660" s="42">
        <v>10000000417</v>
      </c>
      <c r="B660" s="3" t="s">
        <v>832</v>
      </c>
      <c r="C660" s="4">
        <f t="shared" ca="1" si="6"/>
        <v>45483</v>
      </c>
    </row>
    <row r="661" spans="1:3" x14ac:dyDescent="0.3">
      <c r="A661" s="42">
        <v>10000000542</v>
      </c>
      <c r="B661" s="3" t="s">
        <v>929</v>
      </c>
      <c r="C661" s="4">
        <f t="shared" ca="1" si="6"/>
        <v>45483</v>
      </c>
    </row>
    <row r="662" spans="1:3" x14ac:dyDescent="0.3">
      <c r="A662" s="42">
        <v>10000000387</v>
      </c>
      <c r="B662" s="3" t="s">
        <v>905</v>
      </c>
      <c r="C662" s="4">
        <f t="shared" ca="1" si="6"/>
        <v>45483</v>
      </c>
    </row>
    <row r="663" spans="1:3" x14ac:dyDescent="0.3">
      <c r="A663" s="42">
        <v>10000000306</v>
      </c>
      <c r="B663" s="3" t="s">
        <v>992</v>
      </c>
      <c r="C663" s="4">
        <f t="shared" ref="C663:C769" ca="1" si="7">TODAY()-523</f>
        <v>45514</v>
      </c>
    </row>
    <row r="664" spans="1:3" x14ac:dyDescent="0.3">
      <c r="A664" s="42">
        <v>10000000629</v>
      </c>
      <c r="B664" s="3" t="s">
        <v>898</v>
      </c>
      <c r="C664" s="4">
        <f t="shared" ca="1" si="7"/>
        <v>45514</v>
      </c>
    </row>
    <row r="665" spans="1:3" x14ac:dyDescent="0.3">
      <c r="A665" s="42">
        <v>10000000023</v>
      </c>
      <c r="B665" s="3" t="s">
        <v>838</v>
      </c>
      <c r="C665" s="4">
        <f t="shared" ca="1" si="7"/>
        <v>45514</v>
      </c>
    </row>
    <row r="666" spans="1:3" x14ac:dyDescent="0.3">
      <c r="A666" s="42">
        <v>10000000078</v>
      </c>
      <c r="B666" s="3" t="s">
        <v>921</v>
      </c>
      <c r="C666" s="4">
        <f t="shared" ca="1" si="7"/>
        <v>45514</v>
      </c>
    </row>
    <row r="667" spans="1:3" x14ac:dyDescent="0.3">
      <c r="A667" s="42">
        <v>10000000355</v>
      </c>
      <c r="B667" s="3" t="s">
        <v>983</v>
      </c>
      <c r="C667" s="4">
        <f t="shared" ca="1" si="7"/>
        <v>45514</v>
      </c>
    </row>
    <row r="668" spans="1:3" x14ac:dyDescent="0.3">
      <c r="A668" s="42">
        <v>10000000408</v>
      </c>
      <c r="B668" s="3" t="s">
        <v>933</v>
      </c>
      <c r="C668" s="4">
        <f t="shared" ca="1" si="7"/>
        <v>45514</v>
      </c>
    </row>
    <row r="669" spans="1:3" x14ac:dyDescent="0.3">
      <c r="A669" s="42">
        <v>10000000613</v>
      </c>
      <c r="B669" s="3" t="s">
        <v>915</v>
      </c>
      <c r="C669" s="4">
        <f t="shared" ca="1" si="7"/>
        <v>45514</v>
      </c>
    </row>
    <row r="670" spans="1:3" x14ac:dyDescent="0.3">
      <c r="A670" s="42">
        <v>10000000181</v>
      </c>
      <c r="B670" s="3" t="s">
        <v>831</v>
      </c>
      <c r="C670" s="4">
        <f t="shared" ca="1" si="7"/>
        <v>45514</v>
      </c>
    </row>
    <row r="671" spans="1:3" x14ac:dyDescent="0.3">
      <c r="A671" s="42">
        <v>10000000304</v>
      </c>
      <c r="B671" s="3" t="s">
        <v>1010</v>
      </c>
      <c r="C671" s="4">
        <f t="shared" ca="1" si="7"/>
        <v>45514</v>
      </c>
    </row>
    <row r="672" spans="1:3" x14ac:dyDescent="0.3">
      <c r="A672" s="42">
        <v>10000000479</v>
      </c>
      <c r="B672" s="3" t="s">
        <v>901</v>
      </c>
      <c r="C672" s="4">
        <f t="shared" ca="1" si="7"/>
        <v>45514</v>
      </c>
    </row>
    <row r="673" spans="1:3" x14ac:dyDescent="0.3">
      <c r="A673" s="42">
        <v>10000000014</v>
      </c>
      <c r="B673" s="3" t="s">
        <v>857</v>
      </c>
      <c r="C673" s="4">
        <f t="shared" ca="1" si="7"/>
        <v>45514</v>
      </c>
    </row>
    <row r="674" spans="1:3" x14ac:dyDescent="0.3">
      <c r="A674" s="42">
        <v>10000000152</v>
      </c>
      <c r="B674" s="3" t="s">
        <v>927</v>
      </c>
      <c r="C674" s="4">
        <f t="shared" ca="1" si="7"/>
        <v>45514</v>
      </c>
    </row>
    <row r="675" spans="1:3" x14ac:dyDescent="0.3">
      <c r="A675" s="42">
        <v>10000000246</v>
      </c>
      <c r="B675" s="3" t="s">
        <v>930</v>
      </c>
      <c r="C675" s="4">
        <f t="shared" ca="1" si="7"/>
        <v>45514</v>
      </c>
    </row>
    <row r="676" spans="1:3" x14ac:dyDescent="0.3">
      <c r="A676" s="42">
        <v>10000000337</v>
      </c>
      <c r="B676" s="3" t="s">
        <v>923</v>
      </c>
      <c r="C676" s="4">
        <f t="shared" ca="1" si="7"/>
        <v>45514</v>
      </c>
    </row>
    <row r="677" spans="1:3" x14ac:dyDescent="0.3">
      <c r="A677" s="42">
        <v>10000000395</v>
      </c>
      <c r="B677" s="3" t="s">
        <v>894</v>
      </c>
      <c r="C677" s="4">
        <f t="shared" ca="1" si="7"/>
        <v>45514</v>
      </c>
    </row>
    <row r="678" spans="1:3" x14ac:dyDescent="0.3">
      <c r="A678" s="42">
        <v>10000000657</v>
      </c>
      <c r="B678" s="3" t="s">
        <v>966</v>
      </c>
      <c r="C678" s="4">
        <f t="shared" ca="1" si="7"/>
        <v>45514</v>
      </c>
    </row>
    <row r="679" spans="1:3" x14ac:dyDescent="0.3">
      <c r="A679" s="42">
        <v>10000000045</v>
      </c>
      <c r="B679" s="3" t="s">
        <v>843</v>
      </c>
      <c r="C679" s="4">
        <f t="shared" ca="1" si="7"/>
        <v>45514</v>
      </c>
    </row>
    <row r="680" spans="1:3" x14ac:dyDescent="0.3">
      <c r="A680" s="42">
        <v>10000000669</v>
      </c>
      <c r="B680" s="3" t="s">
        <v>866</v>
      </c>
      <c r="C680" s="4">
        <f t="shared" ca="1" si="7"/>
        <v>45514</v>
      </c>
    </row>
    <row r="681" spans="1:3" x14ac:dyDescent="0.3">
      <c r="A681" s="42">
        <v>10000000343</v>
      </c>
      <c r="B681" s="3" t="s">
        <v>1014</v>
      </c>
      <c r="C681" s="4">
        <f t="shared" ca="1" si="7"/>
        <v>45514</v>
      </c>
    </row>
    <row r="682" spans="1:3" x14ac:dyDescent="0.3">
      <c r="A682" s="42">
        <v>10000000254</v>
      </c>
      <c r="B682" s="3" t="s">
        <v>893</v>
      </c>
      <c r="C682" s="4">
        <f t="shared" ca="1" si="7"/>
        <v>45514</v>
      </c>
    </row>
    <row r="683" spans="1:3" x14ac:dyDescent="0.3">
      <c r="A683" s="42">
        <v>10000000546</v>
      </c>
      <c r="B683" s="3" t="s">
        <v>826</v>
      </c>
      <c r="C683" s="4">
        <f t="shared" ca="1" si="7"/>
        <v>45514</v>
      </c>
    </row>
    <row r="684" spans="1:3" x14ac:dyDescent="0.3">
      <c r="A684" s="42">
        <v>10000000598</v>
      </c>
      <c r="B684" s="3" t="s">
        <v>939</v>
      </c>
      <c r="C684" s="4">
        <f t="shared" ca="1" si="7"/>
        <v>45514</v>
      </c>
    </row>
    <row r="685" spans="1:3" x14ac:dyDescent="0.3">
      <c r="A685" s="42">
        <v>10000000675</v>
      </c>
      <c r="B685" s="3" t="s">
        <v>931</v>
      </c>
      <c r="C685" s="4">
        <f t="shared" ca="1" si="7"/>
        <v>45514</v>
      </c>
    </row>
    <row r="686" spans="1:3" x14ac:dyDescent="0.3">
      <c r="A686" s="42">
        <v>10000000098</v>
      </c>
      <c r="B686" s="3" t="s">
        <v>1016</v>
      </c>
      <c r="C686" s="4">
        <f t="shared" ca="1" si="7"/>
        <v>45514</v>
      </c>
    </row>
    <row r="687" spans="1:3" x14ac:dyDescent="0.3">
      <c r="A687" s="42">
        <v>10000000489</v>
      </c>
      <c r="B687" s="3" t="s">
        <v>827</v>
      </c>
      <c r="C687" s="4">
        <f t="shared" ca="1" si="7"/>
        <v>45514</v>
      </c>
    </row>
    <row r="688" spans="1:3" x14ac:dyDescent="0.3">
      <c r="A688" s="42">
        <v>10000000309</v>
      </c>
      <c r="B688" s="3" t="s">
        <v>839</v>
      </c>
      <c r="C688" s="4">
        <f t="shared" ca="1" si="7"/>
        <v>45514</v>
      </c>
    </row>
    <row r="689" spans="1:3" x14ac:dyDescent="0.3">
      <c r="A689" s="42">
        <v>10000000652</v>
      </c>
      <c r="B689" s="3" t="s">
        <v>976</v>
      </c>
      <c r="C689" s="4">
        <f t="shared" ca="1" si="7"/>
        <v>45514</v>
      </c>
    </row>
    <row r="690" spans="1:3" x14ac:dyDescent="0.3">
      <c r="A690" s="42">
        <v>10000000215</v>
      </c>
      <c r="B690" s="3" t="s">
        <v>913</v>
      </c>
      <c r="C690" s="4">
        <f t="shared" ca="1" si="7"/>
        <v>45514</v>
      </c>
    </row>
    <row r="691" spans="1:3" x14ac:dyDescent="0.3">
      <c r="A691" s="42">
        <v>10000000348</v>
      </c>
      <c r="B691" s="3" t="s">
        <v>829</v>
      </c>
      <c r="C691" s="4">
        <f t="shared" ca="1" si="7"/>
        <v>45514</v>
      </c>
    </row>
    <row r="692" spans="1:3" x14ac:dyDescent="0.3">
      <c r="A692" s="42">
        <v>10000000695</v>
      </c>
      <c r="B692" s="3" t="s">
        <v>908</v>
      </c>
      <c r="C692" s="4">
        <f t="shared" ca="1" si="7"/>
        <v>45514</v>
      </c>
    </row>
    <row r="693" spans="1:3" x14ac:dyDescent="0.3">
      <c r="A693" s="42">
        <v>10000000413</v>
      </c>
      <c r="B693" s="3" t="s">
        <v>915</v>
      </c>
      <c r="C693" s="4">
        <f t="shared" ca="1" si="7"/>
        <v>45514</v>
      </c>
    </row>
    <row r="694" spans="1:3" x14ac:dyDescent="0.3">
      <c r="A694" s="42">
        <v>10000000003</v>
      </c>
      <c r="B694" s="3" t="s">
        <v>952</v>
      </c>
      <c r="C694" s="4">
        <f t="shared" ca="1" si="7"/>
        <v>45514</v>
      </c>
    </row>
    <row r="695" spans="1:3" x14ac:dyDescent="0.3">
      <c r="A695" s="42">
        <v>10000000054</v>
      </c>
      <c r="B695" s="3" t="s">
        <v>893</v>
      </c>
      <c r="C695" s="4">
        <f t="shared" ca="1" si="7"/>
        <v>45514</v>
      </c>
    </row>
    <row r="696" spans="1:3" x14ac:dyDescent="0.3">
      <c r="A696" s="42">
        <v>10000000614</v>
      </c>
      <c r="B696" s="3" t="s">
        <v>857</v>
      </c>
      <c r="C696" s="4">
        <f t="shared" ca="1" si="7"/>
        <v>45514</v>
      </c>
    </row>
    <row r="697" spans="1:3" x14ac:dyDescent="0.3">
      <c r="A697" s="42">
        <v>10000000329</v>
      </c>
      <c r="B697" s="3" t="s">
        <v>909</v>
      </c>
      <c r="C697" s="4">
        <f t="shared" ca="1" si="7"/>
        <v>45514</v>
      </c>
    </row>
    <row r="698" spans="1:3" x14ac:dyDescent="0.3">
      <c r="A698" s="42">
        <v>10000000220</v>
      </c>
      <c r="B698" s="3" t="s">
        <v>851</v>
      </c>
      <c r="C698" s="4">
        <f t="shared" ca="1" si="7"/>
        <v>45514</v>
      </c>
    </row>
    <row r="699" spans="1:3" x14ac:dyDescent="0.3">
      <c r="A699" s="42">
        <v>10000000107</v>
      </c>
      <c r="B699" s="3" t="s">
        <v>906</v>
      </c>
      <c r="C699" s="4">
        <f t="shared" ca="1" si="7"/>
        <v>45514</v>
      </c>
    </row>
    <row r="700" spans="1:3" x14ac:dyDescent="0.3">
      <c r="A700" s="42">
        <v>10000000013</v>
      </c>
      <c r="B700" s="3" t="s">
        <v>915</v>
      </c>
      <c r="C700" s="4">
        <f t="shared" ca="1" si="7"/>
        <v>45514</v>
      </c>
    </row>
    <row r="701" spans="1:3" x14ac:dyDescent="0.3">
      <c r="A701" s="42">
        <v>10000000233</v>
      </c>
      <c r="B701" s="3" t="s">
        <v>876</v>
      </c>
      <c r="C701" s="4">
        <f t="shared" ca="1" si="7"/>
        <v>45514</v>
      </c>
    </row>
    <row r="702" spans="1:3" x14ac:dyDescent="0.3">
      <c r="A702" s="42">
        <v>10000000461</v>
      </c>
      <c r="B702" s="3" t="s">
        <v>850</v>
      </c>
      <c r="C702" s="4">
        <f t="shared" ca="1" si="7"/>
        <v>45514</v>
      </c>
    </row>
    <row r="703" spans="1:3" x14ac:dyDescent="0.3">
      <c r="A703" s="42">
        <v>10000000610</v>
      </c>
      <c r="B703" s="3" t="s">
        <v>920</v>
      </c>
      <c r="C703" s="4">
        <f t="shared" ca="1" si="7"/>
        <v>45514</v>
      </c>
    </row>
    <row r="704" spans="1:3" x14ac:dyDescent="0.3">
      <c r="A704" s="42">
        <v>10000000156</v>
      </c>
      <c r="B704" s="3" t="s">
        <v>912</v>
      </c>
      <c r="C704" s="4">
        <f t="shared" ca="1" si="7"/>
        <v>45514</v>
      </c>
    </row>
    <row r="705" spans="1:3" x14ac:dyDescent="0.3">
      <c r="A705" s="42">
        <v>10000000499</v>
      </c>
      <c r="B705" s="3" t="s">
        <v>1011</v>
      </c>
      <c r="C705" s="4">
        <f t="shared" ca="1" si="7"/>
        <v>45514</v>
      </c>
    </row>
    <row r="706" spans="1:3" x14ac:dyDescent="0.3">
      <c r="A706" s="42">
        <v>10000000303</v>
      </c>
      <c r="B706" s="3" t="s">
        <v>853</v>
      </c>
      <c r="C706" s="4">
        <f t="shared" ca="1" si="7"/>
        <v>45514</v>
      </c>
    </row>
    <row r="707" spans="1:3" x14ac:dyDescent="0.3">
      <c r="A707" s="42">
        <v>10000000392</v>
      </c>
      <c r="B707" s="3" t="s">
        <v>934</v>
      </c>
      <c r="C707" s="4">
        <f t="shared" ca="1" si="7"/>
        <v>45514</v>
      </c>
    </row>
    <row r="708" spans="1:3" x14ac:dyDescent="0.3">
      <c r="A708" s="42">
        <v>10000000199</v>
      </c>
      <c r="B708" s="3" t="s">
        <v>936</v>
      </c>
      <c r="C708" s="4">
        <f t="shared" ca="1" si="7"/>
        <v>45514</v>
      </c>
    </row>
    <row r="709" spans="1:3" x14ac:dyDescent="0.3">
      <c r="A709" s="42">
        <v>10000000520</v>
      </c>
      <c r="B709" s="3" t="s">
        <v>979</v>
      </c>
      <c r="C709" s="4">
        <f t="shared" ca="1" si="7"/>
        <v>45514</v>
      </c>
    </row>
    <row r="710" spans="1:3" x14ac:dyDescent="0.3">
      <c r="A710" s="42">
        <v>10000000617</v>
      </c>
      <c r="B710" s="3" t="s">
        <v>832</v>
      </c>
      <c r="C710" s="4">
        <f t="shared" ca="1" si="7"/>
        <v>45514</v>
      </c>
    </row>
    <row r="711" spans="1:3" x14ac:dyDescent="0.3">
      <c r="A711" s="42">
        <v>10000000106</v>
      </c>
      <c r="B711" s="3" t="s">
        <v>992</v>
      </c>
      <c r="C711" s="4">
        <f t="shared" ca="1" si="7"/>
        <v>45514</v>
      </c>
    </row>
    <row r="712" spans="1:3" x14ac:dyDescent="0.3">
      <c r="A712" s="42">
        <v>10000000509</v>
      </c>
      <c r="B712" s="3" t="s">
        <v>839</v>
      </c>
      <c r="C712" s="4">
        <f t="shared" ca="1" si="7"/>
        <v>45514</v>
      </c>
    </row>
    <row r="713" spans="1:3" x14ac:dyDescent="0.3">
      <c r="A713" s="42">
        <v>10000000125</v>
      </c>
      <c r="B713" s="3" t="s">
        <v>823</v>
      </c>
      <c r="C713" s="4">
        <f t="shared" ca="1" si="7"/>
        <v>45514</v>
      </c>
    </row>
    <row r="714" spans="1:3" x14ac:dyDescent="0.3">
      <c r="A714" s="42">
        <v>10000000487</v>
      </c>
      <c r="B714" s="3" t="s">
        <v>904</v>
      </c>
      <c r="C714" s="4">
        <f t="shared" ca="1" si="7"/>
        <v>45514</v>
      </c>
    </row>
    <row r="715" spans="1:3" x14ac:dyDescent="0.3">
      <c r="A715" s="42">
        <v>10000000508</v>
      </c>
      <c r="B715" s="3" t="s">
        <v>993</v>
      </c>
      <c r="C715" s="4">
        <f t="shared" ca="1" si="7"/>
        <v>45514</v>
      </c>
    </row>
    <row r="716" spans="1:3" x14ac:dyDescent="0.3">
      <c r="A716" s="42">
        <v>10000000390</v>
      </c>
      <c r="B716" s="3" t="s">
        <v>860</v>
      </c>
      <c r="C716" s="4">
        <f t="shared" ca="1" si="7"/>
        <v>45514</v>
      </c>
    </row>
    <row r="717" spans="1:3" x14ac:dyDescent="0.3">
      <c r="A717" s="42">
        <v>10000000135</v>
      </c>
      <c r="B717" s="3" t="s">
        <v>1006</v>
      </c>
      <c r="C717" s="4">
        <f t="shared" ca="1" si="7"/>
        <v>45514</v>
      </c>
    </row>
    <row r="718" spans="1:3" x14ac:dyDescent="0.3">
      <c r="A718" s="42">
        <v>10000000295</v>
      </c>
      <c r="B718" s="3" t="s">
        <v>908</v>
      </c>
      <c r="C718" s="4">
        <f t="shared" ca="1" si="7"/>
        <v>45514</v>
      </c>
    </row>
    <row r="719" spans="1:3" x14ac:dyDescent="0.3">
      <c r="A719" s="42">
        <v>10000000309</v>
      </c>
      <c r="B719" s="3" t="s">
        <v>839</v>
      </c>
      <c r="C719" s="4">
        <f t="shared" ca="1" si="7"/>
        <v>45514</v>
      </c>
    </row>
    <row r="720" spans="1:3" x14ac:dyDescent="0.3">
      <c r="A720" s="42">
        <v>10000000403</v>
      </c>
      <c r="B720" s="3" t="s">
        <v>952</v>
      </c>
      <c r="C720" s="4">
        <f t="shared" ca="1" si="7"/>
        <v>45514</v>
      </c>
    </row>
    <row r="721" spans="1:3" x14ac:dyDescent="0.3">
      <c r="A721" s="42">
        <v>10000000014</v>
      </c>
      <c r="B721" s="3" t="s">
        <v>857</v>
      </c>
      <c r="C721" s="4">
        <f t="shared" ca="1" si="7"/>
        <v>45514</v>
      </c>
    </row>
    <row r="722" spans="1:3" x14ac:dyDescent="0.3">
      <c r="A722" s="42">
        <v>10000000101</v>
      </c>
      <c r="B722" s="3" t="s">
        <v>949</v>
      </c>
      <c r="C722" s="4">
        <f t="shared" ca="1" si="7"/>
        <v>45514</v>
      </c>
    </row>
    <row r="723" spans="1:3" x14ac:dyDescent="0.3">
      <c r="A723" s="42">
        <v>10000000032</v>
      </c>
      <c r="B723" s="3" t="s">
        <v>896</v>
      </c>
      <c r="C723" s="4">
        <f t="shared" ca="1" si="7"/>
        <v>45514</v>
      </c>
    </row>
    <row r="724" spans="1:3" x14ac:dyDescent="0.3">
      <c r="A724" s="42">
        <v>10000000521</v>
      </c>
      <c r="B724" s="3" t="s">
        <v>884</v>
      </c>
      <c r="C724" s="4">
        <f t="shared" ca="1" si="7"/>
        <v>45514</v>
      </c>
    </row>
    <row r="725" spans="1:3" x14ac:dyDescent="0.3">
      <c r="A725" s="42">
        <v>10000000690</v>
      </c>
      <c r="B725" s="3" t="s">
        <v>848</v>
      </c>
      <c r="C725" s="4">
        <f t="shared" ca="1" si="7"/>
        <v>45514</v>
      </c>
    </row>
    <row r="726" spans="1:3" x14ac:dyDescent="0.3">
      <c r="A726" s="42">
        <v>10000000115</v>
      </c>
      <c r="B726" s="3" t="s">
        <v>870</v>
      </c>
      <c r="C726" s="4">
        <f t="shared" ca="1" si="7"/>
        <v>45514</v>
      </c>
    </row>
    <row r="727" spans="1:3" x14ac:dyDescent="0.3">
      <c r="A727" s="42">
        <v>10000000232</v>
      </c>
      <c r="B727" s="3" t="s">
        <v>896</v>
      </c>
      <c r="C727" s="4">
        <f t="shared" ca="1" si="7"/>
        <v>45514</v>
      </c>
    </row>
    <row r="728" spans="1:3" x14ac:dyDescent="0.3">
      <c r="A728" s="42">
        <v>10000000202</v>
      </c>
      <c r="B728" s="3" t="s">
        <v>837</v>
      </c>
      <c r="C728" s="4">
        <f t="shared" ca="1" si="7"/>
        <v>45514</v>
      </c>
    </row>
    <row r="729" spans="1:3" x14ac:dyDescent="0.3">
      <c r="A729" s="42">
        <v>10000000600</v>
      </c>
      <c r="B729" s="3" t="s">
        <v>997</v>
      </c>
      <c r="C729" s="4">
        <f t="shared" ca="1" si="7"/>
        <v>45514</v>
      </c>
    </row>
    <row r="730" spans="1:3" x14ac:dyDescent="0.3">
      <c r="A730" s="42">
        <v>10000000275</v>
      </c>
      <c r="B730" s="3" t="s">
        <v>931</v>
      </c>
      <c r="C730" s="4">
        <f t="shared" ca="1" si="7"/>
        <v>45514</v>
      </c>
    </row>
    <row r="731" spans="1:3" x14ac:dyDescent="0.3">
      <c r="A731" s="42">
        <v>10000000135</v>
      </c>
      <c r="B731" s="3" t="s">
        <v>1006</v>
      </c>
      <c r="C731" s="4">
        <f t="shared" ca="1" si="7"/>
        <v>45514</v>
      </c>
    </row>
    <row r="732" spans="1:3" x14ac:dyDescent="0.3">
      <c r="A732" s="42">
        <v>10000000438</v>
      </c>
      <c r="B732" s="3" t="s">
        <v>867</v>
      </c>
      <c r="C732" s="4">
        <f t="shared" ca="1" si="7"/>
        <v>45514</v>
      </c>
    </row>
    <row r="733" spans="1:3" x14ac:dyDescent="0.3">
      <c r="A733" s="42">
        <v>10000000506</v>
      </c>
      <c r="B733" s="3" t="s">
        <v>992</v>
      </c>
      <c r="C733" s="4">
        <f t="shared" ca="1" si="7"/>
        <v>45514</v>
      </c>
    </row>
    <row r="734" spans="1:3" x14ac:dyDescent="0.3">
      <c r="A734" s="42">
        <v>10000000640</v>
      </c>
      <c r="B734" s="3" t="s">
        <v>878</v>
      </c>
      <c r="C734" s="4">
        <f t="shared" ca="1" si="7"/>
        <v>45514</v>
      </c>
    </row>
    <row r="735" spans="1:3" x14ac:dyDescent="0.3">
      <c r="A735" s="42">
        <v>10000000053</v>
      </c>
      <c r="B735" s="3" t="s">
        <v>822</v>
      </c>
      <c r="C735" s="4">
        <f t="shared" ca="1" si="7"/>
        <v>45514</v>
      </c>
    </row>
    <row r="736" spans="1:3" x14ac:dyDescent="0.3">
      <c r="A736" s="42">
        <v>10000000147</v>
      </c>
      <c r="B736" s="3" t="s">
        <v>982</v>
      </c>
      <c r="C736" s="4">
        <f t="shared" ca="1" si="7"/>
        <v>45514</v>
      </c>
    </row>
    <row r="737" spans="1:3" x14ac:dyDescent="0.3">
      <c r="A737" s="42">
        <v>10000000397</v>
      </c>
      <c r="B737" s="3" t="s">
        <v>1001</v>
      </c>
      <c r="C737" s="4">
        <f t="shared" ca="1" si="7"/>
        <v>45514</v>
      </c>
    </row>
    <row r="738" spans="1:3" x14ac:dyDescent="0.3">
      <c r="A738" s="42">
        <v>10000000479</v>
      </c>
      <c r="B738" s="3" t="s">
        <v>901</v>
      </c>
      <c r="C738" s="4">
        <f t="shared" ca="1" si="7"/>
        <v>45514</v>
      </c>
    </row>
    <row r="739" spans="1:3" x14ac:dyDescent="0.3">
      <c r="A739" s="42">
        <v>10000000649</v>
      </c>
      <c r="B739" s="3" t="s">
        <v>951</v>
      </c>
      <c r="C739" s="4">
        <f t="shared" ca="1" si="7"/>
        <v>45514</v>
      </c>
    </row>
    <row r="740" spans="1:3" x14ac:dyDescent="0.3">
      <c r="A740" s="42">
        <v>10000000121</v>
      </c>
      <c r="B740" s="3" t="s">
        <v>884</v>
      </c>
      <c r="C740" s="4">
        <f t="shared" ca="1" si="7"/>
        <v>45514</v>
      </c>
    </row>
    <row r="741" spans="1:3" x14ac:dyDescent="0.3">
      <c r="A741" s="42">
        <v>10000000165</v>
      </c>
      <c r="B741" s="3" t="s">
        <v>914</v>
      </c>
      <c r="C741" s="4">
        <f t="shared" ca="1" si="7"/>
        <v>45514</v>
      </c>
    </row>
    <row r="742" spans="1:3" x14ac:dyDescent="0.3">
      <c r="A742" s="42">
        <v>10000000515</v>
      </c>
      <c r="B742" s="3" t="s">
        <v>870</v>
      </c>
      <c r="C742" s="4">
        <f t="shared" ca="1" si="7"/>
        <v>45514</v>
      </c>
    </row>
    <row r="743" spans="1:3" x14ac:dyDescent="0.3">
      <c r="A743" s="42">
        <v>10000000153</v>
      </c>
      <c r="B743" s="3" t="s">
        <v>825</v>
      </c>
      <c r="C743" s="4">
        <f t="shared" ca="1" si="7"/>
        <v>45514</v>
      </c>
    </row>
    <row r="744" spans="1:3" x14ac:dyDescent="0.3">
      <c r="A744" s="42">
        <v>10000000564</v>
      </c>
      <c r="B744" s="3" t="s">
        <v>869</v>
      </c>
      <c r="C744" s="4">
        <f t="shared" ca="1" si="7"/>
        <v>45514</v>
      </c>
    </row>
    <row r="745" spans="1:3" x14ac:dyDescent="0.3">
      <c r="A745" s="42">
        <v>10000000297</v>
      </c>
      <c r="B745" s="3" t="s">
        <v>892</v>
      </c>
      <c r="C745" s="4">
        <f t="shared" ca="1" si="7"/>
        <v>45514</v>
      </c>
    </row>
    <row r="746" spans="1:3" x14ac:dyDescent="0.3">
      <c r="A746" s="42">
        <v>10000000477</v>
      </c>
      <c r="B746" s="3" t="s">
        <v>971</v>
      </c>
      <c r="C746" s="4">
        <f t="shared" ca="1" si="7"/>
        <v>45514</v>
      </c>
    </row>
    <row r="747" spans="1:3" x14ac:dyDescent="0.3">
      <c r="A747" s="42">
        <v>10000000626</v>
      </c>
      <c r="B747" s="3" t="s">
        <v>880</v>
      </c>
      <c r="C747" s="4">
        <f t="shared" ca="1" si="7"/>
        <v>45514</v>
      </c>
    </row>
    <row r="748" spans="1:3" x14ac:dyDescent="0.3">
      <c r="A748" s="42">
        <v>10000000677</v>
      </c>
      <c r="B748" s="3" t="s">
        <v>971</v>
      </c>
      <c r="C748" s="4">
        <f t="shared" ca="1" si="7"/>
        <v>45514</v>
      </c>
    </row>
    <row r="749" spans="1:3" x14ac:dyDescent="0.3">
      <c r="A749" s="42">
        <v>10000000616</v>
      </c>
      <c r="B749" s="3" t="s">
        <v>874</v>
      </c>
      <c r="C749" s="4">
        <f t="shared" ca="1" si="7"/>
        <v>45514</v>
      </c>
    </row>
    <row r="750" spans="1:3" x14ac:dyDescent="0.3">
      <c r="A750" s="42">
        <v>10000000119</v>
      </c>
      <c r="B750" s="3" t="s">
        <v>1003</v>
      </c>
      <c r="C750" s="4">
        <f t="shared" ca="1" si="7"/>
        <v>45514</v>
      </c>
    </row>
    <row r="751" spans="1:3" x14ac:dyDescent="0.3">
      <c r="A751" s="42">
        <v>10000000037</v>
      </c>
      <c r="B751" s="3" t="s">
        <v>885</v>
      </c>
      <c r="C751" s="4">
        <f t="shared" ca="1" si="7"/>
        <v>45514</v>
      </c>
    </row>
    <row r="752" spans="1:3" x14ac:dyDescent="0.3">
      <c r="A752" s="42">
        <v>10000000137</v>
      </c>
      <c r="B752" s="3" t="s">
        <v>923</v>
      </c>
      <c r="C752" s="4">
        <f t="shared" ca="1" si="7"/>
        <v>45514</v>
      </c>
    </row>
    <row r="753" spans="1:3" x14ac:dyDescent="0.3">
      <c r="A753" s="42">
        <v>10000000140</v>
      </c>
      <c r="B753" s="3" t="s">
        <v>996</v>
      </c>
      <c r="C753" s="4">
        <f t="shared" ca="1" si="7"/>
        <v>45514</v>
      </c>
    </row>
    <row r="754" spans="1:3" x14ac:dyDescent="0.3">
      <c r="A754" s="42">
        <v>10000000266</v>
      </c>
      <c r="B754" s="3" t="s">
        <v>895</v>
      </c>
      <c r="C754" s="4">
        <f t="shared" ca="1" si="7"/>
        <v>45514</v>
      </c>
    </row>
    <row r="755" spans="1:3" x14ac:dyDescent="0.3">
      <c r="A755" s="42">
        <v>10000000143</v>
      </c>
      <c r="B755" s="3" t="s">
        <v>1014</v>
      </c>
      <c r="C755" s="4">
        <f t="shared" ca="1" si="7"/>
        <v>45514</v>
      </c>
    </row>
    <row r="756" spans="1:3" x14ac:dyDescent="0.3">
      <c r="A756" s="42">
        <v>10000000453</v>
      </c>
      <c r="B756" s="3" t="s">
        <v>822</v>
      </c>
      <c r="C756" s="4">
        <f t="shared" ca="1" si="7"/>
        <v>45514</v>
      </c>
    </row>
    <row r="757" spans="1:3" x14ac:dyDescent="0.3">
      <c r="A757" s="42">
        <v>10000000182</v>
      </c>
      <c r="B757" s="3" t="s">
        <v>955</v>
      </c>
      <c r="C757" s="4">
        <f t="shared" ca="1" si="7"/>
        <v>45514</v>
      </c>
    </row>
    <row r="758" spans="1:3" x14ac:dyDescent="0.3">
      <c r="A758" s="42">
        <v>10000000276</v>
      </c>
      <c r="B758" s="3" t="s">
        <v>899</v>
      </c>
      <c r="C758" s="4">
        <f t="shared" ca="1" si="7"/>
        <v>45514</v>
      </c>
    </row>
    <row r="759" spans="1:3" x14ac:dyDescent="0.3">
      <c r="A759" s="42">
        <v>10000000237</v>
      </c>
      <c r="B759" s="3" t="s">
        <v>885</v>
      </c>
      <c r="C759" s="4">
        <f t="shared" ca="1" si="7"/>
        <v>45514</v>
      </c>
    </row>
    <row r="760" spans="1:3" x14ac:dyDescent="0.3">
      <c r="A760" s="42">
        <v>10000000580</v>
      </c>
      <c r="B760" s="3" t="s">
        <v>991</v>
      </c>
      <c r="C760" s="4">
        <f t="shared" ca="1" si="7"/>
        <v>45514</v>
      </c>
    </row>
    <row r="761" spans="1:3" x14ac:dyDescent="0.3">
      <c r="A761" s="42">
        <v>10000000652</v>
      </c>
      <c r="B761" s="3" t="s">
        <v>976</v>
      </c>
      <c r="C761" s="4">
        <f t="shared" ca="1" si="7"/>
        <v>45514</v>
      </c>
    </row>
    <row r="762" spans="1:3" x14ac:dyDescent="0.3">
      <c r="A762" s="42">
        <v>10000000130</v>
      </c>
      <c r="B762" s="3" t="s">
        <v>835</v>
      </c>
      <c r="C762" s="4">
        <f t="shared" ca="1" si="7"/>
        <v>45514</v>
      </c>
    </row>
    <row r="763" spans="1:3" x14ac:dyDescent="0.3">
      <c r="A763" s="42">
        <v>10000000286</v>
      </c>
      <c r="B763" s="3" t="s">
        <v>875</v>
      </c>
      <c r="C763" s="4">
        <f t="shared" ca="1" si="7"/>
        <v>45514</v>
      </c>
    </row>
    <row r="764" spans="1:3" x14ac:dyDescent="0.3">
      <c r="A764" s="42">
        <v>10000000032</v>
      </c>
      <c r="B764" s="3" t="s">
        <v>896</v>
      </c>
      <c r="C764" s="4">
        <f t="shared" ca="1" si="7"/>
        <v>45514</v>
      </c>
    </row>
    <row r="765" spans="1:3" x14ac:dyDescent="0.3">
      <c r="A765" s="42">
        <v>10000000061</v>
      </c>
      <c r="B765" s="3" t="s">
        <v>850</v>
      </c>
      <c r="C765" s="4">
        <f t="shared" ca="1" si="7"/>
        <v>45514</v>
      </c>
    </row>
    <row r="766" spans="1:3" x14ac:dyDescent="0.3">
      <c r="A766" s="42">
        <v>10000000006</v>
      </c>
      <c r="B766" s="3" t="s">
        <v>953</v>
      </c>
      <c r="C766" s="4">
        <f t="shared" ca="1" si="7"/>
        <v>45514</v>
      </c>
    </row>
    <row r="767" spans="1:3" x14ac:dyDescent="0.3">
      <c r="A767" s="42">
        <v>10000000002</v>
      </c>
      <c r="B767" s="3" t="s">
        <v>837</v>
      </c>
      <c r="C767" s="4">
        <f t="shared" ca="1" si="7"/>
        <v>45514</v>
      </c>
    </row>
    <row r="768" spans="1:3" x14ac:dyDescent="0.3">
      <c r="A768" s="42">
        <v>10000000169</v>
      </c>
      <c r="B768" s="3" t="s">
        <v>946</v>
      </c>
      <c r="C768" s="4">
        <f t="shared" ca="1" si="7"/>
        <v>45514</v>
      </c>
    </row>
    <row r="769" spans="1:3" x14ac:dyDescent="0.3">
      <c r="A769" s="42">
        <v>10000000626</v>
      </c>
      <c r="B769" s="3" t="s">
        <v>880</v>
      </c>
      <c r="C769" s="4">
        <f t="shared" ca="1" si="7"/>
        <v>45514</v>
      </c>
    </row>
    <row r="770" spans="1:3" x14ac:dyDescent="0.3">
      <c r="A770" s="42">
        <v>10000000312</v>
      </c>
      <c r="B770" s="3" t="s">
        <v>938</v>
      </c>
      <c r="C770" s="4">
        <f t="shared" ref="C770:C875" ca="1" si="8">TODAY()-493</f>
        <v>45544</v>
      </c>
    </row>
    <row r="771" spans="1:3" x14ac:dyDescent="0.3">
      <c r="A771" s="42">
        <v>10000000074</v>
      </c>
      <c r="B771" s="3" t="s">
        <v>981</v>
      </c>
      <c r="C771" s="4">
        <f t="shared" ca="1" si="8"/>
        <v>45544</v>
      </c>
    </row>
    <row r="772" spans="1:3" x14ac:dyDescent="0.3">
      <c r="A772" s="42">
        <v>10000000686</v>
      </c>
      <c r="B772" s="3" t="s">
        <v>875</v>
      </c>
      <c r="C772" s="4">
        <f t="shared" ca="1" si="8"/>
        <v>45544</v>
      </c>
    </row>
    <row r="773" spans="1:3" x14ac:dyDescent="0.3">
      <c r="A773" s="42">
        <v>10000000617</v>
      </c>
      <c r="B773" s="3" t="s">
        <v>832</v>
      </c>
      <c r="C773" s="4">
        <f t="shared" ca="1" si="8"/>
        <v>45544</v>
      </c>
    </row>
    <row r="774" spans="1:3" x14ac:dyDescent="0.3">
      <c r="A774" s="42">
        <v>10000000173</v>
      </c>
      <c r="B774" s="3" t="s">
        <v>924</v>
      </c>
      <c r="C774" s="4">
        <f t="shared" ca="1" si="8"/>
        <v>45544</v>
      </c>
    </row>
    <row r="775" spans="1:3" x14ac:dyDescent="0.3">
      <c r="A775" s="42">
        <v>10000000369</v>
      </c>
      <c r="B775" s="3" t="s">
        <v>946</v>
      </c>
      <c r="C775" s="4">
        <f t="shared" ca="1" si="8"/>
        <v>45544</v>
      </c>
    </row>
    <row r="776" spans="1:3" x14ac:dyDescent="0.3">
      <c r="A776" s="42">
        <v>10000000105</v>
      </c>
      <c r="B776" s="3" t="s">
        <v>968</v>
      </c>
      <c r="C776" s="4">
        <f t="shared" ca="1" si="8"/>
        <v>45544</v>
      </c>
    </row>
    <row r="777" spans="1:3" x14ac:dyDescent="0.3">
      <c r="A777" s="42">
        <v>10000000690</v>
      </c>
      <c r="B777" s="3" t="s">
        <v>848</v>
      </c>
      <c r="C777" s="4">
        <f t="shared" ca="1" si="8"/>
        <v>45544</v>
      </c>
    </row>
    <row r="778" spans="1:3" x14ac:dyDescent="0.3">
      <c r="A778" s="42">
        <v>10000000525</v>
      </c>
      <c r="B778" s="3" t="s">
        <v>823</v>
      </c>
      <c r="C778" s="4">
        <f t="shared" ca="1" si="8"/>
        <v>45544</v>
      </c>
    </row>
    <row r="779" spans="1:3" x14ac:dyDescent="0.3">
      <c r="A779" s="42">
        <v>10000000204</v>
      </c>
      <c r="B779" s="3" t="s">
        <v>925</v>
      </c>
      <c r="C779" s="4">
        <f t="shared" ca="1" si="8"/>
        <v>45544</v>
      </c>
    </row>
    <row r="780" spans="1:3" x14ac:dyDescent="0.3">
      <c r="A780" s="42">
        <v>10000000506</v>
      </c>
      <c r="B780" s="3" t="s">
        <v>992</v>
      </c>
      <c r="C780" s="4">
        <f t="shared" ca="1" si="8"/>
        <v>45544</v>
      </c>
    </row>
    <row r="781" spans="1:3" x14ac:dyDescent="0.3">
      <c r="A781" s="42">
        <v>10000000574</v>
      </c>
      <c r="B781" s="3" t="s">
        <v>845</v>
      </c>
      <c r="C781" s="4">
        <f t="shared" ca="1" si="8"/>
        <v>45544</v>
      </c>
    </row>
    <row r="782" spans="1:3" x14ac:dyDescent="0.3">
      <c r="A782" s="42">
        <v>10000000579</v>
      </c>
      <c r="B782" s="3" t="s">
        <v>907</v>
      </c>
      <c r="C782" s="4">
        <f t="shared" ca="1" si="8"/>
        <v>45544</v>
      </c>
    </row>
    <row r="783" spans="1:3" x14ac:dyDescent="0.3">
      <c r="A783" s="42">
        <v>10000000692</v>
      </c>
      <c r="B783" s="3" t="s">
        <v>865</v>
      </c>
      <c r="C783" s="4">
        <f t="shared" ca="1" si="8"/>
        <v>45544</v>
      </c>
    </row>
    <row r="784" spans="1:3" x14ac:dyDescent="0.3">
      <c r="A784" s="42">
        <v>10000000404</v>
      </c>
      <c r="B784" s="3" t="s">
        <v>925</v>
      </c>
      <c r="C784" s="4">
        <f t="shared" ca="1" si="8"/>
        <v>45544</v>
      </c>
    </row>
    <row r="785" spans="1:3" x14ac:dyDescent="0.3">
      <c r="A785" s="42">
        <v>10000000624</v>
      </c>
      <c r="B785" s="3" t="s">
        <v>891</v>
      </c>
      <c r="C785" s="4">
        <f t="shared" ca="1" si="8"/>
        <v>45544</v>
      </c>
    </row>
    <row r="786" spans="1:3" x14ac:dyDescent="0.3">
      <c r="A786" s="42">
        <v>10000000607</v>
      </c>
      <c r="B786" s="3" t="s">
        <v>902</v>
      </c>
      <c r="C786" s="4">
        <f t="shared" ca="1" si="8"/>
        <v>45544</v>
      </c>
    </row>
    <row r="787" spans="1:3" x14ac:dyDescent="0.3">
      <c r="A787" s="42">
        <v>10000000190</v>
      </c>
      <c r="B787" s="3" t="s">
        <v>860</v>
      </c>
      <c r="C787" s="4">
        <f t="shared" ca="1" si="8"/>
        <v>45544</v>
      </c>
    </row>
    <row r="788" spans="1:3" x14ac:dyDescent="0.3">
      <c r="A788" s="42">
        <v>10000000353</v>
      </c>
      <c r="B788" s="3" t="s">
        <v>825</v>
      </c>
      <c r="C788" s="4">
        <f t="shared" ca="1" si="8"/>
        <v>45544</v>
      </c>
    </row>
    <row r="789" spans="1:3" x14ac:dyDescent="0.3">
      <c r="A789" s="42">
        <v>10000000381</v>
      </c>
      <c r="B789" s="3" t="s">
        <v>831</v>
      </c>
      <c r="C789" s="4">
        <f t="shared" ca="1" si="8"/>
        <v>45544</v>
      </c>
    </row>
    <row r="790" spans="1:3" x14ac:dyDescent="0.3">
      <c r="A790" s="42">
        <v>10000000274</v>
      </c>
      <c r="B790" s="3" t="s">
        <v>981</v>
      </c>
      <c r="C790" s="4">
        <f t="shared" ca="1" si="8"/>
        <v>45544</v>
      </c>
    </row>
    <row r="791" spans="1:3" x14ac:dyDescent="0.3">
      <c r="A791" s="42">
        <v>10000000510</v>
      </c>
      <c r="B791" s="3" t="s">
        <v>887</v>
      </c>
      <c r="C791" s="4">
        <f t="shared" ca="1" si="8"/>
        <v>45544</v>
      </c>
    </row>
    <row r="792" spans="1:3" x14ac:dyDescent="0.3">
      <c r="A792" s="42">
        <v>10000000209</v>
      </c>
      <c r="B792" s="3" t="s">
        <v>919</v>
      </c>
      <c r="C792" s="4">
        <f t="shared" ca="1" si="8"/>
        <v>45544</v>
      </c>
    </row>
    <row r="793" spans="1:3" x14ac:dyDescent="0.3">
      <c r="A793" s="42">
        <v>10000000247</v>
      </c>
      <c r="B793" s="3" t="s">
        <v>967</v>
      </c>
      <c r="C793" s="4">
        <f t="shared" ca="1" si="8"/>
        <v>45544</v>
      </c>
    </row>
    <row r="794" spans="1:3" x14ac:dyDescent="0.3">
      <c r="A794" s="42">
        <v>10000000045</v>
      </c>
      <c r="B794" s="3" t="s">
        <v>843</v>
      </c>
      <c r="C794" s="4">
        <f t="shared" ca="1" si="8"/>
        <v>45544</v>
      </c>
    </row>
    <row r="795" spans="1:3" x14ac:dyDescent="0.3">
      <c r="A795" s="42">
        <v>10000000477</v>
      </c>
      <c r="B795" s="3" t="s">
        <v>971</v>
      </c>
      <c r="C795" s="4">
        <f t="shared" ca="1" si="8"/>
        <v>45544</v>
      </c>
    </row>
    <row r="796" spans="1:3" x14ac:dyDescent="0.3">
      <c r="A796" s="42">
        <v>10000000688</v>
      </c>
      <c r="B796" s="3" t="s">
        <v>986</v>
      </c>
      <c r="C796" s="4">
        <f t="shared" ca="1" si="8"/>
        <v>45544</v>
      </c>
    </row>
    <row r="797" spans="1:3" x14ac:dyDescent="0.3">
      <c r="A797" s="42">
        <v>10000000160</v>
      </c>
      <c r="B797" s="3" t="s">
        <v>1009</v>
      </c>
      <c r="C797" s="4">
        <f t="shared" ca="1" si="8"/>
        <v>45544</v>
      </c>
    </row>
    <row r="798" spans="1:3" x14ac:dyDescent="0.3">
      <c r="A798" s="42">
        <v>10000000271</v>
      </c>
      <c r="B798" s="3" t="s">
        <v>882</v>
      </c>
      <c r="C798" s="4">
        <f t="shared" ca="1" si="8"/>
        <v>45544</v>
      </c>
    </row>
    <row r="799" spans="1:3" x14ac:dyDescent="0.3">
      <c r="A799" s="42">
        <v>10000000350</v>
      </c>
      <c r="B799" s="3" t="s">
        <v>900</v>
      </c>
      <c r="C799" s="4">
        <f t="shared" ca="1" si="8"/>
        <v>45544</v>
      </c>
    </row>
    <row r="800" spans="1:3" x14ac:dyDescent="0.3">
      <c r="A800" s="42">
        <v>10000000275</v>
      </c>
      <c r="B800" s="3" t="s">
        <v>931</v>
      </c>
      <c r="C800" s="4">
        <f t="shared" ca="1" si="8"/>
        <v>45544</v>
      </c>
    </row>
    <row r="801" spans="1:3" x14ac:dyDescent="0.3">
      <c r="A801" s="42">
        <v>10000000378</v>
      </c>
      <c r="B801" s="3" t="s">
        <v>890</v>
      </c>
      <c r="C801" s="4">
        <f t="shared" ca="1" si="8"/>
        <v>45544</v>
      </c>
    </row>
    <row r="802" spans="1:3" x14ac:dyDescent="0.3">
      <c r="A802" s="42">
        <v>10000000246</v>
      </c>
      <c r="B802" s="3" t="s">
        <v>930</v>
      </c>
      <c r="C802" s="4">
        <f t="shared" ca="1" si="8"/>
        <v>45544</v>
      </c>
    </row>
    <row r="803" spans="1:3" x14ac:dyDescent="0.3">
      <c r="A803" s="42">
        <v>10000000485</v>
      </c>
      <c r="B803" s="3" t="s">
        <v>962</v>
      </c>
      <c r="C803" s="4">
        <f t="shared" ca="1" si="8"/>
        <v>45544</v>
      </c>
    </row>
    <row r="804" spans="1:3" x14ac:dyDescent="0.3">
      <c r="A804" s="42">
        <v>10000000596</v>
      </c>
      <c r="B804" s="3" t="s">
        <v>881</v>
      </c>
      <c r="C804" s="4">
        <f t="shared" ca="1" si="8"/>
        <v>45544</v>
      </c>
    </row>
    <row r="805" spans="1:3" x14ac:dyDescent="0.3">
      <c r="A805" s="42">
        <v>10000000322</v>
      </c>
      <c r="B805" s="3" t="s">
        <v>824</v>
      </c>
      <c r="C805" s="4">
        <f t="shared" ca="1" si="8"/>
        <v>45544</v>
      </c>
    </row>
    <row r="806" spans="1:3" x14ac:dyDescent="0.3">
      <c r="A806" s="42">
        <v>10000000358</v>
      </c>
      <c r="B806" s="3" t="s">
        <v>994</v>
      </c>
      <c r="C806" s="4">
        <f t="shared" ca="1" si="8"/>
        <v>45544</v>
      </c>
    </row>
    <row r="807" spans="1:3" x14ac:dyDescent="0.3">
      <c r="A807" s="42">
        <v>10000000591</v>
      </c>
      <c r="B807" s="3" t="s">
        <v>987</v>
      </c>
      <c r="C807" s="4">
        <f t="shared" ca="1" si="8"/>
        <v>45544</v>
      </c>
    </row>
    <row r="808" spans="1:3" x14ac:dyDescent="0.3">
      <c r="A808" s="42">
        <v>10000000619</v>
      </c>
      <c r="B808" s="3" t="s">
        <v>975</v>
      </c>
      <c r="C808" s="4">
        <f t="shared" ca="1" si="8"/>
        <v>45544</v>
      </c>
    </row>
    <row r="809" spans="1:3" x14ac:dyDescent="0.3">
      <c r="A809" s="42">
        <v>10000000068</v>
      </c>
      <c r="B809" s="3" t="s">
        <v>916</v>
      </c>
      <c r="C809" s="4">
        <f t="shared" ca="1" si="8"/>
        <v>45544</v>
      </c>
    </row>
    <row r="810" spans="1:3" x14ac:dyDescent="0.3">
      <c r="A810" s="42">
        <v>10000000321</v>
      </c>
      <c r="B810" s="3" t="s">
        <v>884</v>
      </c>
      <c r="C810" s="4">
        <f t="shared" ca="1" si="8"/>
        <v>45544</v>
      </c>
    </row>
    <row r="811" spans="1:3" x14ac:dyDescent="0.3">
      <c r="A811" s="42">
        <v>10000000136</v>
      </c>
      <c r="B811" s="3" t="s">
        <v>965</v>
      </c>
      <c r="C811" s="4">
        <f t="shared" ca="1" si="8"/>
        <v>45544</v>
      </c>
    </row>
    <row r="812" spans="1:3" x14ac:dyDescent="0.3">
      <c r="A812" s="42">
        <v>10000000504</v>
      </c>
      <c r="B812" s="3" t="s">
        <v>1010</v>
      </c>
      <c r="C812" s="4">
        <f t="shared" ca="1" si="8"/>
        <v>45544</v>
      </c>
    </row>
    <row r="813" spans="1:3" x14ac:dyDescent="0.3">
      <c r="A813" s="42">
        <v>10000000248</v>
      </c>
      <c r="B813" s="3" t="s">
        <v>856</v>
      </c>
      <c r="C813" s="4">
        <f t="shared" ca="1" si="8"/>
        <v>45544</v>
      </c>
    </row>
    <row r="814" spans="1:3" x14ac:dyDescent="0.3">
      <c r="A814" s="42">
        <v>10000000450</v>
      </c>
      <c r="B814" s="3" t="s">
        <v>928</v>
      </c>
      <c r="C814" s="4">
        <f t="shared" ca="1" si="8"/>
        <v>45544</v>
      </c>
    </row>
    <row r="815" spans="1:3" x14ac:dyDescent="0.3">
      <c r="A815" s="42">
        <v>10000000538</v>
      </c>
      <c r="B815" s="3" t="s">
        <v>950</v>
      </c>
      <c r="C815" s="4">
        <f t="shared" ca="1" si="8"/>
        <v>45544</v>
      </c>
    </row>
    <row r="816" spans="1:3" x14ac:dyDescent="0.3">
      <c r="A816" s="42">
        <v>10000000008</v>
      </c>
      <c r="B816" s="3" t="s">
        <v>933</v>
      </c>
      <c r="C816" s="4">
        <f t="shared" ca="1" si="8"/>
        <v>45544</v>
      </c>
    </row>
    <row r="817" spans="1:3" x14ac:dyDescent="0.3">
      <c r="A817" s="42">
        <v>10000000029</v>
      </c>
      <c r="B817" s="3" t="s">
        <v>898</v>
      </c>
      <c r="C817" s="4">
        <f t="shared" ca="1" si="8"/>
        <v>45544</v>
      </c>
    </row>
    <row r="818" spans="1:3" x14ac:dyDescent="0.3">
      <c r="A818" s="42">
        <v>10000000150</v>
      </c>
      <c r="B818" s="3" t="s">
        <v>900</v>
      </c>
      <c r="C818" s="4">
        <f t="shared" ca="1" si="8"/>
        <v>45544</v>
      </c>
    </row>
    <row r="819" spans="1:3" x14ac:dyDescent="0.3">
      <c r="A819" s="42">
        <v>10000000029</v>
      </c>
      <c r="B819" s="3" t="s">
        <v>898</v>
      </c>
      <c r="C819" s="4">
        <f t="shared" ca="1" si="8"/>
        <v>45544</v>
      </c>
    </row>
    <row r="820" spans="1:3" x14ac:dyDescent="0.3">
      <c r="A820" s="42">
        <v>10000000613</v>
      </c>
      <c r="B820" s="3" t="s">
        <v>915</v>
      </c>
      <c r="C820" s="4">
        <f t="shared" ca="1" si="8"/>
        <v>45544</v>
      </c>
    </row>
    <row r="821" spans="1:3" x14ac:dyDescent="0.3">
      <c r="A821" s="42">
        <v>10000000096</v>
      </c>
      <c r="B821" s="3" t="s">
        <v>879</v>
      </c>
      <c r="C821" s="4">
        <f t="shared" ca="1" si="8"/>
        <v>45544</v>
      </c>
    </row>
    <row r="822" spans="1:3" x14ac:dyDescent="0.3">
      <c r="A822" s="42">
        <v>10000000440</v>
      </c>
      <c r="B822" s="3" t="s">
        <v>878</v>
      </c>
      <c r="C822" s="4">
        <f t="shared" ca="1" si="8"/>
        <v>45544</v>
      </c>
    </row>
    <row r="823" spans="1:3" x14ac:dyDescent="0.3">
      <c r="A823" s="42">
        <v>10000000198</v>
      </c>
      <c r="B823" s="3" t="s">
        <v>939</v>
      </c>
      <c r="C823" s="4">
        <f t="shared" ca="1" si="8"/>
        <v>45544</v>
      </c>
    </row>
    <row r="824" spans="1:3" x14ac:dyDescent="0.3">
      <c r="A824" s="42">
        <v>10000000267</v>
      </c>
      <c r="B824" s="3" t="s">
        <v>820</v>
      </c>
      <c r="C824" s="4">
        <f t="shared" ca="1" si="8"/>
        <v>45544</v>
      </c>
    </row>
    <row r="825" spans="1:3" x14ac:dyDescent="0.3">
      <c r="A825" s="42">
        <v>10000000287</v>
      </c>
      <c r="B825" s="3" t="s">
        <v>904</v>
      </c>
      <c r="C825" s="4">
        <f t="shared" ca="1" si="8"/>
        <v>45544</v>
      </c>
    </row>
    <row r="826" spans="1:3" x14ac:dyDescent="0.3">
      <c r="A826" s="42">
        <v>10000000472</v>
      </c>
      <c r="B826" s="3" t="s">
        <v>972</v>
      </c>
      <c r="C826" s="4">
        <f t="shared" ca="1" si="8"/>
        <v>45544</v>
      </c>
    </row>
    <row r="827" spans="1:3" x14ac:dyDescent="0.3">
      <c r="A827" s="42">
        <v>10000000069</v>
      </c>
      <c r="B827" s="3" t="s">
        <v>866</v>
      </c>
      <c r="C827" s="4">
        <f t="shared" ca="1" si="8"/>
        <v>45544</v>
      </c>
    </row>
    <row r="828" spans="1:3" x14ac:dyDescent="0.3">
      <c r="A828" s="42">
        <v>10000000149</v>
      </c>
      <c r="B828" s="3" t="s">
        <v>1012</v>
      </c>
      <c r="C828" s="4">
        <f t="shared" ca="1" si="8"/>
        <v>45544</v>
      </c>
    </row>
    <row r="829" spans="1:3" x14ac:dyDescent="0.3">
      <c r="A829" s="42">
        <v>10000000194</v>
      </c>
      <c r="B829" s="3" t="s">
        <v>846</v>
      </c>
      <c r="C829" s="4">
        <f t="shared" ca="1" si="8"/>
        <v>45544</v>
      </c>
    </row>
    <row r="830" spans="1:3" x14ac:dyDescent="0.3">
      <c r="A830" s="42">
        <v>10000000459</v>
      </c>
      <c r="B830" s="3" t="s">
        <v>956</v>
      </c>
      <c r="C830" s="4">
        <f t="shared" ca="1" si="8"/>
        <v>45544</v>
      </c>
    </row>
    <row r="831" spans="1:3" x14ac:dyDescent="0.3">
      <c r="A831" s="42">
        <v>10000000621</v>
      </c>
      <c r="B831" s="3" t="s">
        <v>917</v>
      </c>
      <c r="C831" s="4">
        <f t="shared" ca="1" si="8"/>
        <v>45544</v>
      </c>
    </row>
    <row r="832" spans="1:3" x14ac:dyDescent="0.3">
      <c r="A832" s="42">
        <v>10000000184</v>
      </c>
      <c r="B832" s="3" t="s">
        <v>830</v>
      </c>
      <c r="C832" s="4">
        <f t="shared" ca="1" si="8"/>
        <v>45544</v>
      </c>
    </row>
    <row r="833" spans="1:3" x14ac:dyDescent="0.3">
      <c r="A833" s="42">
        <v>10000000264</v>
      </c>
      <c r="B833" s="3" t="s">
        <v>858</v>
      </c>
      <c r="C833" s="4">
        <f t="shared" ca="1" si="8"/>
        <v>45544</v>
      </c>
    </row>
    <row r="834" spans="1:3" x14ac:dyDescent="0.3">
      <c r="A834" s="42">
        <v>10000000416</v>
      </c>
      <c r="B834" s="3" t="s">
        <v>874</v>
      </c>
      <c r="C834" s="4">
        <f t="shared" ca="1" si="8"/>
        <v>45544</v>
      </c>
    </row>
    <row r="835" spans="1:3" x14ac:dyDescent="0.3">
      <c r="A835" s="42">
        <v>10000000617</v>
      </c>
      <c r="B835" s="3" t="s">
        <v>832</v>
      </c>
      <c r="C835" s="4">
        <f t="shared" ca="1" si="8"/>
        <v>45544</v>
      </c>
    </row>
    <row r="836" spans="1:3" x14ac:dyDescent="0.3">
      <c r="A836" s="42">
        <v>10000000052</v>
      </c>
      <c r="B836" s="3" t="s">
        <v>976</v>
      </c>
      <c r="C836" s="4">
        <f t="shared" ca="1" si="8"/>
        <v>45544</v>
      </c>
    </row>
    <row r="837" spans="1:3" x14ac:dyDescent="0.3">
      <c r="A837" s="42">
        <v>10000000231</v>
      </c>
      <c r="B837" s="3" t="s">
        <v>947</v>
      </c>
      <c r="C837" s="4">
        <f t="shared" ca="1" si="8"/>
        <v>45544</v>
      </c>
    </row>
    <row r="838" spans="1:3" x14ac:dyDescent="0.3">
      <c r="A838" s="42">
        <v>10000000594</v>
      </c>
      <c r="B838" s="3" t="s">
        <v>846</v>
      </c>
      <c r="C838" s="4">
        <f t="shared" ca="1" si="8"/>
        <v>45544</v>
      </c>
    </row>
    <row r="839" spans="1:3" x14ac:dyDescent="0.3">
      <c r="A839" s="42">
        <v>10000000661</v>
      </c>
      <c r="B839" s="3" t="s">
        <v>850</v>
      </c>
      <c r="C839" s="4">
        <f t="shared" ca="1" si="8"/>
        <v>45544</v>
      </c>
    </row>
    <row r="840" spans="1:3" x14ac:dyDescent="0.3">
      <c r="A840" s="42">
        <v>10000000674</v>
      </c>
      <c r="B840" s="3" t="s">
        <v>981</v>
      </c>
      <c r="C840" s="4">
        <f t="shared" ca="1" si="8"/>
        <v>45544</v>
      </c>
    </row>
    <row r="841" spans="1:3" x14ac:dyDescent="0.3">
      <c r="A841" s="42">
        <v>10000000166</v>
      </c>
      <c r="B841" s="3" t="s">
        <v>957</v>
      </c>
      <c r="C841" s="4">
        <f t="shared" ca="1" si="8"/>
        <v>45544</v>
      </c>
    </row>
    <row r="842" spans="1:3" x14ac:dyDescent="0.3">
      <c r="A842" s="42">
        <v>10000000509</v>
      </c>
      <c r="B842" s="3" t="s">
        <v>839</v>
      </c>
      <c r="C842" s="4">
        <f t="shared" ca="1" si="8"/>
        <v>45544</v>
      </c>
    </row>
    <row r="843" spans="1:3" x14ac:dyDescent="0.3">
      <c r="A843" s="42">
        <v>10000000328</v>
      </c>
      <c r="B843" s="3" t="s">
        <v>999</v>
      </c>
      <c r="C843" s="4">
        <f t="shared" ca="1" si="8"/>
        <v>45544</v>
      </c>
    </row>
    <row r="844" spans="1:3" x14ac:dyDescent="0.3">
      <c r="A844" s="42">
        <v>10000000045</v>
      </c>
      <c r="B844" s="3" t="s">
        <v>843</v>
      </c>
      <c r="C844" s="4">
        <f t="shared" ca="1" si="8"/>
        <v>45544</v>
      </c>
    </row>
    <row r="845" spans="1:3" x14ac:dyDescent="0.3">
      <c r="A845" s="42">
        <v>10000000571</v>
      </c>
      <c r="B845" s="3" t="s">
        <v>932</v>
      </c>
      <c r="C845" s="4">
        <f t="shared" ca="1" si="8"/>
        <v>45544</v>
      </c>
    </row>
    <row r="846" spans="1:3" x14ac:dyDescent="0.3">
      <c r="A846" s="42">
        <v>10000000420</v>
      </c>
      <c r="B846" s="3" t="s">
        <v>851</v>
      </c>
      <c r="C846" s="4">
        <f t="shared" ca="1" si="8"/>
        <v>45544</v>
      </c>
    </row>
    <row r="847" spans="1:3" x14ac:dyDescent="0.3">
      <c r="A847" s="42">
        <v>10000000458</v>
      </c>
      <c r="B847" s="3" t="s">
        <v>935</v>
      </c>
      <c r="C847" s="4">
        <f t="shared" ca="1" si="8"/>
        <v>45544</v>
      </c>
    </row>
    <row r="848" spans="1:3" x14ac:dyDescent="0.3">
      <c r="A848" s="42">
        <v>10000000120</v>
      </c>
      <c r="B848" s="3" t="s">
        <v>979</v>
      </c>
      <c r="C848" s="4">
        <f t="shared" ca="1" si="8"/>
        <v>45544</v>
      </c>
    </row>
    <row r="849" spans="1:3" x14ac:dyDescent="0.3">
      <c r="A849" s="42">
        <v>10000000223</v>
      </c>
      <c r="B849" s="3" t="s">
        <v>838</v>
      </c>
      <c r="C849" s="4">
        <f t="shared" ca="1" si="8"/>
        <v>45544</v>
      </c>
    </row>
    <row r="850" spans="1:3" x14ac:dyDescent="0.3">
      <c r="A850" s="42">
        <v>10000000118</v>
      </c>
      <c r="B850" s="3" t="s">
        <v>1007</v>
      </c>
      <c r="C850" s="4">
        <f t="shared" ca="1" si="8"/>
        <v>45544</v>
      </c>
    </row>
    <row r="851" spans="1:3" x14ac:dyDescent="0.3">
      <c r="A851" s="42">
        <v>10000000325</v>
      </c>
      <c r="B851" s="3" t="s">
        <v>823</v>
      </c>
      <c r="C851" s="4">
        <f t="shared" ca="1" si="8"/>
        <v>45544</v>
      </c>
    </row>
    <row r="852" spans="1:3" x14ac:dyDescent="0.3">
      <c r="A852" s="42">
        <v>10000000471</v>
      </c>
      <c r="B852" s="3" t="s">
        <v>882</v>
      </c>
      <c r="C852" s="4">
        <f t="shared" ca="1" si="8"/>
        <v>45544</v>
      </c>
    </row>
    <row r="853" spans="1:3" x14ac:dyDescent="0.3">
      <c r="A853" s="42">
        <v>10000000457</v>
      </c>
      <c r="B853" s="3" t="s">
        <v>966</v>
      </c>
      <c r="C853" s="4">
        <f t="shared" ca="1" si="8"/>
        <v>45544</v>
      </c>
    </row>
    <row r="854" spans="1:3" x14ac:dyDescent="0.3">
      <c r="A854" s="42">
        <v>10000000317</v>
      </c>
      <c r="B854" s="3" t="s">
        <v>918</v>
      </c>
      <c r="C854" s="4">
        <f t="shared" ca="1" si="8"/>
        <v>45544</v>
      </c>
    </row>
    <row r="855" spans="1:3" x14ac:dyDescent="0.3">
      <c r="A855" s="42">
        <v>10000000042</v>
      </c>
      <c r="B855" s="3" t="s">
        <v>849</v>
      </c>
      <c r="C855" s="4">
        <f t="shared" ca="1" si="8"/>
        <v>45544</v>
      </c>
    </row>
    <row r="856" spans="1:3" x14ac:dyDescent="0.3">
      <c r="A856" s="42">
        <v>10000000502</v>
      </c>
      <c r="B856" s="3" t="s">
        <v>911</v>
      </c>
      <c r="C856" s="4">
        <f t="shared" ca="1" si="8"/>
        <v>45544</v>
      </c>
    </row>
    <row r="857" spans="1:3" x14ac:dyDescent="0.3">
      <c r="A857" s="42">
        <v>10000000656</v>
      </c>
      <c r="B857" s="3" t="s">
        <v>940</v>
      </c>
      <c r="C857" s="4">
        <f t="shared" ca="1" si="8"/>
        <v>45544</v>
      </c>
    </row>
    <row r="858" spans="1:3" x14ac:dyDescent="0.3">
      <c r="A858" s="42">
        <v>10000000264</v>
      </c>
      <c r="B858" s="3" t="s">
        <v>858</v>
      </c>
      <c r="C858" s="4">
        <f t="shared" ca="1" si="8"/>
        <v>45544</v>
      </c>
    </row>
    <row r="859" spans="1:3" x14ac:dyDescent="0.3">
      <c r="A859" s="42">
        <v>10000000124</v>
      </c>
      <c r="B859" s="3" t="s">
        <v>897</v>
      </c>
      <c r="C859" s="4">
        <f t="shared" ca="1" si="8"/>
        <v>45544</v>
      </c>
    </row>
    <row r="860" spans="1:3" x14ac:dyDescent="0.3">
      <c r="A860" s="42">
        <v>10000000242</v>
      </c>
      <c r="B860" s="3" t="s">
        <v>849</v>
      </c>
      <c r="C860" s="4">
        <f t="shared" ca="1" si="8"/>
        <v>45544</v>
      </c>
    </row>
    <row r="861" spans="1:3" x14ac:dyDescent="0.3">
      <c r="A861" s="42">
        <v>10000000373</v>
      </c>
      <c r="B861" s="3" t="s">
        <v>924</v>
      </c>
      <c r="C861" s="4">
        <f t="shared" ca="1" si="8"/>
        <v>45544</v>
      </c>
    </row>
    <row r="862" spans="1:3" x14ac:dyDescent="0.3">
      <c r="A862" s="42">
        <v>10000000173</v>
      </c>
      <c r="B862" s="3" t="s">
        <v>924</v>
      </c>
      <c r="C862" s="4">
        <f t="shared" ca="1" si="8"/>
        <v>45544</v>
      </c>
    </row>
    <row r="863" spans="1:3" x14ac:dyDescent="0.3">
      <c r="A863" s="42">
        <v>10000000385</v>
      </c>
      <c r="B863" s="3" t="s">
        <v>989</v>
      </c>
      <c r="C863" s="4">
        <f t="shared" ca="1" si="8"/>
        <v>45544</v>
      </c>
    </row>
    <row r="864" spans="1:3" x14ac:dyDescent="0.3">
      <c r="A864" s="42">
        <v>10000000445</v>
      </c>
      <c r="B864" s="3" t="s">
        <v>843</v>
      </c>
      <c r="C864" s="4">
        <f t="shared" ca="1" si="8"/>
        <v>45544</v>
      </c>
    </row>
    <row r="865" spans="1:3" x14ac:dyDescent="0.3">
      <c r="A865" s="42">
        <v>10000000567</v>
      </c>
      <c r="B865" s="3" t="s">
        <v>984</v>
      </c>
      <c r="C865" s="4">
        <f t="shared" ca="1" si="8"/>
        <v>45544</v>
      </c>
    </row>
    <row r="866" spans="1:3" x14ac:dyDescent="0.3">
      <c r="A866" s="42">
        <v>10000000649</v>
      </c>
      <c r="B866" s="3" t="s">
        <v>951</v>
      </c>
      <c r="C866" s="4">
        <f t="shared" ca="1" si="8"/>
        <v>45544</v>
      </c>
    </row>
    <row r="867" spans="1:3" x14ac:dyDescent="0.3">
      <c r="A867" s="42">
        <v>10000000167</v>
      </c>
      <c r="B867" s="3" t="s">
        <v>984</v>
      </c>
      <c r="C867" s="4">
        <f t="shared" ca="1" si="8"/>
        <v>45544</v>
      </c>
    </row>
    <row r="868" spans="1:3" x14ac:dyDescent="0.3">
      <c r="A868" s="42">
        <v>10000000260</v>
      </c>
      <c r="B868" s="3" t="s">
        <v>922</v>
      </c>
      <c r="C868" s="4">
        <f t="shared" ca="1" si="8"/>
        <v>45544</v>
      </c>
    </row>
    <row r="869" spans="1:3" x14ac:dyDescent="0.3">
      <c r="A869" s="42">
        <v>10000000176</v>
      </c>
      <c r="B869" s="3" t="s">
        <v>978</v>
      </c>
      <c r="C869" s="4">
        <f t="shared" ca="1" si="8"/>
        <v>45544</v>
      </c>
    </row>
    <row r="870" spans="1:3" x14ac:dyDescent="0.3">
      <c r="A870" s="42">
        <v>10000000254</v>
      </c>
      <c r="B870" s="3" t="s">
        <v>893</v>
      </c>
      <c r="C870" s="4">
        <f t="shared" ca="1" si="8"/>
        <v>45544</v>
      </c>
    </row>
    <row r="871" spans="1:3" x14ac:dyDescent="0.3">
      <c r="A871" s="42">
        <v>10000000321</v>
      </c>
      <c r="B871" s="3" t="s">
        <v>884</v>
      </c>
      <c r="C871" s="4">
        <f t="shared" ca="1" si="8"/>
        <v>45544</v>
      </c>
    </row>
    <row r="872" spans="1:3" x14ac:dyDescent="0.3">
      <c r="A872" s="42">
        <v>10000000110</v>
      </c>
      <c r="B872" s="3" t="s">
        <v>887</v>
      </c>
      <c r="C872" s="4">
        <f t="shared" ca="1" si="8"/>
        <v>45544</v>
      </c>
    </row>
    <row r="873" spans="1:3" x14ac:dyDescent="0.3">
      <c r="A873" s="42">
        <v>10000000172</v>
      </c>
      <c r="B873" s="3" t="s">
        <v>889</v>
      </c>
      <c r="C873" s="4">
        <f t="shared" ca="1" si="8"/>
        <v>45544</v>
      </c>
    </row>
    <row r="874" spans="1:3" x14ac:dyDescent="0.3">
      <c r="A874" s="42">
        <v>10000000523</v>
      </c>
      <c r="B874" s="3" t="s">
        <v>988</v>
      </c>
      <c r="C874" s="4">
        <f t="shared" ca="1" si="8"/>
        <v>45544</v>
      </c>
    </row>
    <row r="875" spans="1:3" x14ac:dyDescent="0.3">
      <c r="A875" s="42">
        <v>10000000645</v>
      </c>
      <c r="B875" s="3" t="s">
        <v>843</v>
      </c>
      <c r="C875" s="4">
        <f t="shared" ca="1" si="8"/>
        <v>45544</v>
      </c>
    </row>
    <row r="876" spans="1:3" x14ac:dyDescent="0.3">
      <c r="A876" s="42">
        <v>10000000692</v>
      </c>
      <c r="B876" s="3" t="s">
        <v>865</v>
      </c>
      <c r="C876" s="4">
        <f t="shared" ref="C876:C986" ca="1" si="9">TODAY()-462</f>
        <v>45575</v>
      </c>
    </row>
    <row r="877" spans="1:3" x14ac:dyDescent="0.3">
      <c r="A877" s="42">
        <v>10000000401</v>
      </c>
      <c r="B877" s="3" t="s">
        <v>1015</v>
      </c>
      <c r="C877" s="4">
        <f t="shared" ca="1" si="9"/>
        <v>45575</v>
      </c>
    </row>
    <row r="878" spans="1:3" x14ac:dyDescent="0.3">
      <c r="A878" s="42">
        <v>10000000459</v>
      </c>
      <c r="B878" s="3" t="s">
        <v>956</v>
      </c>
      <c r="C878" s="4">
        <f t="shared" ca="1" si="9"/>
        <v>45575</v>
      </c>
    </row>
    <row r="879" spans="1:3" x14ac:dyDescent="0.3">
      <c r="A879" s="42">
        <v>10000000466</v>
      </c>
      <c r="B879" s="3" t="s">
        <v>895</v>
      </c>
      <c r="C879" s="4">
        <f t="shared" ca="1" si="9"/>
        <v>45575</v>
      </c>
    </row>
    <row r="880" spans="1:3" x14ac:dyDescent="0.3">
      <c r="A880" s="42">
        <v>10000000476</v>
      </c>
      <c r="B880" s="3" t="s">
        <v>899</v>
      </c>
      <c r="C880" s="4">
        <f t="shared" ca="1" si="9"/>
        <v>45575</v>
      </c>
    </row>
    <row r="881" spans="1:3" x14ac:dyDescent="0.3">
      <c r="A881" s="42">
        <v>10000000141</v>
      </c>
      <c r="B881" s="3" t="s">
        <v>859</v>
      </c>
      <c r="C881" s="4">
        <f t="shared" ca="1" si="9"/>
        <v>45575</v>
      </c>
    </row>
    <row r="882" spans="1:3" x14ac:dyDescent="0.3">
      <c r="A882" s="42">
        <v>10000000354</v>
      </c>
      <c r="B882" s="3" t="s">
        <v>840</v>
      </c>
      <c r="C882" s="4">
        <f t="shared" ca="1" si="9"/>
        <v>45575</v>
      </c>
    </row>
    <row r="883" spans="1:3" x14ac:dyDescent="0.3">
      <c r="A883" s="42">
        <v>10000000209</v>
      </c>
      <c r="B883" s="3" t="s">
        <v>919</v>
      </c>
      <c r="C883" s="4">
        <f t="shared" ca="1" si="9"/>
        <v>45575</v>
      </c>
    </row>
    <row r="884" spans="1:3" x14ac:dyDescent="0.3">
      <c r="A884" s="42">
        <v>10000000401</v>
      </c>
      <c r="B884" s="3" t="s">
        <v>1015</v>
      </c>
      <c r="C884" s="4">
        <f t="shared" ca="1" si="9"/>
        <v>45575</v>
      </c>
    </row>
    <row r="885" spans="1:3" x14ac:dyDescent="0.3">
      <c r="A885" s="42">
        <v>10000000494</v>
      </c>
      <c r="B885" s="3" t="s">
        <v>948</v>
      </c>
      <c r="C885" s="4">
        <f t="shared" ca="1" si="9"/>
        <v>45575</v>
      </c>
    </row>
    <row r="886" spans="1:3" x14ac:dyDescent="0.3">
      <c r="A886" s="42">
        <v>10000000688</v>
      </c>
      <c r="B886" s="3" t="s">
        <v>986</v>
      </c>
      <c r="C886" s="4">
        <f t="shared" ca="1" si="9"/>
        <v>45575</v>
      </c>
    </row>
    <row r="887" spans="1:3" x14ac:dyDescent="0.3">
      <c r="A887" s="42">
        <v>10000000258</v>
      </c>
      <c r="B887" s="3" t="s">
        <v>935</v>
      </c>
      <c r="C887" s="4">
        <f t="shared" ca="1" si="9"/>
        <v>45575</v>
      </c>
    </row>
    <row r="888" spans="1:3" x14ac:dyDescent="0.3">
      <c r="A888" s="42">
        <v>10000000686</v>
      </c>
      <c r="B888" s="3" t="s">
        <v>875</v>
      </c>
      <c r="C888" s="4">
        <f t="shared" ca="1" si="9"/>
        <v>45575</v>
      </c>
    </row>
    <row r="889" spans="1:3" x14ac:dyDescent="0.3">
      <c r="A889" s="42">
        <v>10000000277</v>
      </c>
      <c r="B889" s="3" t="s">
        <v>971</v>
      </c>
      <c r="C889" s="4">
        <f t="shared" ca="1" si="9"/>
        <v>45575</v>
      </c>
    </row>
    <row r="890" spans="1:3" x14ac:dyDescent="0.3">
      <c r="A890" s="42">
        <v>10000000028</v>
      </c>
      <c r="B890" s="3" t="s">
        <v>960</v>
      </c>
      <c r="C890" s="4">
        <f t="shared" ca="1" si="9"/>
        <v>45575</v>
      </c>
    </row>
    <row r="891" spans="1:3" x14ac:dyDescent="0.3">
      <c r="A891" s="42">
        <v>10000000442</v>
      </c>
      <c r="B891" s="3" t="s">
        <v>849</v>
      </c>
      <c r="C891" s="4">
        <f t="shared" ca="1" si="9"/>
        <v>45575</v>
      </c>
    </row>
    <row r="892" spans="1:3" x14ac:dyDescent="0.3">
      <c r="A892" s="42">
        <v>10000000592</v>
      </c>
      <c r="B892" s="3" t="s">
        <v>934</v>
      </c>
      <c r="C892" s="4">
        <f t="shared" ca="1" si="9"/>
        <v>45575</v>
      </c>
    </row>
    <row r="893" spans="1:3" x14ac:dyDescent="0.3">
      <c r="A893" s="42">
        <v>10000000575</v>
      </c>
      <c r="B893" s="3" t="s">
        <v>943</v>
      </c>
      <c r="C893" s="4">
        <f t="shared" ca="1" si="9"/>
        <v>45575</v>
      </c>
    </row>
    <row r="894" spans="1:3" x14ac:dyDescent="0.3">
      <c r="A894" s="42">
        <v>10000000588</v>
      </c>
      <c r="B894" s="3" t="s">
        <v>954</v>
      </c>
      <c r="C894" s="4">
        <f t="shared" ca="1" si="9"/>
        <v>45575</v>
      </c>
    </row>
    <row r="895" spans="1:3" x14ac:dyDescent="0.3">
      <c r="A895" s="42">
        <v>10000000379</v>
      </c>
      <c r="B895" s="3" t="s">
        <v>907</v>
      </c>
      <c r="C895" s="4">
        <f t="shared" ca="1" si="9"/>
        <v>45575</v>
      </c>
    </row>
    <row r="896" spans="1:3" x14ac:dyDescent="0.3">
      <c r="A896" s="42">
        <v>10000000065</v>
      </c>
      <c r="B896" s="3" t="s">
        <v>961</v>
      </c>
      <c r="C896" s="4">
        <f t="shared" ca="1" si="9"/>
        <v>45575</v>
      </c>
    </row>
    <row r="897" spans="1:3" x14ac:dyDescent="0.3">
      <c r="A897" s="42">
        <v>10000000666</v>
      </c>
      <c r="B897" s="3" t="s">
        <v>895</v>
      </c>
      <c r="C897" s="4">
        <f t="shared" ca="1" si="9"/>
        <v>45575</v>
      </c>
    </row>
    <row r="898" spans="1:3" x14ac:dyDescent="0.3">
      <c r="A898" s="42">
        <v>10000000303</v>
      </c>
      <c r="B898" s="3" t="s">
        <v>853</v>
      </c>
      <c r="C898" s="4">
        <f t="shared" ca="1" si="9"/>
        <v>45575</v>
      </c>
    </row>
    <row r="899" spans="1:3" x14ac:dyDescent="0.3">
      <c r="A899" s="42">
        <v>10000000446</v>
      </c>
      <c r="B899" s="3" t="s">
        <v>930</v>
      </c>
      <c r="C899" s="4">
        <f t="shared" ca="1" si="9"/>
        <v>45575</v>
      </c>
    </row>
    <row r="900" spans="1:3" x14ac:dyDescent="0.3">
      <c r="A900" s="42">
        <v>10000000471</v>
      </c>
      <c r="B900" s="3" t="s">
        <v>882</v>
      </c>
      <c r="C900" s="4">
        <f t="shared" ca="1" si="9"/>
        <v>45575</v>
      </c>
    </row>
    <row r="901" spans="1:3" x14ac:dyDescent="0.3">
      <c r="A901" s="42">
        <v>10000000450</v>
      </c>
      <c r="B901" s="3" t="s">
        <v>928</v>
      </c>
      <c r="C901" s="4">
        <f t="shared" ca="1" si="9"/>
        <v>45575</v>
      </c>
    </row>
    <row r="902" spans="1:3" x14ac:dyDescent="0.3">
      <c r="A902" s="42">
        <v>10000000271</v>
      </c>
      <c r="B902" s="3" t="s">
        <v>882</v>
      </c>
      <c r="C902" s="4">
        <f t="shared" ca="1" si="9"/>
        <v>45575</v>
      </c>
    </row>
    <row r="903" spans="1:3" x14ac:dyDescent="0.3">
      <c r="A903" s="42">
        <v>10000000310</v>
      </c>
      <c r="B903" s="3" t="s">
        <v>887</v>
      </c>
      <c r="C903" s="4">
        <f t="shared" ca="1" si="9"/>
        <v>45575</v>
      </c>
    </row>
    <row r="904" spans="1:3" x14ac:dyDescent="0.3">
      <c r="A904" s="42">
        <v>10000000152</v>
      </c>
      <c r="B904" s="3" t="s">
        <v>927</v>
      </c>
      <c r="C904" s="4">
        <f t="shared" ca="1" si="9"/>
        <v>45575</v>
      </c>
    </row>
    <row r="905" spans="1:3" x14ac:dyDescent="0.3">
      <c r="A905" s="42">
        <v>10000000327</v>
      </c>
      <c r="B905" s="3" t="s">
        <v>959</v>
      </c>
      <c r="C905" s="4">
        <f t="shared" ca="1" si="9"/>
        <v>45575</v>
      </c>
    </row>
    <row r="906" spans="1:3" x14ac:dyDescent="0.3">
      <c r="A906" s="42">
        <v>10000000159</v>
      </c>
      <c r="B906" s="3" t="s">
        <v>998</v>
      </c>
      <c r="C906" s="4">
        <f t="shared" ca="1" si="9"/>
        <v>45575</v>
      </c>
    </row>
    <row r="907" spans="1:3" x14ac:dyDescent="0.3">
      <c r="A907" s="42">
        <v>10000000186</v>
      </c>
      <c r="B907" s="3" t="s">
        <v>980</v>
      </c>
      <c r="C907" s="4">
        <f t="shared" ca="1" si="9"/>
        <v>45575</v>
      </c>
    </row>
    <row r="908" spans="1:3" x14ac:dyDescent="0.3">
      <c r="A908" s="42">
        <v>10000000124</v>
      </c>
      <c r="B908" s="3" t="s">
        <v>897</v>
      </c>
      <c r="C908" s="4">
        <f t="shared" ca="1" si="9"/>
        <v>45575</v>
      </c>
    </row>
    <row r="909" spans="1:3" x14ac:dyDescent="0.3">
      <c r="A909" s="42">
        <v>10000000040</v>
      </c>
      <c r="B909" s="3" t="s">
        <v>878</v>
      </c>
      <c r="C909" s="4">
        <f t="shared" ca="1" si="9"/>
        <v>45575</v>
      </c>
    </row>
    <row r="910" spans="1:3" x14ac:dyDescent="0.3">
      <c r="A910" s="42">
        <v>10000000356</v>
      </c>
      <c r="B910" s="3" t="s">
        <v>912</v>
      </c>
      <c r="C910" s="4">
        <f t="shared" ca="1" si="9"/>
        <v>45575</v>
      </c>
    </row>
    <row r="911" spans="1:3" x14ac:dyDescent="0.3">
      <c r="A911" s="42">
        <v>10000000029</v>
      </c>
      <c r="B911" s="3" t="s">
        <v>898</v>
      </c>
      <c r="C911" s="4">
        <f t="shared" ca="1" si="9"/>
        <v>45575</v>
      </c>
    </row>
    <row r="912" spans="1:3" x14ac:dyDescent="0.3">
      <c r="A912" s="42">
        <v>10000000511</v>
      </c>
      <c r="B912" s="3" t="s">
        <v>1017</v>
      </c>
      <c r="C912" s="4">
        <f t="shared" ca="1" si="9"/>
        <v>45575</v>
      </c>
    </row>
    <row r="913" spans="1:3" x14ac:dyDescent="0.3">
      <c r="A913" s="42">
        <v>10000000120</v>
      </c>
      <c r="B913" s="3" t="s">
        <v>979</v>
      </c>
      <c r="C913" s="4">
        <f t="shared" ca="1" si="9"/>
        <v>45575</v>
      </c>
    </row>
    <row r="914" spans="1:3" x14ac:dyDescent="0.3">
      <c r="A914" s="42">
        <v>10000000319</v>
      </c>
      <c r="B914" s="3" t="s">
        <v>1003</v>
      </c>
      <c r="C914" s="4">
        <f t="shared" ca="1" si="9"/>
        <v>45575</v>
      </c>
    </row>
    <row r="915" spans="1:3" x14ac:dyDescent="0.3">
      <c r="A915" s="42">
        <v>10000000279</v>
      </c>
      <c r="B915" s="3" t="s">
        <v>901</v>
      </c>
      <c r="C915" s="4">
        <f t="shared" ca="1" si="9"/>
        <v>45575</v>
      </c>
    </row>
    <row r="916" spans="1:3" x14ac:dyDescent="0.3">
      <c r="A916" s="42">
        <v>10000000420</v>
      </c>
      <c r="B916" s="3" t="s">
        <v>851</v>
      </c>
      <c r="C916" s="4">
        <f t="shared" ca="1" si="9"/>
        <v>45575</v>
      </c>
    </row>
    <row r="917" spans="1:3" x14ac:dyDescent="0.3">
      <c r="A917" s="42">
        <v>10000000572</v>
      </c>
      <c r="B917" s="3" t="s">
        <v>889</v>
      </c>
      <c r="C917" s="4">
        <f t="shared" ca="1" si="9"/>
        <v>45575</v>
      </c>
    </row>
    <row r="918" spans="1:3" x14ac:dyDescent="0.3">
      <c r="A918" s="42">
        <v>10000000367</v>
      </c>
      <c r="B918" s="3" t="s">
        <v>984</v>
      </c>
      <c r="C918" s="4">
        <f t="shared" ca="1" si="9"/>
        <v>45575</v>
      </c>
    </row>
    <row r="919" spans="1:3" x14ac:dyDescent="0.3">
      <c r="A919" s="42">
        <v>10000000313</v>
      </c>
      <c r="B919" s="3" t="s">
        <v>883</v>
      </c>
      <c r="C919" s="4">
        <f t="shared" ca="1" si="9"/>
        <v>45575</v>
      </c>
    </row>
    <row r="920" spans="1:3" x14ac:dyDescent="0.3">
      <c r="A920" s="42">
        <v>10000000185</v>
      </c>
      <c r="B920" s="3" t="s">
        <v>989</v>
      </c>
      <c r="C920" s="4">
        <f t="shared" ca="1" si="9"/>
        <v>45575</v>
      </c>
    </row>
    <row r="921" spans="1:3" x14ac:dyDescent="0.3">
      <c r="A921" s="42">
        <v>10000000222</v>
      </c>
      <c r="B921" s="3" t="s">
        <v>871</v>
      </c>
      <c r="C921" s="4">
        <f t="shared" ca="1" si="9"/>
        <v>45575</v>
      </c>
    </row>
    <row r="922" spans="1:3" x14ac:dyDescent="0.3">
      <c r="A922" s="42">
        <v>10000000457</v>
      </c>
      <c r="B922" s="3" t="s">
        <v>966</v>
      </c>
      <c r="C922" s="4">
        <f t="shared" ca="1" si="9"/>
        <v>45575</v>
      </c>
    </row>
    <row r="923" spans="1:3" x14ac:dyDescent="0.3">
      <c r="A923" s="42">
        <v>10000000414</v>
      </c>
      <c r="B923" s="3" t="s">
        <v>857</v>
      </c>
      <c r="C923" s="4">
        <f t="shared" ca="1" si="9"/>
        <v>45575</v>
      </c>
    </row>
    <row r="924" spans="1:3" x14ac:dyDescent="0.3">
      <c r="A924" s="42">
        <v>10000000241</v>
      </c>
      <c r="B924" s="3" t="s">
        <v>1013</v>
      </c>
      <c r="C924" s="4">
        <f t="shared" ca="1" si="9"/>
        <v>45575</v>
      </c>
    </row>
    <row r="925" spans="1:3" x14ac:dyDescent="0.3">
      <c r="A925" s="42">
        <v>10000000131</v>
      </c>
      <c r="B925" s="3" t="s">
        <v>945</v>
      </c>
      <c r="C925" s="4">
        <f t="shared" ca="1" si="9"/>
        <v>45575</v>
      </c>
    </row>
    <row r="926" spans="1:3" x14ac:dyDescent="0.3">
      <c r="A926" s="42">
        <v>10000000051</v>
      </c>
      <c r="B926" s="3" t="s">
        <v>973</v>
      </c>
      <c r="C926" s="4">
        <f t="shared" ca="1" si="9"/>
        <v>45575</v>
      </c>
    </row>
    <row r="927" spans="1:3" x14ac:dyDescent="0.3">
      <c r="A927" s="42">
        <v>10000000673</v>
      </c>
      <c r="B927" s="3" t="s">
        <v>941</v>
      </c>
      <c r="C927" s="4">
        <f t="shared" ca="1" si="9"/>
        <v>45575</v>
      </c>
    </row>
    <row r="928" spans="1:3" x14ac:dyDescent="0.3">
      <c r="A928" s="42">
        <v>10000000009</v>
      </c>
      <c r="B928" s="3" t="s">
        <v>919</v>
      </c>
      <c r="C928" s="4">
        <f t="shared" ca="1" si="9"/>
        <v>45575</v>
      </c>
    </row>
    <row r="929" spans="1:3" x14ac:dyDescent="0.3">
      <c r="A929" s="42">
        <v>10000000122</v>
      </c>
      <c r="B929" s="3" t="s">
        <v>824</v>
      </c>
      <c r="C929" s="4">
        <f t="shared" ca="1" si="9"/>
        <v>45575</v>
      </c>
    </row>
    <row r="930" spans="1:3" x14ac:dyDescent="0.3">
      <c r="A930" s="42">
        <v>10000000382</v>
      </c>
      <c r="B930" s="3" t="s">
        <v>955</v>
      </c>
      <c r="C930" s="4">
        <f t="shared" ca="1" si="9"/>
        <v>45575</v>
      </c>
    </row>
    <row r="931" spans="1:3" x14ac:dyDescent="0.3">
      <c r="A931" s="42">
        <v>10000000375</v>
      </c>
      <c r="B931" s="3" t="s">
        <v>943</v>
      </c>
      <c r="C931" s="4">
        <f t="shared" ca="1" si="9"/>
        <v>45575</v>
      </c>
    </row>
    <row r="932" spans="1:3" x14ac:dyDescent="0.3">
      <c r="A932" s="42">
        <v>10000000657</v>
      </c>
      <c r="B932" s="3" t="s">
        <v>966</v>
      </c>
      <c r="C932" s="4">
        <f t="shared" ca="1" si="9"/>
        <v>45575</v>
      </c>
    </row>
    <row r="933" spans="1:3" x14ac:dyDescent="0.3">
      <c r="A933" s="42">
        <v>10000000693</v>
      </c>
      <c r="B933" s="3" t="s">
        <v>969</v>
      </c>
      <c r="C933" s="4">
        <f t="shared" ca="1" si="9"/>
        <v>45575</v>
      </c>
    </row>
    <row r="934" spans="1:3" x14ac:dyDescent="0.3">
      <c r="A934" s="42">
        <v>10000000429</v>
      </c>
      <c r="B934" s="3" t="s">
        <v>898</v>
      </c>
      <c r="C934" s="4">
        <f t="shared" ca="1" si="9"/>
        <v>45575</v>
      </c>
    </row>
    <row r="935" spans="1:3" x14ac:dyDescent="0.3">
      <c r="A935" s="42">
        <v>10000000210</v>
      </c>
      <c r="B935" s="3" t="s">
        <v>920</v>
      </c>
      <c r="C935" s="4">
        <f t="shared" ca="1" si="9"/>
        <v>45575</v>
      </c>
    </row>
    <row r="936" spans="1:3" x14ac:dyDescent="0.3">
      <c r="A936" s="42">
        <v>10000000609</v>
      </c>
      <c r="B936" s="3" t="s">
        <v>919</v>
      </c>
      <c r="C936" s="4">
        <f t="shared" ca="1" si="9"/>
        <v>45575</v>
      </c>
    </row>
    <row r="937" spans="1:3" x14ac:dyDescent="0.3">
      <c r="A937" s="42">
        <v>10000000541</v>
      </c>
      <c r="B937" s="3" t="s">
        <v>859</v>
      </c>
      <c r="C937" s="4">
        <f t="shared" ca="1" si="9"/>
        <v>45575</v>
      </c>
    </row>
    <row r="938" spans="1:3" x14ac:dyDescent="0.3">
      <c r="A938" s="42">
        <v>10000000060</v>
      </c>
      <c r="B938" s="3" t="s">
        <v>922</v>
      </c>
      <c r="C938" s="4">
        <f t="shared" ca="1" si="9"/>
        <v>45575</v>
      </c>
    </row>
    <row r="939" spans="1:3" x14ac:dyDescent="0.3">
      <c r="A939" s="42">
        <v>10000000575</v>
      </c>
      <c r="B939" s="3" t="s">
        <v>943</v>
      </c>
      <c r="C939" s="4">
        <f t="shared" ca="1" si="9"/>
        <v>45575</v>
      </c>
    </row>
    <row r="940" spans="1:3" x14ac:dyDescent="0.3">
      <c r="A940" s="42">
        <v>10000000611</v>
      </c>
      <c r="B940" s="3" t="s">
        <v>1005</v>
      </c>
      <c r="C940" s="4">
        <f t="shared" ca="1" si="9"/>
        <v>45575</v>
      </c>
    </row>
    <row r="941" spans="1:3" x14ac:dyDescent="0.3">
      <c r="A941" s="42">
        <v>10000000083</v>
      </c>
      <c r="B941" s="3" t="s">
        <v>958</v>
      </c>
      <c r="C941" s="4">
        <f t="shared" ca="1" si="9"/>
        <v>45575</v>
      </c>
    </row>
    <row r="942" spans="1:3" x14ac:dyDescent="0.3">
      <c r="A942" s="42">
        <v>10000000082</v>
      </c>
      <c r="B942" s="3" t="s">
        <v>861</v>
      </c>
      <c r="C942" s="4">
        <f t="shared" ca="1" si="9"/>
        <v>45575</v>
      </c>
    </row>
    <row r="943" spans="1:3" x14ac:dyDescent="0.3">
      <c r="A943" s="42">
        <v>10000000063</v>
      </c>
      <c r="B943" s="3" t="s">
        <v>1008</v>
      </c>
      <c r="C943" s="4">
        <f t="shared" ca="1" si="9"/>
        <v>45575</v>
      </c>
    </row>
    <row r="944" spans="1:3" x14ac:dyDescent="0.3">
      <c r="A944" s="42">
        <v>10000000491</v>
      </c>
      <c r="B944" s="3" t="s">
        <v>864</v>
      </c>
      <c r="C944" s="4">
        <f t="shared" ca="1" si="9"/>
        <v>45575</v>
      </c>
    </row>
    <row r="945" spans="1:3" x14ac:dyDescent="0.3">
      <c r="A945" s="42">
        <v>10000000597</v>
      </c>
      <c r="B945" s="3" t="s">
        <v>1001</v>
      </c>
      <c r="C945" s="4">
        <f t="shared" ca="1" si="9"/>
        <v>45575</v>
      </c>
    </row>
    <row r="946" spans="1:3" x14ac:dyDescent="0.3">
      <c r="A946" s="42">
        <v>10000000176</v>
      </c>
      <c r="B946" s="3" t="s">
        <v>978</v>
      </c>
      <c r="C946" s="4">
        <f t="shared" ca="1" si="9"/>
        <v>45575</v>
      </c>
    </row>
    <row r="947" spans="1:3" x14ac:dyDescent="0.3">
      <c r="A947" s="42">
        <v>10000000449</v>
      </c>
      <c r="B947" s="3" t="s">
        <v>951</v>
      </c>
      <c r="C947" s="4">
        <f t="shared" ca="1" si="9"/>
        <v>45575</v>
      </c>
    </row>
    <row r="948" spans="1:3" x14ac:dyDescent="0.3">
      <c r="A948" s="42">
        <v>10000000411</v>
      </c>
      <c r="B948" s="3" t="s">
        <v>1005</v>
      </c>
      <c r="C948" s="4">
        <f t="shared" ca="1" si="9"/>
        <v>45575</v>
      </c>
    </row>
    <row r="949" spans="1:3" x14ac:dyDescent="0.3">
      <c r="A949" s="42">
        <v>10000000112</v>
      </c>
      <c r="B949" s="3" t="s">
        <v>938</v>
      </c>
      <c r="C949" s="4">
        <f t="shared" ca="1" si="9"/>
        <v>45575</v>
      </c>
    </row>
    <row r="950" spans="1:3" x14ac:dyDescent="0.3">
      <c r="A950" s="42">
        <v>10000000419</v>
      </c>
      <c r="B950" s="3" t="s">
        <v>975</v>
      </c>
      <c r="C950" s="4">
        <f t="shared" ca="1" si="9"/>
        <v>45575</v>
      </c>
    </row>
    <row r="951" spans="1:3" x14ac:dyDescent="0.3">
      <c r="A951" s="42">
        <v>10000000508</v>
      </c>
      <c r="B951" s="3" t="s">
        <v>993</v>
      </c>
      <c r="C951" s="4">
        <f t="shared" ca="1" si="9"/>
        <v>45575</v>
      </c>
    </row>
    <row r="952" spans="1:3" x14ac:dyDescent="0.3">
      <c r="A952" s="42">
        <v>10000000008</v>
      </c>
      <c r="B952" s="3" t="s">
        <v>933</v>
      </c>
      <c r="C952" s="4">
        <f t="shared" ca="1" si="9"/>
        <v>45575</v>
      </c>
    </row>
    <row r="953" spans="1:3" x14ac:dyDescent="0.3">
      <c r="A953" s="42">
        <v>10000000005</v>
      </c>
      <c r="B953" s="3" t="s">
        <v>855</v>
      </c>
      <c r="C953" s="4">
        <f t="shared" ca="1" si="9"/>
        <v>45575</v>
      </c>
    </row>
    <row r="954" spans="1:3" x14ac:dyDescent="0.3">
      <c r="A954" s="42">
        <v>10000000615</v>
      </c>
      <c r="B954" s="3" t="s">
        <v>913</v>
      </c>
      <c r="C954" s="4">
        <f t="shared" ca="1" si="9"/>
        <v>45575</v>
      </c>
    </row>
    <row r="955" spans="1:3" x14ac:dyDescent="0.3">
      <c r="A955" s="42">
        <v>10000000323</v>
      </c>
      <c r="B955" s="3" t="s">
        <v>988</v>
      </c>
      <c r="C955" s="4">
        <f t="shared" ca="1" si="9"/>
        <v>45575</v>
      </c>
    </row>
    <row r="956" spans="1:3" x14ac:dyDescent="0.3">
      <c r="A956" s="42">
        <v>10000000338</v>
      </c>
      <c r="B956" s="3" t="s">
        <v>950</v>
      </c>
      <c r="C956" s="4">
        <f t="shared" ca="1" si="9"/>
        <v>45575</v>
      </c>
    </row>
    <row r="957" spans="1:3" x14ac:dyDescent="0.3">
      <c r="A957" s="42">
        <v>10000000462</v>
      </c>
      <c r="B957" s="3" t="s">
        <v>863</v>
      </c>
      <c r="C957" s="4">
        <f t="shared" ca="1" si="9"/>
        <v>45575</v>
      </c>
    </row>
    <row r="958" spans="1:3" x14ac:dyDescent="0.3">
      <c r="A958" s="42">
        <v>10000000488</v>
      </c>
      <c r="B958" s="3" t="s">
        <v>986</v>
      </c>
      <c r="C958" s="4">
        <f t="shared" ca="1" si="9"/>
        <v>45575</v>
      </c>
    </row>
    <row r="959" spans="1:3" x14ac:dyDescent="0.3">
      <c r="A959" s="42">
        <v>10000000647</v>
      </c>
      <c r="B959" s="3" t="s">
        <v>967</v>
      </c>
      <c r="C959" s="4">
        <f t="shared" ca="1" si="9"/>
        <v>45575</v>
      </c>
    </row>
    <row r="960" spans="1:3" x14ac:dyDescent="0.3">
      <c r="A960" s="42">
        <v>10000000195</v>
      </c>
      <c r="B960" s="3" t="s">
        <v>894</v>
      </c>
      <c r="C960" s="4">
        <f t="shared" ca="1" si="9"/>
        <v>45575</v>
      </c>
    </row>
    <row r="961" spans="1:3" x14ac:dyDescent="0.3">
      <c r="A961" s="42">
        <v>10000000217</v>
      </c>
      <c r="B961" s="3" t="s">
        <v>832</v>
      </c>
      <c r="C961" s="4">
        <f t="shared" ca="1" si="9"/>
        <v>45575</v>
      </c>
    </row>
    <row r="962" spans="1:3" x14ac:dyDescent="0.3">
      <c r="A962" s="42">
        <v>10000000152</v>
      </c>
      <c r="B962" s="3" t="s">
        <v>927</v>
      </c>
      <c r="C962" s="4">
        <f t="shared" ca="1" si="9"/>
        <v>45575</v>
      </c>
    </row>
    <row r="963" spans="1:3" x14ac:dyDescent="0.3">
      <c r="A963" s="42">
        <v>10000000225</v>
      </c>
      <c r="B963" s="3" t="s">
        <v>872</v>
      </c>
      <c r="C963" s="4">
        <f t="shared" ca="1" si="9"/>
        <v>45575</v>
      </c>
    </row>
    <row r="964" spans="1:3" x14ac:dyDescent="0.3">
      <c r="A964" s="42">
        <v>10000000622</v>
      </c>
      <c r="B964" s="3" t="s">
        <v>871</v>
      </c>
      <c r="C964" s="4">
        <f t="shared" ca="1" si="9"/>
        <v>45575</v>
      </c>
    </row>
    <row r="965" spans="1:3" x14ac:dyDescent="0.3">
      <c r="A965" s="42">
        <v>10000000364</v>
      </c>
      <c r="B965" s="3" t="s">
        <v>869</v>
      </c>
      <c r="C965" s="4">
        <f t="shared" ca="1" si="9"/>
        <v>45575</v>
      </c>
    </row>
    <row r="966" spans="1:3" x14ac:dyDescent="0.3">
      <c r="A966" s="42">
        <v>10000000441</v>
      </c>
      <c r="B966" s="3" t="s">
        <v>1013</v>
      </c>
      <c r="C966" s="4">
        <f t="shared" ca="1" si="9"/>
        <v>45575</v>
      </c>
    </row>
    <row r="967" spans="1:3" x14ac:dyDescent="0.3">
      <c r="A967" s="42">
        <v>10000000625</v>
      </c>
      <c r="B967" s="3" t="s">
        <v>872</v>
      </c>
      <c r="C967" s="4">
        <f t="shared" ca="1" si="9"/>
        <v>45575</v>
      </c>
    </row>
    <row r="968" spans="1:3" x14ac:dyDescent="0.3">
      <c r="A968" s="42">
        <v>10000000191</v>
      </c>
      <c r="B968" s="3" t="s">
        <v>987</v>
      </c>
      <c r="C968" s="4">
        <f t="shared" ca="1" si="9"/>
        <v>45575</v>
      </c>
    </row>
    <row r="969" spans="1:3" x14ac:dyDescent="0.3">
      <c r="A969" s="42">
        <v>10000000582</v>
      </c>
      <c r="B969" s="3" t="s">
        <v>955</v>
      </c>
      <c r="C969" s="4">
        <f t="shared" ca="1" si="9"/>
        <v>45575</v>
      </c>
    </row>
    <row r="970" spans="1:3" x14ac:dyDescent="0.3">
      <c r="A970" s="42">
        <v>10000000340</v>
      </c>
      <c r="B970" s="3" t="s">
        <v>996</v>
      </c>
      <c r="C970" s="4">
        <f t="shared" ca="1" si="9"/>
        <v>45575</v>
      </c>
    </row>
    <row r="971" spans="1:3" x14ac:dyDescent="0.3">
      <c r="A971" s="42">
        <v>10000000419</v>
      </c>
      <c r="B971" s="3" t="s">
        <v>975</v>
      </c>
      <c r="C971" s="4">
        <f t="shared" ca="1" si="9"/>
        <v>45575</v>
      </c>
    </row>
    <row r="972" spans="1:3" x14ac:dyDescent="0.3">
      <c r="A972" s="42">
        <v>10000000490</v>
      </c>
      <c r="B972" s="3" t="s">
        <v>848</v>
      </c>
      <c r="C972" s="4">
        <f t="shared" ca="1" si="9"/>
        <v>45575</v>
      </c>
    </row>
    <row r="973" spans="1:3" x14ac:dyDescent="0.3">
      <c r="A973" s="42">
        <v>10000000634</v>
      </c>
      <c r="B973" s="3" t="s">
        <v>910</v>
      </c>
      <c r="C973" s="4">
        <f t="shared" ca="1" si="9"/>
        <v>45575</v>
      </c>
    </row>
    <row r="974" spans="1:3" x14ac:dyDescent="0.3">
      <c r="A974" s="42">
        <v>10000000087</v>
      </c>
      <c r="B974" s="3" t="s">
        <v>904</v>
      </c>
      <c r="C974" s="4">
        <f t="shared" ca="1" si="9"/>
        <v>45575</v>
      </c>
    </row>
    <row r="975" spans="1:3" x14ac:dyDescent="0.3">
      <c r="A975" s="42">
        <v>10000000053</v>
      </c>
      <c r="B975" s="3" t="s">
        <v>822</v>
      </c>
      <c r="C975" s="4">
        <f t="shared" ca="1" si="9"/>
        <v>45575</v>
      </c>
    </row>
    <row r="976" spans="1:3" x14ac:dyDescent="0.3">
      <c r="A976" s="42">
        <v>10000000076</v>
      </c>
      <c r="B976" s="3" t="s">
        <v>899</v>
      </c>
      <c r="C976" s="4">
        <f t="shared" ca="1" si="9"/>
        <v>45575</v>
      </c>
    </row>
    <row r="977" spans="1:3" x14ac:dyDescent="0.3">
      <c r="A977" s="42">
        <v>10000000422</v>
      </c>
      <c r="B977" s="3" t="s">
        <v>871</v>
      </c>
      <c r="C977" s="4">
        <f t="shared" ca="1" si="9"/>
        <v>45575</v>
      </c>
    </row>
    <row r="978" spans="1:3" x14ac:dyDescent="0.3">
      <c r="A978" s="42">
        <v>10000000313</v>
      </c>
      <c r="B978" s="3" t="s">
        <v>883</v>
      </c>
      <c r="C978" s="4">
        <f t="shared" ca="1" si="9"/>
        <v>45575</v>
      </c>
    </row>
    <row r="979" spans="1:3" x14ac:dyDescent="0.3">
      <c r="A979" s="42">
        <v>10000000548</v>
      </c>
      <c r="B979" s="3" t="s">
        <v>829</v>
      </c>
      <c r="C979" s="4">
        <f t="shared" ca="1" si="9"/>
        <v>45575</v>
      </c>
    </row>
    <row r="980" spans="1:3" x14ac:dyDescent="0.3">
      <c r="A980" s="42">
        <v>10000000391</v>
      </c>
      <c r="B980" s="3" t="s">
        <v>987</v>
      </c>
      <c r="C980" s="4">
        <f t="shared" ca="1" si="9"/>
        <v>45575</v>
      </c>
    </row>
    <row r="981" spans="1:3" x14ac:dyDescent="0.3">
      <c r="A981" s="42">
        <v>10000000197</v>
      </c>
      <c r="B981" s="3" t="s">
        <v>1001</v>
      </c>
      <c r="C981" s="4">
        <f t="shared" ca="1" si="9"/>
        <v>45575</v>
      </c>
    </row>
    <row r="982" spans="1:3" x14ac:dyDescent="0.3">
      <c r="A982" s="42">
        <v>10000000395</v>
      </c>
      <c r="B982" s="3" t="s">
        <v>894</v>
      </c>
      <c r="C982" s="4">
        <f t="shared" ca="1" si="9"/>
        <v>45575</v>
      </c>
    </row>
    <row r="983" spans="1:3" x14ac:dyDescent="0.3">
      <c r="A983" s="42">
        <v>10000000068</v>
      </c>
      <c r="B983" s="3" t="s">
        <v>916</v>
      </c>
      <c r="C983" s="4">
        <f t="shared" ca="1" si="9"/>
        <v>45575</v>
      </c>
    </row>
    <row r="984" spans="1:3" x14ac:dyDescent="0.3">
      <c r="A984" s="42">
        <v>10000000507</v>
      </c>
      <c r="B984" s="3" t="s">
        <v>906</v>
      </c>
      <c r="C984" s="4">
        <f t="shared" ca="1" si="9"/>
        <v>45575</v>
      </c>
    </row>
    <row r="985" spans="1:3" x14ac:dyDescent="0.3">
      <c r="A985" s="42">
        <v>10000000441</v>
      </c>
      <c r="B985" s="3" t="s">
        <v>1013</v>
      </c>
      <c r="C985" s="4">
        <f t="shared" ca="1" si="9"/>
        <v>45575</v>
      </c>
    </row>
    <row r="986" spans="1:3" x14ac:dyDescent="0.3">
      <c r="A986" s="42">
        <v>10000000263</v>
      </c>
      <c r="B986" s="3" t="s">
        <v>1008</v>
      </c>
      <c r="C986" s="4">
        <f t="shared" ca="1" si="9"/>
        <v>45575</v>
      </c>
    </row>
    <row r="987" spans="1:3" x14ac:dyDescent="0.3">
      <c r="A987" s="42">
        <v>10000000361</v>
      </c>
      <c r="B987" s="3" t="s">
        <v>977</v>
      </c>
      <c r="C987" s="4">
        <f t="shared" ref="C987:C1100" ca="1" si="10">TODAY()-431</f>
        <v>45606</v>
      </c>
    </row>
    <row r="988" spans="1:3" x14ac:dyDescent="0.3">
      <c r="A988" s="42">
        <v>10000000266</v>
      </c>
      <c r="B988" s="3" t="s">
        <v>895</v>
      </c>
      <c r="C988" s="4">
        <f t="shared" ca="1" si="10"/>
        <v>45606</v>
      </c>
    </row>
    <row r="989" spans="1:3" x14ac:dyDescent="0.3">
      <c r="A989" s="42">
        <v>10000000326</v>
      </c>
      <c r="B989" s="3" t="s">
        <v>985</v>
      </c>
      <c r="C989" s="4">
        <f t="shared" ca="1" si="10"/>
        <v>45606</v>
      </c>
    </row>
    <row r="990" spans="1:3" x14ac:dyDescent="0.3">
      <c r="A990" s="42">
        <v>10000000058</v>
      </c>
      <c r="B990" s="3" t="s">
        <v>935</v>
      </c>
      <c r="C990" s="4">
        <f t="shared" ca="1" si="10"/>
        <v>45606</v>
      </c>
    </row>
    <row r="991" spans="1:3" x14ac:dyDescent="0.3">
      <c r="A991" s="42">
        <v>10000000343</v>
      </c>
      <c r="B991" s="3" t="s">
        <v>1014</v>
      </c>
      <c r="C991" s="4">
        <f t="shared" ca="1" si="10"/>
        <v>45606</v>
      </c>
    </row>
    <row r="992" spans="1:3" x14ac:dyDescent="0.3">
      <c r="A992" s="42">
        <v>10000000198</v>
      </c>
      <c r="B992" s="3" t="s">
        <v>939</v>
      </c>
      <c r="C992" s="4">
        <f t="shared" ca="1" si="10"/>
        <v>45606</v>
      </c>
    </row>
    <row r="993" spans="1:3" x14ac:dyDescent="0.3">
      <c r="A993" s="42">
        <v>10000000587</v>
      </c>
      <c r="B993" s="3" t="s">
        <v>905</v>
      </c>
      <c r="C993" s="4">
        <f t="shared" ca="1" si="10"/>
        <v>45606</v>
      </c>
    </row>
    <row r="994" spans="1:3" x14ac:dyDescent="0.3">
      <c r="A994" s="42">
        <v>10000000553</v>
      </c>
      <c r="B994" s="3" t="s">
        <v>825</v>
      </c>
      <c r="C994" s="4">
        <f t="shared" ca="1" si="10"/>
        <v>45606</v>
      </c>
    </row>
    <row r="995" spans="1:3" x14ac:dyDescent="0.3">
      <c r="A995" s="42">
        <v>10000000599</v>
      </c>
      <c r="B995" s="3" t="s">
        <v>936</v>
      </c>
      <c r="C995" s="4">
        <f t="shared" ca="1" si="10"/>
        <v>45606</v>
      </c>
    </row>
    <row r="996" spans="1:3" x14ac:dyDescent="0.3">
      <c r="A996" s="42">
        <v>10000000364</v>
      </c>
      <c r="B996" s="3" t="s">
        <v>869</v>
      </c>
      <c r="C996" s="4">
        <f t="shared" ca="1" si="10"/>
        <v>45606</v>
      </c>
    </row>
    <row r="997" spans="1:3" x14ac:dyDescent="0.3">
      <c r="A997" s="42">
        <v>10000000588</v>
      </c>
      <c r="B997" s="3" t="s">
        <v>954</v>
      </c>
      <c r="C997" s="4">
        <f t="shared" ca="1" si="10"/>
        <v>45606</v>
      </c>
    </row>
    <row r="998" spans="1:3" x14ac:dyDescent="0.3">
      <c r="A998" s="42">
        <v>10000000294</v>
      </c>
      <c r="B998" s="3" t="s">
        <v>948</v>
      </c>
      <c r="C998" s="4">
        <f t="shared" ca="1" si="10"/>
        <v>45606</v>
      </c>
    </row>
    <row r="999" spans="1:3" x14ac:dyDescent="0.3">
      <c r="A999" s="42">
        <v>10000000348</v>
      </c>
      <c r="B999" s="3" t="s">
        <v>829</v>
      </c>
      <c r="C999" s="4">
        <f t="shared" ca="1" si="10"/>
        <v>45606</v>
      </c>
    </row>
    <row r="1000" spans="1:3" x14ac:dyDescent="0.3">
      <c r="A1000" s="42">
        <v>10000000391</v>
      </c>
      <c r="B1000" s="3" t="s">
        <v>987</v>
      </c>
      <c r="C1000" s="4">
        <f t="shared" ca="1" si="10"/>
        <v>45606</v>
      </c>
    </row>
    <row r="1001" spans="1:3" x14ac:dyDescent="0.3">
      <c r="A1001" s="42">
        <v>10000000432</v>
      </c>
      <c r="B1001" s="3" t="s">
        <v>896</v>
      </c>
      <c r="C1001" s="4">
        <f t="shared" ca="1" si="10"/>
        <v>45606</v>
      </c>
    </row>
    <row r="1002" spans="1:3" x14ac:dyDescent="0.3">
      <c r="A1002" s="42">
        <v>10000000446</v>
      </c>
      <c r="B1002" s="3" t="s">
        <v>930</v>
      </c>
      <c r="C1002" s="4">
        <f t="shared" ca="1" si="10"/>
        <v>45606</v>
      </c>
    </row>
    <row r="1003" spans="1:3" x14ac:dyDescent="0.3">
      <c r="A1003" s="42">
        <v>10000000068</v>
      </c>
      <c r="B1003" s="3" t="s">
        <v>916</v>
      </c>
      <c r="C1003" s="4">
        <f t="shared" ca="1" si="10"/>
        <v>45606</v>
      </c>
    </row>
    <row r="1004" spans="1:3" x14ac:dyDescent="0.3">
      <c r="A1004" s="42">
        <v>10000000322</v>
      </c>
      <c r="B1004" s="3" t="s">
        <v>824</v>
      </c>
      <c r="C1004" s="4">
        <f t="shared" ca="1" si="10"/>
        <v>45606</v>
      </c>
    </row>
    <row r="1005" spans="1:3" x14ac:dyDescent="0.3">
      <c r="A1005" s="42">
        <v>10000000458</v>
      </c>
      <c r="B1005" s="3" t="s">
        <v>935</v>
      </c>
      <c r="C1005" s="4">
        <f t="shared" ca="1" si="10"/>
        <v>45606</v>
      </c>
    </row>
    <row r="1006" spans="1:3" x14ac:dyDescent="0.3">
      <c r="A1006" s="42">
        <v>10000000049</v>
      </c>
      <c r="B1006" s="3" t="s">
        <v>951</v>
      </c>
      <c r="C1006" s="4">
        <f t="shared" ca="1" si="10"/>
        <v>45606</v>
      </c>
    </row>
    <row r="1007" spans="1:3" x14ac:dyDescent="0.3">
      <c r="A1007" s="42">
        <v>10000000167</v>
      </c>
      <c r="B1007" s="3" t="s">
        <v>984</v>
      </c>
      <c r="C1007" s="4">
        <f t="shared" ca="1" si="10"/>
        <v>45606</v>
      </c>
    </row>
    <row r="1008" spans="1:3" x14ac:dyDescent="0.3">
      <c r="A1008" s="42">
        <v>10000000511</v>
      </c>
      <c r="B1008" s="3" t="s">
        <v>1017</v>
      </c>
      <c r="C1008" s="4">
        <f t="shared" ca="1" si="10"/>
        <v>45606</v>
      </c>
    </row>
    <row r="1009" spans="1:3" x14ac:dyDescent="0.3">
      <c r="A1009" s="42">
        <v>10000000693</v>
      </c>
      <c r="B1009" s="3" t="s">
        <v>969</v>
      </c>
      <c r="C1009" s="4">
        <f t="shared" ca="1" si="10"/>
        <v>45606</v>
      </c>
    </row>
    <row r="1010" spans="1:3" x14ac:dyDescent="0.3">
      <c r="A1010" s="42">
        <v>10000000317</v>
      </c>
      <c r="B1010" s="3" t="s">
        <v>918</v>
      </c>
      <c r="C1010" s="4">
        <f t="shared" ca="1" si="10"/>
        <v>45606</v>
      </c>
    </row>
    <row r="1011" spans="1:3" x14ac:dyDescent="0.3">
      <c r="A1011" s="42">
        <v>10000000550</v>
      </c>
      <c r="B1011" s="3" t="s">
        <v>900</v>
      </c>
      <c r="C1011" s="4">
        <f t="shared" ca="1" si="10"/>
        <v>45606</v>
      </c>
    </row>
    <row r="1012" spans="1:3" x14ac:dyDescent="0.3">
      <c r="A1012" s="42">
        <v>10000000251</v>
      </c>
      <c r="B1012" s="3" t="s">
        <v>973</v>
      </c>
      <c r="C1012" s="4">
        <f t="shared" ca="1" si="10"/>
        <v>45606</v>
      </c>
    </row>
    <row r="1013" spans="1:3" x14ac:dyDescent="0.3">
      <c r="A1013" s="42">
        <v>10000000507</v>
      </c>
      <c r="B1013" s="3" t="s">
        <v>906</v>
      </c>
      <c r="C1013" s="4">
        <f t="shared" ca="1" si="10"/>
        <v>45606</v>
      </c>
    </row>
    <row r="1014" spans="1:3" x14ac:dyDescent="0.3">
      <c r="A1014" s="42">
        <v>10000000623</v>
      </c>
      <c r="B1014" s="3" t="s">
        <v>838</v>
      </c>
      <c r="C1014" s="4">
        <f t="shared" ca="1" si="10"/>
        <v>45606</v>
      </c>
    </row>
    <row r="1015" spans="1:3" x14ac:dyDescent="0.3">
      <c r="A1015" s="42">
        <v>10000000453</v>
      </c>
      <c r="B1015" s="3" t="s">
        <v>822</v>
      </c>
      <c r="C1015" s="4">
        <f t="shared" ca="1" si="10"/>
        <v>45606</v>
      </c>
    </row>
    <row r="1016" spans="1:3" x14ac:dyDescent="0.3">
      <c r="A1016" s="42">
        <v>10000000242</v>
      </c>
      <c r="B1016" s="3" t="s">
        <v>849</v>
      </c>
      <c r="C1016" s="4">
        <f t="shared" ca="1" si="10"/>
        <v>45606</v>
      </c>
    </row>
    <row r="1017" spans="1:3" x14ac:dyDescent="0.3">
      <c r="A1017" s="42">
        <v>10000000102</v>
      </c>
      <c r="B1017" s="3" t="s">
        <v>911</v>
      </c>
      <c r="C1017" s="4">
        <f t="shared" ca="1" si="10"/>
        <v>45606</v>
      </c>
    </row>
    <row r="1018" spans="1:3" x14ac:dyDescent="0.3">
      <c r="A1018" s="42">
        <v>10000000074</v>
      </c>
      <c r="B1018" s="3" t="s">
        <v>981</v>
      </c>
      <c r="C1018" s="4">
        <f t="shared" ca="1" si="10"/>
        <v>45606</v>
      </c>
    </row>
    <row r="1019" spans="1:3" x14ac:dyDescent="0.3">
      <c r="A1019" s="42">
        <v>10000000084</v>
      </c>
      <c r="B1019" s="3" t="s">
        <v>970</v>
      </c>
      <c r="C1019" s="4">
        <f t="shared" ca="1" si="10"/>
        <v>45606</v>
      </c>
    </row>
    <row r="1020" spans="1:3" x14ac:dyDescent="0.3">
      <c r="A1020" s="42">
        <v>10000000561</v>
      </c>
      <c r="B1020" s="3" t="s">
        <v>977</v>
      </c>
      <c r="C1020" s="4">
        <f t="shared" ca="1" si="10"/>
        <v>45606</v>
      </c>
    </row>
    <row r="1021" spans="1:3" x14ac:dyDescent="0.3">
      <c r="A1021" s="42">
        <v>10000000111</v>
      </c>
      <c r="B1021" s="3" t="s">
        <v>1017</v>
      </c>
      <c r="C1021" s="4">
        <f t="shared" ca="1" si="10"/>
        <v>45606</v>
      </c>
    </row>
    <row r="1022" spans="1:3" x14ac:dyDescent="0.3">
      <c r="A1022" s="42">
        <v>10000000530</v>
      </c>
      <c r="B1022" s="3" t="s">
        <v>835</v>
      </c>
      <c r="C1022" s="4">
        <f t="shared" ca="1" si="10"/>
        <v>45606</v>
      </c>
    </row>
    <row r="1023" spans="1:3" x14ac:dyDescent="0.3">
      <c r="A1023" s="42">
        <v>10000000211</v>
      </c>
      <c r="B1023" s="3" t="s">
        <v>1005</v>
      </c>
      <c r="C1023" s="4">
        <f t="shared" ca="1" si="10"/>
        <v>45606</v>
      </c>
    </row>
    <row r="1024" spans="1:3" x14ac:dyDescent="0.3">
      <c r="A1024" s="42">
        <v>10000000502</v>
      </c>
      <c r="B1024" s="3" t="s">
        <v>911</v>
      </c>
      <c r="C1024" s="4">
        <f t="shared" ca="1" si="10"/>
        <v>45606</v>
      </c>
    </row>
    <row r="1025" spans="1:3" x14ac:dyDescent="0.3">
      <c r="A1025" s="42">
        <v>10000000443</v>
      </c>
      <c r="B1025" s="3" t="s">
        <v>944</v>
      </c>
      <c r="C1025" s="4">
        <f t="shared" ca="1" si="10"/>
        <v>45606</v>
      </c>
    </row>
    <row r="1026" spans="1:3" x14ac:dyDescent="0.3">
      <c r="A1026" s="42">
        <v>10000000480</v>
      </c>
      <c r="B1026" s="3" t="s">
        <v>844</v>
      </c>
      <c r="C1026" s="4">
        <f t="shared" ca="1" si="10"/>
        <v>45606</v>
      </c>
    </row>
    <row r="1027" spans="1:3" x14ac:dyDescent="0.3">
      <c r="A1027" s="42">
        <v>10000000514</v>
      </c>
      <c r="B1027" s="3" t="s">
        <v>1000</v>
      </c>
      <c r="C1027" s="4">
        <f t="shared" ca="1" si="10"/>
        <v>45606</v>
      </c>
    </row>
    <row r="1028" spans="1:3" x14ac:dyDescent="0.3">
      <c r="A1028" s="42">
        <v>10000000107</v>
      </c>
      <c r="B1028" s="3" t="s">
        <v>906</v>
      </c>
      <c r="C1028" s="4">
        <f t="shared" ca="1" si="10"/>
        <v>45606</v>
      </c>
    </row>
    <row r="1029" spans="1:3" x14ac:dyDescent="0.3">
      <c r="A1029" s="42">
        <v>10000000389</v>
      </c>
      <c r="B1029" s="3" t="s">
        <v>841</v>
      </c>
      <c r="C1029" s="4">
        <f t="shared" ca="1" si="10"/>
        <v>45606</v>
      </c>
    </row>
    <row r="1030" spans="1:3" x14ac:dyDescent="0.3">
      <c r="A1030" s="42">
        <v>10000000087</v>
      </c>
      <c r="B1030" s="3" t="s">
        <v>904</v>
      </c>
      <c r="C1030" s="4">
        <f t="shared" ca="1" si="10"/>
        <v>45606</v>
      </c>
    </row>
    <row r="1031" spans="1:3" x14ac:dyDescent="0.3">
      <c r="A1031" s="42">
        <v>10000000641</v>
      </c>
      <c r="B1031" s="3" t="s">
        <v>1013</v>
      </c>
      <c r="C1031" s="4">
        <f t="shared" ca="1" si="10"/>
        <v>45606</v>
      </c>
    </row>
    <row r="1032" spans="1:3" x14ac:dyDescent="0.3">
      <c r="A1032" s="42">
        <v>10000000555</v>
      </c>
      <c r="B1032" s="3" t="s">
        <v>983</v>
      </c>
      <c r="C1032" s="4">
        <f t="shared" ca="1" si="10"/>
        <v>45606</v>
      </c>
    </row>
    <row r="1033" spans="1:3" x14ac:dyDescent="0.3">
      <c r="A1033" s="42">
        <v>10000000655</v>
      </c>
      <c r="B1033" s="3" t="s">
        <v>888</v>
      </c>
      <c r="C1033" s="4">
        <f t="shared" ca="1" si="10"/>
        <v>45606</v>
      </c>
    </row>
    <row r="1034" spans="1:3" x14ac:dyDescent="0.3">
      <c r="A1034" s="42">
        <v>10000000269</v>
      </c>
      <c r="B1034" s="3" t="s">
        <v>866</v>
      </c>
      <c r="C1034" s="4">
        <f t="shared" ca="1" si="10"/>
        <v>45606</v>
      </c>
    </row>
    <row r="1035" spans="1:3" x14ac:dyDescent="0.3">
      <c r="A1035" s="42">
        <v>10000000563</v>
      </c>
      <c r="B1035" s="3" t="s">
        <v>877</v>
      </c>
      <c r="C1035" s="4">
        <f t="shared" ca="1" si="10"/>
        <v>45606</v>
      </c>
    </row>
    <row r="1036" spans="1:3" x14ac:dyDescent="0.3">
      <c r="A1036" s="42">
        <v>10000000204</v>
      </c>
      <c r="B1036" s="3" t="s">
        <v>925</v>
      </c>
      <c r="C1036" s="4">
        <f t="shared" ca="1" si="10"/>
        <v>45606</v>
      </c>
    </row>
    <row r="1037" spans="1:3" x14ac:dyDescent="0.3">
      <c r="A1037" s="42">
        <v>10000000623</v>
      </c>
      <c r="B1037" s="3" t="s">
        <v>838</v>
      </c>
      <c r="C1037" s="4">
        <f t="shared" ca="1" si="10"/>
        <v>45606</v>
      </c>
    </row>
    <row r="1038" spans="1:3" x14ac:dyDescent="0.3">
      <c r="A1038" s="42">
        <v>10000000352</v>
      </c>
      <c r="B1038" s="3" t="s">
        <v>927</v>
      </c>
      <c r="C1038" s="4">
        <f t="shared" ca="1" si="10"/>
        <v>45606</v>
      </c>
    </row>
    <row r="1039" spans="1:3" x14ac:dyDescent="0.3">
      <c r="A1039" s="42">
        <v>10000000017</v>
      </c>
      <c r="B1039" s="3" t="s">
        <v>832</v>
      </c>
      <c r="C1039" s="4">
        <f t="shared" ca="1" si="10"/>
        <v>45606</v>
      </c>
    </row>
    <row r="1040" spans="1:3" x14ac:dyDescent="0.3">
      <c r="A1040" s="42">
        <v>10000000268</v>
      </c>
      <c r="B1040" s="3" t="s">
        <v>916</v>
      </c>
      <c r="C1040" s="4">
        <f t="shared" ca="1" si="10"/>
        <v>45606</v>
      </c>
    </row>
    <row r="1041" spans="1:3" x14ac:dyDescent="0.3">
      <c r="A1041" s="42">
        <v>10000000664</v>
      </c>
      <c r="B1041" s="3" t="s">
        <v>858</v>
      </c>
      <c r="C1041" s="4">
        <f t="shared" ca="1" si="10"/>
        <v>45606</v>
      </c>
    </row>
    <row r="1042" spans="1:3" x14ac:dyDescent="0.3">
      <c r="A1042" s="42">
        <v>10000000485</v>
      </c>
      <c r="B1042" s="3" t="s">
        <v>962</v>
      </c>
      <c r="C1042" s="4">
        <f t="shared" ca="1" si="10"/>
        <v>45606</v>
      </c>
    </row>
    <row r="1043" spans="1:3" x14ac:dyDescent="0.3">
      <c r="A1043" s="42">
        <v>10000000250</v>
      </c>
      <c r="B1043" s="3" t="s">
        <v>928</v>
      </c>
      <c r="C1043" s="4">
        <f t="shared" ca="1" si="10"/>
        <v>45606</v>
      </c>
    </row>
    <row r="1044" spans="1:3" x14ac:dyDescent="0.3">
      <c r="A1044" s="42">
        <v>10000000060</v>
      </c>
      <c r="B1044" s="3" t="s">
        <v>922</v>
      </c>
      <c r="C1044" s="4">
        <f t="shared" ca="1" si="10"/>
        <v>45606</v>
      </c>
    </row>
    <row r="1045" spans="1:3" x14ac:dyDescent="0.3">
      <c r="A1045" s="42">
        <v>10000000046</v>
      </c>
      <c r="B1045" s="3" t="s">
        <v>930</v>
      </c>
      <c r="C1045" s="4">
        <f t="shared" ca="1" si="10"/>
        <v>45606</v>
      </c>
    </row>
    <row r="1046" spans="1:3" x14ac:dyDescent="0.3">
      <c r="A1046" s="42">
        <v>10000000076</v>
      </c>
      <c r="B1046" s="3" t="s">
        <v>899</v>
      </c>
      <c r="C1046" s="4">
        <f t="shared" ca="1" si="10"/>
        <v>45606</v>
      </c>
    </row>
    <row r="1047" spans="1:3" x14ac:dyDescent="0.3">
      <c r="A1047" s="42">
        <v>10000000137</v>
      </c>
      <c r="B1047" s="3" t="s">
        <v>923</v>
      </c>
      <c r="C1047" s="4">
        <f t="shared" ca="1" si="10"/>
        <v>45606</v>
      </c>
    </row>
    <row r="1048" spans="1:3" x14ac:dyDescent="0.3">
      <c r="A1048" s="42">
        <v>10000000445</v>
      </c>
      <c r="B1048" s="3" t="s">
        <v>843</v>
      </c>
      <c r="C1048" s="4">
        <f t="shared" ca="1" si="10"/>
        <v>45606</v>
      </c>
    </row>
    <row r="1049" spans="1:3" x14ac:dyDescent="0.3">
      <c r="A1049" s="42">
        <v>10000000560</v>
      </c>
      <c r="B1049" s="3" t="s">
        <v>1009</v>
      </c>
      <c r="C1049" s="4">
        <f t="shared" ca="1" si="10"/>
        <v>45606</v>
      </c>
    </row>
    <row r="1050" spans="1:3" x14ac:dyDescent="0.3">
      <c r="A1050" s="42">
        <v>10000000159</v>
      </c>
      <c r="B1050" s="3" t="s">
        <v>998</v>
      </c>
      <c r="C1050" s="4">
        <f t="shared" ca="1" si="10"/>
        <v>45606</v>
      </c>
    </row>
    <row r="1051" spans="1:3" x14ac:dyDescent="0.3">
      <c r="A1051" s="42">
        <v>10000000257</v>
      </c>
      <c r="B1051" s="3" t="s">
        <v>966</v>
      </c>
      <c r="C1051" s="4">
        <f t="shared" ca="1" si="10"/>
        <v>45606</v>
      </c>
    </row>
    <row r="1052" spans="1:3" x14ac:dyDescent="0.3">
      <c r="A1052" s="42">
        <v>10000000360</v>
      </c>
      <c r="B1052" s="3" t="s">
        <v>1009</v>
      </c>
      <c r="C1052" s="4">
        <f t="shared" ca="1" si="10"/>
        <v>45606</v>
      </c>
    </row>
    <row r="1053" spans="1:3" x14ac:dyDescent="0.3">
      <c r="A1053" s="42">
        <v>10000000393</v>
      </c>
      <c r="B1053" s="3" t="s">
        <v>1018</v>
      </c>
      <c r="C1053" s="4">
        <f t="shared" ca="1" si="10"/>
        <v>45606</v>
      </c>
    </row>
    <row r="1054" spans="1:3" x14ac:dyDescent="0.3">
      <c r="A1054" s="42">
        <v>10000000424</v>
      </c>
      <c r="B1054" s="3" t="s">
        <v>891</v>
      </c>
      <c r="C1054" s="4">
        <f t="shared" ca="1" si="10"/>
        <v>45606</v>
      </c>
    </row>
    <row r="1055" spans="1:3" x14ac:dyDescent="0.3">
      <c r="A1055" s="42">
        <v>10000000565</v>
      </c>
      <c r="B1055" s="3" t="s">
        <v>914</v>
      </c>
      <c r="C1055" s="4">
        <f t="shared" ca="1" si="10"/>
        <v>45606</v>
      </c>
    </row>
    <row r="1056" spans="1:3" x14ac:dyDescent="0.3">
      <c r="A1056" s="42">
        <v>10000000250</v>
      </c>
      <c r="B1056" s="3" t="s">
        <v>928</v>
      </c>
      <c r="C1056" s="4">
        <f t="shared" ca="1" si="10"/>
        <v>45606</v>
      </c>
    </row>
    <row r="1057" spans="1:3" x14ac:dyDescent="0.3">
      <c r="A1057" s="42">
        <v>10000000630</v>
      </c>
      <c r="B1057" s="3" t="s">
        <v>990</v>
      </c>
      <c r="C1057" s="4">
        <f t="shared" ca="1" si="10"/>
        <v>45606</v>
      </c>
    </row>
    <row r="1058" spans="1:3" x14ac:dyDescent="0.3">
      <c r="A1058" s="42">
        <v>10000000333</v>
      </c>
      <c r="B1058" s="3" t="s">
        <v>963</v>
      </c>
      <c r="C1058" s="4">
        <f t="shared" ca="1" si="10"/>
        <v>45606</v>
      </c>
    </row>
    <row r="1059" spans="1:3" x14ac:dyDescent="0.3">
      <c r="A1059" s="42">
        <v>10000000514</v>
      </c>
      <c r="B1059" s="3" t="s">
        <v>1000</v>
      </c>
      <c r="C1059" s="4">
        <f t="shared" ca="1" si="10"/>
        <v>45606</v>
      </c>
    </row>
    <row r="1060" spans="1:3" x14ac:dyDescent="0.3">
      <c r="A1060" s="42">
        <v>10000000070</v>
      </c>
      <c r="B1060" s="3" t="s">
        <v>834</v>
      </c>
      <c r="C1060" s="4">
        <f t="shared" ca="1" si="10"/>
        <v>45606</v>
      </c>
    </row>
    <row r="1061" spans="1:3" x14ac:dyDescent="0.3">
      <c r="A1061" s="42">
        <v>10000000106</v>
      </c>
      <c r="B1061" s="3" t="s">
        <v>992</v>
      </c>
      <c r="C1061" s="4">
        <f t="shared" ca="1" si="10"/>
        <v>45606</v>
      </c>
    </row>
    <row r="1062" spans="1:3" x14ac:dyDescent="0.3">
      <c r="A1062" s="42">
        <v>10000000385</v>
      </c>
      <c r="B1062" s="3" t="s">
        <v>989</v>
      </c>
      <c r="C1062" s="4">
        <f t="shared" ca="1" si="10"/>
        <v>45606</v>
      </c>
    </row>
    <row r="1063" spans="1:3" x14ac:dyDescent="0.3">
      <c r="A1063" s="42">
        <v>10000000403</v>
      </c>
      <c r="B1063" s="3" t="s">
        <v>952</v>
      </c>
      <c r="C1063" s="4">
        <f t="shared" ca="1" si="10"/>
        <v>45606</v>
      </c>
    </row>
    <row r="1064" spans="1:3" x14ac:dyDescent="0.3">
      <c r="A1064" s="42">
        <v>10000000105</v>
      </c>
      <c r="B1064" s="3" t="s">
        <v>968</v>
      </c>
      <c r="C1064" s="4">
        <f t="shared" ca="1" si="10"/>
        <v>45606</v>
      </c>
    </row>
    <row r="1065" spans="1:3" x14ac:dyDescent="0.3">
      <c r="A1065" s="42">
        <v>10000000500</v>
      </c>
      <c r="B1065" s="3" t="s">
        <v>836</v>
      </c>
      <c r="C1065" s="4">
        <f t="shared" ca="1" si="10"/>
        <v>45606</v>
      </c>
    </row>
    <row r="1066" spans="1:3" x14ac:dyDescent="0.3">
      <c r="A1066" s="42">
        <v>10000000405</v>
      </c>
      <c r="B1066" s="3" t="s">
        <v>855</v>
      </c>
      <c r="C1066" s="4">
        <f t="shared" ca="1" si="10"/>
        <v>45606</v>
      </c>
    </row>
    <row r="1067" spans="1:3" x14ac:dyDescent="0.3">
      <c r="A1067" s="42">
        <v>10000000101</v>
      </c>
      <c r="B1067" s="3" t="s">
        <v>949</v>
      </c>
      <c r="C1067" s="4">
        <f t="shared" ca="1" si="10"/>
        <v>45606</v>
      </c>
    </row>
    <row r="1068" spans="1:3" x14ac:dyDescent="0.3">
      <c r="A1068" s="42">
        <v>10000000387</v>
      </c>
      <c r="B1068" s="3" t="s">
        <v>905</v>
      </c>
      <c r="C1068" s="4">
        <f t="shared" ca="1" si="10"/>
        <v>45606</v>
      </c>
    </row>
    <row r="1069" spans="1:3" x14ac:dyDescent="0.3">
      <c r="A1069" s="42">
        <v>10000000441</v>
      </c>
      <c r="B1069" s="3" t="s">
        <v>1013</v>
      </c>
      <c r="C1069" s="4">
        <f t="shared" ca="1" si="10"/>
        <v>45606</v>
      </c>
    </row>
    <row r="1070" spans="1:3" x14ac:dyDescent="0.3">
      <c r="A1070" s="42">
        <v>10000000532</v>
      </c>
      <c r="B1070" s="3" t="s">
        <v>974</v>
      </c>
      <c r="C1070" s="4">
        <f t="shared" ca="1" si="10"/>
        <v>45606</v>
      </c>
    </row>
    <row r="1071" spans="1:3" x14ac:dyDescent="0.3">
      <c r="A1071" s="42">
        <v>10000000447</v>
      </c>
      <c r="B1071" s="3" t="s">
        <v>967</v>
      </c>
      <c r="C1071" s="4">
        <f t="shared" ca="1" si="10"/>
        <v>45606</v>
      </c>
    </row>
    <row r="1072" spans="1:3" x14ac:dyDescent="0.3">
      <c r="A1072" s="42">
        <v>10000000547</v>
      </c>
      <c r="B1072" s="3" t="s">
        <v>982</v>
      </c>
      <c r="C1072" s="4">
        <f t="shared" ca="1" si="10"/>
        <v>45606</v>
      </c>
    </row>
    <row r="1073" spans="1:3" x14ac:dyDescent="0.3">
      <c r="A1073" s="42">
        <v>10000000651</v>
      </c>
      <c r="B1073" s="3" t="s">
        <v>973</v>
      </c>
      <c r="C1073" s="4">
        <f t="shared" ca="1" si="10"/>
        <v>45606</v>
      </c>
    </row>
    <row r="1074" spans="1:3" x14ac:dyDescent="0.3">
      <c r="A1074" s="42">
        <v>10000000467</v>
      </c>
      <c r="B1074" s="3" t="s">
        <v>820</v>
      </c>
      <c r="C1074" s="4">
        <f t="shared" ca="1" si="10"/>
        <v>45606</v>
      </c>
    </row>
    <row r="1075" spans="1:3" x14ac:dyDescent="0.3">
      <c r="A1075" s="42">
        <v>10000000601</v>
      </c>
      <c r="B1075" s="3" t="s">
        <v>1015</v>
      </c>
      <c r="C1075" s="4">
        <f t="shared" ca="1" si="10"/>
        <v>45606</v>
      </c>
    </row>
    <row r="1076" spans="1:3" x14ac:dyDescent="0.3">
      <c r="A1076" s="42">
        <v>10000000615</v>
      </c>
      <c r="B1076" s="3" t="s">
        <v>913</v>
      </c>
      <c r="C1076" s="4">
        <f t="shared" ca="1" si="10"/>
        <v>45606</v>
      </c>
    </row>
    <row r="1077" spans="1:3" x14ac:dyDescent="0.3">
      <c r="A1077" s="42">
        <v>10000000151</v>
      </c>
      <c r="B1077" s="3" t="s">
        <v>862</v>
      </c>
      <c r="C1077" s="4">
        <f t="shared" ca="1" si="10"/>
        <v>45606</v>
      </c>
    </row>
    <row r="1078" spans="1:3" x14ac:dyDescent="0.3">
      <c r="A1078" s="42">
        <v>10000000500</v>
      </c>
      <c r="B1078" s="3" t="s">
        <v>836</v>
      </c>
      <c r="C1078" s="4">
        <f t="shared" ca="1" si="10"/>
        <v>45606</v>
      </c>
    </row>
    <row r="1079" spans="1:3" x14ac:dyDescent="0.3">
      <c r="A1079" s="42">
        <v>10000000560</v>
      </c>
      <c r="B1079" s="3" t="s">
        <v>1009</v>
      </c>
      <c r="C1079" s="4">
        <f t="shared" ca="1" si="10"/>
        <v>45606</v>
      </c>
    </row>
    <row r="1080" spans="1:3" x14ac:dyDescent="0.3">
      <c r="A1080" s="42">
        <v>10000000380</v>
      </c>
      <c r="B1080" s="3" t="s">
        <v>991</v>
      </c>
      <c r="C1080" s="4">
        <f t="shared" ca="1" si="10"/>
        <v>45606</v>
      </c>
    </row>
    <row r="1081" spans="1:3" x14ac:dyDescent="0.3">
      <c r="A1081" s="42">
        <v>10000000076</v>
      </c>
      <c r="B1081" s="3" t="s">
        <v>899</v>
      </c>
      <c r="C1081" s="4">
        <f t="shared" ca="1" si="10"/>
        <v>45606</v>
      </c>
    </row>
    <row r="1082" spans="1:3" x14ac:dyDescent="0.3">
      <c r="A1082" s="42">
        <v>10000000025</v>
      </c>
      <c r="B1082" s="3" t="s">
        <v>872</v>
      </c>
      <c r="C1082" s="4">
        <f t="shared" ca="1" si="10"/>
        <v>45606</v>
      </c>
    </row>
    <row r="1083" spans="1:3" x14ac:dyDescent="0.3">
      <c r="A1083" s="42">
        <v>10000000319</v>
      </c>
      <c r="B1083" s="3" t="s">
        <v>1003</v>
      </c>
      <c r="C1083" s="4">
        <f t="shared" ca="1" si="10"/>
        <v>45606</v>
      </c>
    </row>
    <row r="1084" spans="1:3" x14ac:dyDescent="0.3">
      <c r="A1084" s="42">
        <v>10000000097</v>
      </c>
      <c r="B1084" s="3" t="s">
        <v>892</v>
      </c>
      <c r="C1084" s="4">
        <f t="shared" ca="1" si="10"/>
        <v>45606</v>
      </c>
    </row>
    <row r="1085" spans="1:3" x14ac:dyDescent="0.3">
      <c r="A1085" s="42">
        <v>10000000513</v>
      </c>
      <c r="B1085" s="3" t="s">
        <v>883</v>
      </c>
      <c r="C1085" s="4">
        <f t="shared" ca="1" si="10"/>
        <v>45606</v>
      </c>
    </row>
    <row r="1086" spans="1:3" x14ac:dyDescent="0.3">
      <c r="A1086" s="42">
        <v>10000000475</v>
      </c>
      <c r="B1086" s="3" t="s">
        <v>931</v>
      </c>
      <c r="C1086" s="4">
        <f t="shared" ca="1" si="10"/>
        <v>45606</v>
      </c>
    </row>
    <row r="1087" spans="1:3" x14ac:dyDescent="0.3">
      <c r="A1087" s="42">
        <v>10000000436</v>
      </c>
      <c r="B1087" s="3" t="s">
        <v>873</v>
      </c>
      <c r="C1087" s="4">
        <f t="shared" ca="1" si="10"/>
        <v>45606</v>
      </c>
    </row>
    <row r="1088" spans="1:3" x14ac:dyDescent="0.3">
      <c r="A1088" s="42">
        <v>10000000365</v>
      </c>
      <c r="B1088" s="3" t="s">
        <v>914</v>
      </c>
      <c r="C1088" s="4">
        <f t="shared" ca="1" si="10"/>
        <v>45606</v>
      </c>
    </row>
    <row r="1089" spans="1:3" x14ac:dyDescent="0.3">
      <c r="A1089" s="42">
        <v>10000000168</v>
      </c>
      <c r="B1089" s="3" t="s">
        <v>903</v>
      </c>
      <c r="C1089" s="4">
        <f t="shared" ca="1" si="10"/>
        <v>45606</v>
      </c>
    </row>
    <row r="1090" spans="1:3" x14ac:dyDescent="0.3">
      <c r="A1090" s="42">
        <v>10000000250</v>
      </c>
      <c r="B1090" s="3" t="s">
        <v>928</v>
      </c>
      <c r="C1090" s="4">
        <f t="shared" ca="1" si="10"/>
        <v>45606</v>
      </c>
    </row>
    <row r="1091" spans="1:3" x14ac:dyDescent="0.3">
      <c r="A1091" s="42">
        <v>10000000273</v>
      </c>
      <c r="B1091" s="3" t="s">
        <v>941</v>
      </c>
      <c r="C1091" s="4">
        <f t="shared" ca="1" si="10"/>
        <v>45606</v>
      </c>
    </row>
    <row r="1092" spans="1:3" x14ac:dyDescent="0.3">
      <c r="A1092" s="42">
        <v>10000000379</v>
      </c>
      <c r="B1092" s="3" t="s">
        <v>907</v>
      </c>
      <c r="C1092" s="4">
        <f t="shared" ca="1" si="10"/>
        <v>45606</v>
      </c>
    </row>
    <row r="1093" spans="1:3" x14ac:dyDescent="0.3">
      <c r="A1093" s="42">
        <v>10000000586</v>
      </c>
      <c r="B1093" s="3" t="s">
        <v>980</v>
      </c>
      <c r="C1093" s="4">
        <f t="shared" ca="1" si="10"/>
        <v>45606</v>
      </c>
    </row>
    <row r="1094" spans="1:3" x14ac:dyDescent="0.3">
      <c r="A1094" s="42">
        <v>10000000388</v>
      </c>
      <c r="B1094" s="3" t="s">
        <v>954</v>
      </c>
      <c r="C1094" s="4">
        <f t="shared" ca="1" si="10"/>
        <v>45606</v>
      </c>
    </row>
    <row r="1095" spans="1:3" x14ac:dyDescent="0.3">
      <c r="A1095" s="42">
        <v>10000000483</v>
      </c>
      <c r="B1095" s="3" t="s">
        <v>958</v>
      </c>
      <c r="C1095" s="4">
        <f t="shared" ca="1" si="10"/>
        <v>45606</v>
      </c>
    </row>
    <row r="1096" spans="1:3" x14ac:dyDescent="0.3">
      <c r="A1096" s="42">
        <v>10000000393</v>
      </c>
      <c r="B1096" s="3" t="s">
        <v>1018</v>
      </c>
      <c r="C1096" s="4">
        <f t="shared" ca="1" si="10"/>
        <v>45606</v>
      </c>
    </row>
    <row r="1097" spans="1:3" x14ac:dyDescent="0.3">
      <c r="A1097" s="42">
        <v>10000000581</v>
      </c>
      <c r="B1097" s="3" t="s">
        <v>831</v>
      </c>
      <c r="C1097" s="4">
        <f t="shared" ca="1" si="10"/>
        <v>45606</v>
      </c>
    </row>
    <row r="1098" spans="1:3" x14ac:dyDescent="0.3">
      <c r="A1098" s="42">
        <v>10000000093</v>
      </c>
      <c r="B1098" s="3" t="s">
        <v>969</v>
      </c>
      <c r="C1098" s="4">
        <f t="shared" ca="1" si="10"/>
        <v>45606</v>
      </c>
    </row>
    <row r="1099" spans="1:3" x14ac:dyDescent="0.3">
      <c r="A1099" s="42">
        <v>10000000482</v>
      </c>
      <c r="B1099" s="3" t="s">
        <v>861</v>
      </c>
      <c r="C1099" s="4">
        <f t="shared" ca="1" si="10"/>
        <v>45606</v>
      </c>
    </row>
    <row r="1100" spans="1:3" x14ac:dyDescent="0.3">
      <c r="A1100" s="42">
        <v>10000000558</v>
      </c>
      <c r="B1100" s="3" t="s">
        <v>994</v>
      </c>
      <c r="C1100" s="4">
        <f t="shared" ca="1" si="10"/>
        <v>45606</v>
      </c>
    </row>
    <row r="1101" spans="1:3" x14ac:dyDescent="0.3">
      <c r="A1101" s="42">
        <v>10000000609</v>
      </c>
      <c r="B1101" s="3" t="s">
        <v>919</v>
      </c>
      <c r="C1101" s="4">
        <f t="shared" ref="C1101:C1218" ca="1" si="11">TODAY()-402</f>
        <v>45635</v>
      </c>
    </row>
    <row r="1102" spans="1:3" x14ac:dyDescent="0.3">
      <c r="A1102" s="42">
        <v>10000000181</v>
      </c>
      <c r="B1102" s="3" t="s">
        <v>831</v>
      </c>
      <c r="C1102" s="4">
        <f t="shared" ca="1" si="11"/>
        <v>45635</v>
      </c>
    </row>
    <row r="1103" spans="1:3" x14ac:dyDescent="0.3">
      <c r="A1103" s="42">
        <v>10000000240</v>
      </c>
      <c r="B1103" s="3" t="s">
        <v>878</v>
      </c>
      <c r="C1103" s="4">
        <f t="shared" ca="1" si="11"/>
        <v>45635</v>
      </c>
    </row>
    <row r="1104" spans="1:3" x14ac:dyDescent="0.3">
      <c r="A1104" s="42">
        <v>10000000501</v>
      </c>
      <c r="B1104" s="3" t="s">
        <v>949</v>
      </c>
      <c r="C1104" s="4">
        <f t="shared" ca="1" si="11"/>
        <v>45635</v>
      </c>
    </row>
    <row r="1105" spans="1:3" x14ac:dyDescent="0.3">
      <c r="A1105" s="42">
        <v>10000000088</v>
      </c>
      <c r="B1105" s="3" t="s">
        <v>986</v>
      </c>
      <c r="C1105" s="4">
        <f t="shared" ca="1" si="11"/>
        <v>45635</v>
      </c>
    </row>
    <row r="1106" spans="1:3" x14ac:dyDescent="0.3">
      <c r="A1106" s="42">
        <v>10000000435</v>
      </c>
      <c r="B1106" s="3" t="s">
        <v>886</v>
      </c>
      <c r="C1106" s="4">
        <f t="shared" ca="1" si="11"/>
        <v>45635</v>
      </c>
    </row>
    <row r="1107" spans="1:3" x14ac:dyDescent="0.3">
      <c r="A1107" s="42">
        <v>10000000058</v>
      </c>
      <c r="B1107" s="3" t="s">
        <v>935</v>
      </c>
      <c r="C1107" s="4">
        <f t="shared" ca="1" si="11"/>
        <v>45635</v>
      </c>
    </row>
    <row r="1108" spans="1:3" x14ac:dyDescent="0.3">
      <c r="A1108" s="42">
        <v>10000000177</v>
      </c>
      <c r="B1108" s="3" t="s">
        <v>1004</v>
      </c>
      <c r="C1108" s="4">
        <f t="shared" ca="1" si="11"/>
        <v>45635</v>
      </c>
    </row>
    <row r="1109" spans="1:3" x14ac:dyDescent="0.3">
      <c r="A1109" s="42">
        <v>10000000310</v>
      </c>
      <c r="B1109" s="3" t="s">
        <v>887</v>
      </c>
      <c r="C1109" s="4">
        <f t="shared" ca="1" si="11"/>
        <v>45635</v>
      </c>
    </row>
    <row r="1110" spans="1:3" x14ac:dyDescent="0.3">
      <c r="A1110" s="42">
        <v>10000000164</v>
      </c>
      <c r="B1110" s="3" t="s">
        <v>869</v>
      </c>
      <c r="C1110" s="4">
        <f t="shared" ca="1" si="11"/>
        <v>45635</v>
      </c>
    </row>
    <row r="1111" spans="1:3" x14ac:dyDescent="0.3">
      <c r="A1111" s="42">
        <v>10000000203</v>
      </c>
      <c r="B1111" s="3" t="s">
        <v>952</v>
      </c>
      <c r="C1111" s="4">
        <f t="shared" ca="1" si="11"/>
        <v>45635</v>
      </c>
    </row>
    <row r="1112" spans="1:3" x14ac:dyDescent="0.3">
      <c r="A1112" s="42">
        <v>10000000508</v>
      </c>
      <c r="B1112" s="3" t="s">
        <v>993</v>
      </c>
      <c r="C1112" s="4">
        <f t="shared" ca="1" si="11"/>
        <v>45635</v>
      </c>
    </row>
    <row r="1113" spans="1:3" x14ac:dyDescent="0.3">
      <c r="A1113" s="42">
        <v>10000000433</v>
      </c>
      <c r="B1113" s="3" t="s">
        <v>876</v>
      </c>
      <c r="C1113" s="4">
        <f t="shared" ca="1" si="11"/>
        <v>45635</v>
      </c>
    </row>
    <row r="1114" spans="1:3" x14ac:dyDescent="0.3">
      <c r="A1114" s="42">
        <v>10000000154</v>
      </c>
      <c r="B1114" s="3" t="s">
        <v>840</v>
      </c>
      <c r="C1114" s="4">
        <f t="shared" ca="1" si="11"/>
        <v>45635</v>
      </c>
    </row>
    <row r="1115" spans="1:3" x14ac:dyDescent="0.3">
      <c r="A1115" s="42">
        <v>10000000097</v>
      </c>
      <c r="B1115" s="3" t="s">
        <v>892</v>
      </c>
      <c r="C1115" s="4">
        <f t="shared" ca="1" si="11"/>
        <v>45635</v>
      </c>
    </row>
    <row r="1116" spans="1:3" x14ac:dyDescent="0.3">
      <c r="A1116" s="42">
        <v>10000000485</v>
      </c>
      <c r="B1116" s="3" t="s">
        <v>962</v>
      </c>
      <c r="C1116" s="4">
        <f t="shared" ca="1" si="11"/>
        <v>45635</v>
      </c>
    </row>
    <row r="1117" spans="1:3" x14ac:dyDescent="0.3">
      <c r="A1117" s="42">
        <v>10000000197</v>
      </c>
      <c r="B1117" s="3" t="s">
        <v>1001</v>
      </c>
      <c r="C1117" s="4">
        <f t="shared" ca="1" si="11"/>
        <v>45635</v>
      </c>
    </row>
    <row r="1118" spans="1:3" x14ac:dyDescent="0.3">
      <c r="A1118" s="42">
        <v>10000000556</v>
      </c>
      <c r="B1118" s="3" t="s">
        <v>912</v>
      </c>
      <c r="C1118" s="4">
        <f t="shared" ca="1" si="11"/>
        <v>45635</v>
      </c>
    </row>
    <row r="1119" spans="1:3" x14ac:dyDescent="0.3">
      <c r="A1119" s="42">
        <v>10000000192</v>
      </c>
      <c r="B1119" s="3" t="s">
        <v>934</v>
      </c>
      <c r="C1119" s="4">
        <f t="shared" ca="1" si="11"/>
        <v>45635</v>
      </c>
    </row>
    <row r="1120" spans="1:3" x14ac:dyDescent="0.3">
      <c r="A1120" s="42">
        <v>10000000415</v>
      </c>
      <c r="B1120" s="3" t="s">
        <v>913</v>
      </c>
      <c r="C1120" s="4">
        <f t="shared" ca="1" si="11"/>
        <v>45635</v>
      </c>
    </row>
    <row r="1121" spans="1:3" x14ac:dyDescent="0.3">
      <c r="A1121" s="42">
        <v>10000000444</v>
      </c>
      <c r="B1121" s="3" t="s">
        <v>868</v>
      </c>
      <c r="C1121" s="4">
        <f t="shared" ca="1" si="11"/>
        <v>45635</v>
      </c>
    </row>
    <row r="1122" spans="1:3" x14ac:dyDescent="0.3">
      <c r="A1122" s="42">
        <v>10000000448</v>
      </c>
      <c r="B1122" s="3" t="s">
        <v>856</v>
      </c>
      <c r="C1122" s="4">
        <f t="shared" ca="1" si="11"/>
        <v>45635</v>
      </c>
    </row>
    <row r="1123" spans="1:3" x14ac:dyDescent="0.3">
      <c r="A1123" s="42">
        <v>10000000002</v>
      </c>
      <c r="B1123" s="3" t="s">
        <v>837</v>
      </c>
      <c r="C1123" s="4">
        <f t="shared" ca="1" si="11"/>
        <v>45635</v>
      </c>
    </row>
    <row r="1124" spans="1:3" x14ac:dyDescent="0.3">
      <c r="A1124" s="42">
        <v>10000000568</v>
      </c>
      <c r="B1124" s="3" t="s">
        <v>903</v>
      </c>
      <c r="C1124" s="4">
        <f t="shared" ca="1" si="11"/>
        <v>45635</v>
      </c>
    </row>
    <row r="1125" spans="1:3" x14ac:dyDescent="0.3">
      <c r="A1125" s="42">
        <v>10000000382</v>
      </c>
      <c r="B1125" s="3" t="s">
        <v>955</v>
      </c>
      <c r="C1125" s="4">
        <f t="shared" ca="1" si="11"/>
        <v>45635</v>
      </c>
    </row>
    <row r="1126" spans="1:3" x14ac:dyDescent="0.3">
      <c r="A1126" s="42">
        <v>10000000436</v>
      </c>
      <c r="B1126" s="3" t="s">
        <v>873</v>
      </c>
      <c r="C1126" s="4">
        <f t="shared" ca="1" si="11"/>
        <v>45635</v>
      </c>
    </row>
    <row r="1127" spans="1:3" x14ac:dyDescent="0.3">
      <c r="A1127" s="42">
        <v>10000000519</v>
      </c>
      <c r="B1127" s="3" t="s">
        <v>1003</v>
      </c>
      <c r="C1127" s="4">
        <f t="shared" ca="1" si="11"/>
        <v>45635</v>
      </c>
    </row>
    <row r="1128" spans="1:3" x14ac:dyDescent="0.3">
      <c r="A1128" s="42">
        <v>10000000089</v>
      </c>
      <c r="B1128" s="3" t="s">
        <v>827</v>
      </c>
      <c r="C1128" s="4">
        <f t="shared" ca="1" si="11"/>
        <v>45635</v>
      </c>
    </row>
    <row r="1129" spans="1:3" x14ac:dyDescent="0.3">
      <c r="A1129" s="42">
        <v>10000000475</v>
      </c>
      <c r="B1129" s="3" t="s">
        <v>931</v>
      </c>
      <c r="C1129" s="4">
        <f t="shared" ca="1" si="11"/>
        <v>45635</v>
      </c>
    </row>
    <row r="1130" spans="1:3" x14ac:dyDescent="0.3">
      <c r="A1130" s="42">
        <v>10000000050</v>
      </c>
      <c r="B1130" s="3" t="s">
        <v>928</v>
      </c>
      <c r="C1130" s="4">
        <f t="shared" ca="1" si="11"/>
        <v>45635</v>
      </c>
    </row>
    <row r="1131" spans="1:3" x14ac:dyDescent="0.3">
      <c r="A1131" s="42">
        <v>10000000510</v>
      </c>
      <c r="B1131" s="3" t="s">
        <v>887</v>
      </c>
      <c r="C1131" s="4">
        <f t="shared" ca="1" si="11"/>
        <v>45635</v>
      </c>
    </row>
    <row r="1132" spans="1:3" x14ac:dyDescent="0.3">
      <c r="A1132" s="42">
        <v>10000000230</v>
      </c>
      <c r="B1132" s="3" t="s">
        <v>990</v>
      </c>
      <c r="C1132" s="4">
        <f t="shared" ca="1" si="11"/>
        <v>45635</v>
      </c>
    </row>
    <row r="1133" spans="1:3" x14ac:dyDescent="0.3">
      <c r="A1133" s="42">
        <v>10000000236</v>
      </c>
      <c r="B1133" s="3" t="s">
        <v>873</v>
      </c>
      <c r="C1133" s="4">
        <f t="shared" ca="1" si="11"/>
        <v>45635</v>
      </c>
    </row>
    <row r="1134" spans="1:3" x14ac:dyDescent="0.3">
      <c r="A1134" s="42">
        <v>10000000469</v>
      </c>
      <c r="B1134" s="3" t="s">
        <v>866</v>
      </c>
      <c r="C1134" s="4">
        <f t="shared" ca="1" si="11"/>
        <v>45635</v>
      </c>
    </row>
    <row r="1135" spans="1:3" x14ac:dyDescent="0.3">
      <c r="A1135" s="42">
        <v>10000000657</v>
      </c>
      <c r="B1135" s="3" t="s">
        <v>966</v>
      </c>
      <c r="C1135" s="4">
        <f t="shared" ca="1" si="11"/>
        <v>45635</v>
      </c>
    </row>
    <row r="1136" spans="1:3" x14ac:dyDescent="0.3">
      <c r="A1136" s="42">
        <v>10000000171</v>
      </c>
      <c r="B1136" s="3" t="s">
        <v>932</v>
      </c>
      <c r="C1136" s="4">
        <f t="shared" ca="1" si="11"/>
        <v>45635</v>
      </c>
    </row>
    <row r="1137" spans="1:3" x14ac:dyDescent="0.3">
      <c r="A1137" s="42">
        <v>10000000478</v>
      </c>
      <c r="B1137" s="3" t="s">
        <v>921</v>
      </c>
      <c r="C1137" s="4">
        <f t="shared" ca="1" si="11"/>
        <v>45635</v>
      </c>
    </row>
    <row r="1138" spans="1:3" x14ac:dyDescent="0.3">
      <c r="A1138" s="42">
        <v>10000000605</v>
      </c>
      <c r="B1138" s="3" t="s">
        <v>855</v>
      </c>
      <c r="C1138" s="4">
        <f t="shared" ca="1" si="11"/>
        <v>45635</v>
      </c>
    </row>
    <row r="1139" spans="1:3" x14ac:dyDescent="0.3">
      <c r="A1139" s="42">
        <v>10000000361</v>
      </c>
      <c r="B1139" s="3" t="s">
        <v>977</v>
      </c>
      <c r="C1139" s="4">
        <f t="shared" ca="1" si="11"/>
        <v>45635</v>
      </c>
    </row>
    <row r="1140" spans="1:3" x14ac:dyDescent="0.3">
      <c r="A1140" s="42">
        <v>10000000102</v>
      </c>
      <c r="B1140" s="3" t="s">
        <v>911</v>
      </c>
      <c r="C1140" s="4">
        <f t="shared" ca="1" si="11"/>
        <v>45635</v>
      </c>
    </row>
    <row r="1141" spans="1:3" x14ac:dyDescent="0.3">
      <c r="A1141" s="42">
        <v>10000000187</v>
      </c>
      <c r="B1141" s="3" t="s">
        <v>905</v>
      </c>
      <c r="C1141" s="4">
        <f t="shared" ca="1" si="11"/>
        <v>45635</v>
      </c>
    </row>
    <row r="1142" spans="1:3" x14ac:dyDescent="0.3">
      <c r="A1142" s="42">
        <v>10000000323</v>
      </c>
      <c r="B1142" s="3" t="s">
        <v>988</v>
      </c>
      <c r="C1142" s="4">
        <f t="shared" ca="1" si="11"/>
        <v>45635</v>
      </c>
    </row>
    <row r="1143" spans="1:3" x14ac:dyDescent="0.3">
      <c r="A1143" s="42">
        <v>10000000464</v>
      </c>
      <c r="B1143" s="3" t="s">
        <v>858</v>
      </c>
      <c r="C1143" s="4">
        <f t="shared" ca="1" si="11"/>
        <v>45635</v>
      </c>
    </row>
    <row r="1144" spans="1:3" x14ac:dyDescent="0.3">
      <c r="A1144" s="42">
        <v>10000000494</v>
      </c>
      <c r="B1144" s="3" t="s">
        <v>948</v>
      </c>
      <c r="C1144" s="4">
        <f t="shared" ca="1" si="11"/>
        <v>45635</v>
      </c>
    </row>
    <row r="1145" spans="1:3" x14ac:dyDescent="0.3">
      <c r="A1145" s="42">
        <v>10000000062</v>
      </c>
      <c r="B1145" s="3" t="s">
        <v>863</v>
      </c>
      <c r="C1145" s="4">
        <f t="shared" ca="1" si="11"/>
        <v>45635</v>
      </c>
    </row>
    <row r="1146" spans="1:3" x14ac:dyDescent="0.3">
      <c r="A1146" s="42">
        <v>10000000462</v>
      </c>
      <c r="B1146" s="3" t="s">
        <v>863</v>
      </c>
      <c r="C1146" s="4">
        <f t="shared" ca="1" si="11"/>
        <v>45635</v>
      </c>
    </row>
    <row r="1147" spans="1:3" x14ac:dyDescent="0.3">
      <c r="A1147" s="42">
        <v>10000000621</v>
      </c>
      <c r="B1147" s="3" t="s">
        <v>917</v>
      </c>
      <c r="C1147" s="4">
        <f t="shared" ca="1" si="11"/>
        <v>45635</v>
      </c>
    </row>
    <row r="1148" spans="1:3" x14ac:dyDescent="0.3">
      <c r="A1148" s="42">
        <v>10000000281</v>
      </c>
      <c r="B1148" s="3" t="s">
        <v>964</v>
      </c>
      <c r="C1148" s="4">
        <f t="shared" ca="1" si="11"/>
        <v>45635</v>
      </c>
    </row>
    <row r="1149" spans="1:3" x14ac:dyDescent="0.3">
      <c r="A1149" s="42">
        <v>10000000252</v>
      </c>
      <c r="B1149" s="3" t="s">
        <v>976</v>
      </c>
      <c r="C1149" s="4">
        <f t="shared" ca="1" si="11"/>
        <v>45635</v>
      </c>
    </row>
    <row r="1150" spans="1:3" x14ac:dyDescent="0.3">
      <c r="A1150" s="42">
        <v>10000000494</v>
      </c>
      <c r="B1150" s="3" t="s">
        <v>948</v>
      </c>
      <c r="C1150" s="4">
        <f t="shared" ca="1" si="11"/>
        <v>45635</v>
      </c>
    </row>
    <row r="1151" spans="1:3" x14ac:dyDescent="0.3">
      <c r="A1151" s="42">
        <v>10000000518</v>
      </c>
      <c r="B1151" s="3" t="s">
        <v>1007</v>
      </c>
      <c r="C1151" s="4">
        <f t="shared" ca="1" si="11"/>
        <v>45635</v>
      </c>
    </row>
    <row r="1152" spans="1:3" x14ac:dyDescent="0.3">
      <c r="A1152" s="42">
        <v>10000000251</v>
      </c>
      <c r="B1152" s="3" t="s">
        <v>973</v>
      </c>
      <c r="C1152" s="4">
        <f t="shared" ca="1" si="11"/>
        <v>45635</v>
      </c>
    </row>
    <row r="1153" spans="1:3" x14ac:dyDescent="0.3">
      <c r="A1153" s="42">
        <v>10000000606</v>
      </c>
      <c r="B1153" s="3" t="s">
        <v>953</v>
      </c>
      <c r="C1153" s="4">
        <f t="shared" ca="1" si="11"/>
        <v>45635</v>
      </c>
    </row>
    <row r="1154" spans="1:3" x14ac:dyDescent="0.3">
      <c r="A1154" s="42">
        <v>10000000069</v>
      </c>
      <c r="B1154" s="3" t="s">
        <v>866</v>
      </c>
      <c r="C1154" s="4">
        <f t="shared" ca="1" si="11"/>
        <v>45635</v>
      </c>
    </row>
    <row r="1155" spans="1:3" x14ac:dyDescent="0.3">
      <c r="A1155" s="42">
        <v>10000000279</v>
      </c>
      <c r="B1155" s="3" t="s">
        <v>901</v>
      </c>
      <c r="C1155" s="4">
        <f t="shared" ca="1" si="11"/>
        <v>45635</v>
      </c>
    </row>
    <row r="1156" spans="1:3" x14ac:dyDescent="0.3">
      <c r="A1156" s="42">
        <v>10000000569</v>
      </c>
      <c r="B1156" s="3" t="s">
        <v>946</v>
      </c>
      <c r="C1156" s="4">
        <f t="shared" ca="1" si="11"/>
        <v>45635</v>
      </c>
    </row>
    <row r="1157" spans="1:3" x14ac:dyDescent="0.3">
      <c r="A1157" s="42">
        <v>10000000072</v>
      </c>
      <c r="B1157" s="3" t="s">
        <v>972</v>
      </c>
      <c r="C1157" s="4">
        <f t="shared" ca="1" si="11"/>
        <v>45635</v>
      </c>
    </row>
    <row r="1158" spans="1:3" x14ac:dyDescent="0.3">
      <c r="A1158" s="42">
        <v>10000000011</v>
      </c>
      <c r="B1158" s="3" t="s">
        <v>1005</v>
      </c>
      <c r="C1158" s="4">
        <f t="shared" ca="1" si="11"/>
        <v>45635</v>
      </c>
    </row>
    <row r="1159" spans="1:3" x14ac:dyDescent="0.3">
      <c r="A1159" s="42">
        <v>10000000632</v>
      </c>
      <c r="B1159" s="3" t="s">
        <v>896</v>
      </c>
      <c r="C1159" s="4">
        <f t="shared" ca="1" si="11"/>
        <v>45635</v>
      </c>
    </row>
    <row r="1160" spans="1:3" x14ac:dyDescent="0.3">
      <c r="A1160" s="42">
        <v>10000000644</v>
      </c>
      <c r="B1160" s="3" t="s">
        <v>868</v>
      </c>
      <c r="C1160" s="4">
        <f t="shared" ca="1" si="11"/>
        <v>45635</v>
      </c>
    </row>
    <row r="1161" spans="1:3" x14ac:dyDescent="0.3">
      <c r="A1161" s="42">
        <v>10000000053</v>
      </c>
      <c r="B1161" s="3" t="s">
        <v>822</v>
      </c>
      <c r="C1161" s="4">
        <f t="shared" ca="1" si="11"/>
        <v>45635</v>
      </c>
    </row>
    <row r="1162" spans="1:3" x14ac:dyDescent="0.3">
      <c r="A1162" s="42">
        <v>10000000672</v>
      </c>
      <c r="B1162" s="3" t="s">
        <v>972</v>
      </c>
      <c r="C1162" s="4">
        <f t="shared" ca="1" si="11"/>
        <v>45635</v>
      </c>
    </row>
    <row r="1163" spans="1:3" x14ac:dyDescent="0.3">
      <c r="A1163" s="42">
        <v>10000000576</v>
      </c>
      <c r="B1163" s="3" t="s">
        <v>978</v>
      </c>
      <c r="C1163" s="4">
        <f t="shared" ca="1" si="11"/>
        <v>45635</v>
      </c>
    </row>
    <row r="1164" spans="1:3" x14ac:dyDescent="0.3">
      <c r="A1164" s="42">
        <v>10000000691</v>
      </c>
      <c r="B1164" s="3" t="s">
        <v>864</v>
      </c>
      <c r="C1164" s="4">
        <f t="shared" ca="1" si="11"/>
        <v>45635</v>
      </c>
    </row>
    <row r="1165" spans="1:3" x14ac:dyDescent="0.3">
      <c r="A1165" s="42">
        <v>10000000108</v>
      </c>
      <c r="B1165" s="3" t="s">
        <v>993</v>
      </c>
      <c r="C1165" s="4">
        <f t="shared" ca="1" si="11"/>
        <v>45635</v>
      </c>
    </row>
    <row r="1166" spans="1:3" x14ac:dyDescent="0.3">
      <c r="A1166" s="42">
        <v>10000000020</v>
      </c>
      <c r="B1166" s="3" t="s">
        <v>851</v>
      </c>
      <c r="C1166" s="4">
        <f t="shared" ca="1" si="11"/>
        <v>45635</v>
      </c>
    </row>
    <row r="1167" spans="1:3" x14ac:dyDescent="0.3">
      <c r="A1167" s="42">
        <v>10000000144</v>
      </c>
      <c r="B1167" s="3" t="s">
        <v>854</v>
      </c>
      <c r="C1167" s="4">
        <f t="shared" ca="1" si="11"/>
        <v>45635</v>
      </c>
    </row>
    <row r="1168" spans="1:3" x14ac:dyDescent="0.3">
      <c r="A1168" s="42">
        <v>10000000105</v>
      </c>
      <c r="B1168" s="3" t="s">
        <v>968</v>
      </c>
      <c r="C1168" s="4">
        <f t="shared" ca="1" si="11"/>
        <v>45635</v>
      </c>
    </row>
    <row r="1169" spans="1:3" x14ac:dyDescent="0.3">
      <c r="A1169" s="42">
        <v>10000000201</v>
      </c>
      <c r="B1169" s="3" t="s">
        <v>1015</v>
      </c>
      <c r="C1169" s="4">
        <f t="shared" ca="1" si="11"/>
        <v>45635</v>
      </c>
    </row>
    <row r="1170" spans="1:3" x14ac:dyDescent="0.3">
      <c r="A1170" s="42">
        <v>10000000442</v>
      </c>
      <c r="B1170" s="3" t="s">
        <v>849</v>
      </c>
      <c r="C1170" s="4">
        <f t="shared" ca="1" si="11"/>
        <v>45635</v>
      </c>
    </row>
    <row r="1171" spans="1:3" x14ac:dyDescent="0.3">
      <c r="A1171" s="42">
        <v>10000000444</v>
      </c>
      <c r="B1171" s="3" t="s">
        <v>868</v>
      </c>
      <c r="C1171" s="4">
        <f t="shared" ca="1" si="11"/>
        <v>45635</v>
      </c>
    </row>
    <row r="1172" spans="1:3" x14ac:dyDescent="0.3">
      <c r="A1172" s="42">
        <v>10000000215</v>
      </c>
      <c r="B1172" s="3" t="s">
        <v>913</v>
      </c>
      <c r="C1172" s="4">
        <f t="shared" ca="1" si="11"/>
        <v>45635</v>
      </c>
    </row>
    <row r="1173" spans="1:3" x14ac:dyDescent="0.3">
      <c r="A1173" s="42">
        <v>10000000342</v>
      </c>
      <c r="B1173" s="3" t="s">
        <v>929</v>
      </c>
      <c r="C1173" s="4">
        <f t="shared" ca="1" si="11"/>
        <v>45635</v>
      </c>
    </row>
    <row r="1174" spans="1:3" x14ac:dyDescent="0.3">
      <c r="A1174" s="42">
        <v>10000000320</v>
      </c>
      <c r="B1174" s="3" t="s">
        <v>979</v>
      </c>
      <c r="C1174" s="4">
        <f t="shared" ca="1" si="11"/>
        <v>45635</v>
      </c>
    </row>
    <row r="1175" spans="1:3" x14ac:dyDescent="0.3">
      <c r="A1175" s="42">
        <v>10000000158</v>
      </c>
      <c r="B1175" s="3" t="s">
        <v>994</v>
      </c>
      <c r="C1175" s="4">
        <f t="shared" ca="1" si="11"/>
        <v>45635</v>
      </c>
    </row>
    <row r="1176" spans="1:3" x14ac:dyDescent="0.3">
      <c r="A1176" s="42">
        <v>10000000341</v>
      </c>
      <c r="B1176" s="3" t="s">
        <v>859</v>
      </c>
      <c r="C1176" s="4">
        <f t="shared" ca="1" si="11"/>
        <v>45635</v>
      </c>
    </row>
    <row r="1177" spans="1:3" x14ac:dyDescent="0.3">
      <c r="A1177" s="42">
        <v>10000000081</v>
      </c>
      <c r="B1177" s="3" t="s">
        <v>964</v>
      </c>
      <c r="C1177" s="4">
        <f t="shared" ca="1" si="11"/>
        <v>45635</v>
      </c>
    </row>
    <row r="1178" spans="1:3" x14ac:dyDescent="0.3">
      <c r="A1178" s="42">
        <v>10000000495</v>
      </c>
      <c r="B1178" s="3" t="s">
        <v>908</v>
      </c>
      <c r="C1178" s="4">
        <f t="shared" ca="1" si="11"/>
        <v>45635</v>
      </c>
    </row>
    <row r="1179" spans="1:3" x14ac:dyDescent="0.3">
      <c r="A1179" s="42">
        <v>10000000526</v>
      </c>
      <c r="B1179" s="3" t="s">
        <v>985</v>
      </c>
      <c r="C1179" s="4">
        <f t="shared" ca="1" si="11"/>
        <v>45635</v>
      </c>
    </row>
    <row r="1180" spans="1:3" x14ac:dyDescent="0.3">
      <c r="A1180" s="42">
        <v>10000000284</v>
      </c>
      <c r="B1180" s="3" t="s">
        <v>970</v>
      </c>
      <c r="C1180" s="4">
        <f t="shared" ca="1" si="11"/>
        <v>45635</v>
      </c>
    </row>
    <row r="1181" spans="1:3" x14ac:dyDescent="0.3">
      <c r="A1181" s="42">
        <v>10000000552</v>
      </c>
      <c r="B1181" s="3" t="s">
        <v>927</v>
      </c>
      <c r="C1181" s="4">
        <f t="shared" ca="1" si="11"/>
        <v>45635</v>
      </c>
    </row>
    <row r="1182" spans="1:3" x14ac:dyDescent="0.3">
      <c r="A1182" s="42">
        <v>10000000274</v>
      </c>
      <c r="B1182" s="3" t="s">
        <v>981</v>
      </c>
      <c r="C1182" s="4">
        <f t="shared" ca="1" si="11"/>
        <v>45635</v>
      </c>
    </row>
    <row r="1183" spans="1:3" x14ac:dyDescent="0.3">
      <c r="A1183" s="42">
        <v>10000000472</v>
      </c>
      <c r="B1183" s="3" t="s">
        <v>972</v>
      </c>
      <c r="C1183" s="4">
        <f t="shared" ca="1" si="11"/>
        <v>45635</v>
      </c>
    </row>
    <row r="1184" spans="1:3" x14ac:dyDescent="0.3">
      <c r="A1184" s="42">
        <v>10000000468</v>
      </c>
      <c r="B1184" s="3" t="s">
        <v>916</v>
      </c>
      <c r="C1184" s="4">
        <f t="shared" ca="1" si="11"/>
        <v>45635</v>
      </c>
    </row>
    <row r="1185" spans="1:3" x14ac:dyDescent="0.3">
      <c r="A1185" s="42">
        <v>10000000190</v>
      </c>
      <c r="B1185" s="3" t="s">
        <v>860</v>
      </c>
      <c r="C1185" s="4">
        <f t="shared" ca="1" si="11"/>
        <v>45635</v>
      </c>
    </row>
    <row r="1186" spans="1:3" x14ac:dyDescent="0.3">
      <c r="A1186" s="42">
        <v>10000000532</v>
      </c>
      <c r="B1186" s="3" t="s">
        <v>974</v>
      </c>
      <c r="C1186" s="4">
        <f t="shared" ca="1" si="11"/>
        <v>45635</v>
      </c>
    </row>
    <row r="1187" spans="1:3" x14ac:dyDescent="0.3">
      <c r="A1187" s="42">
        <v>10000000535</v>
      </c>
      <c r="B1187" s="3" t="s">
        <v>1006</v>
      </c>
      <c r="C1187" s="4">
        <f t="shared" ca="1" si="11"/>
        <v>45635</v>
      </c>
    </row>
    <row r="1188" spans="1:3" x14ac:dyDescent="0.3">
      <c r="A1188" s="42">
        <v>10000000299</v>
      </c>
      <c r="B1188" s="3" t="s">
        <v>1011</v>
      </c>
      <c r="C1188" s="4">
        <f t="shared" ca="1" si="11"/>
        <v>45635</v>
      </c>
    </row>
    <row r="1189" spans="1:3" x14ac:dyDescent="0.3">
      <c r="A1189" s="42">
        <v>10000000380</v>
      </c>
      <c r="B1189" s="3" t="s">
        <v>991</v>
      </c>
      <c r="C1189" s="4">
        <f t="shared" ca="1" si="11"/>
        <v>45635</v>
      </c>
    </row>
    <row r="1190" spans="1:3" x14ac:dyDescent="0.3">
      <c r="A1190" s="42">
        <v>10000000079</v>
      </c>
      <c r="B1190" s="3" t="s">
        <v>901</v>
      </c>
      <c r="C1190" s="4">
        <f t="shared" ca="1" si="11"/>
        <v>45635</v>
      </c>
    </row>
    <row r="1191" spans="1:3" x14ac:dyDescent="0.3">
      <c r="A1191" s="42">
        <v>10000000081</v>
      </c>
      <c r="B1191" s="3" t="s">
        <v>964</v>
      </c>
      <c r="C1191" s="4">
        <f t="shared" ca="1" si="11"/>
        <v>45635</v>
      </c>
    </row>
    <row r="1192" spans="1:3" x14ac:dyDescent="0.3">
      <c r="A1192" s="42">
        <v>10000000228</v>
      </c>
      <c r="B1192" s="3" t="s">
        <v>960</v>
      </c>
      <c r="C1192" s="4">
        <f t="shared" ca="1" si="11"/>
        <v>45635</v>
      </c>
    </row>
    <row r="1193" spans="1:3" x14ac:dyDescent="0.3">
      <c r="A1193" s="42">
        <v>10000000208</v>
      </c>
      <c r="B1193" s="3" t="s">
        <v>933</v>
      </c>
      <c r="C1193" s="4">
        <f t="shared" ca="1" si="11"/>
        <v>45635</v>
      </c>
    </row>
    <row r="1194" spans="1:3" x14ac:dyDescent="0.3">
      <c r="A1194" s="42">
        <v>10000000235</v>
      </c>
      <c r="B1194" s="3" t="s">
        <v>886</v>
      </c>
      <c r="C1194" s="4">
        <f t="shared" ca="1" si="11"/>
        <v>45635</v>
      </c>
    </row>
    <row r="1195" spans="1:3" x14ac:dyDescent="0.3">
      <c r="A1195" s="42">
        <v>10000000553</v>
      </c>
      <c r="B1195" s="3" t="s">
        <v>825</v>
      </c>
      <c r="C1195" s="4">
        <f t="shared" ca="1" si="11"/>
        <v>45635</v>
      </c>
    </row>
    <row r="1196" spans="1:3" x14ac:dyDescent="0.3">
      <c r="A1196" s="42">
        <v>10000000693</v>
      </c>
      <c r="B1196" s="3" t="s">
        <v>969</v>
      </c>
      <c r="C1196" s="4">
        <f t="shared" ca="1" si="11"/>
        <v>45635</v>
      </c>
    </row>
    <row r="1197" spans="1:3" x14ac:dyDescent="0.3">
      <c r="A1197" s="42">
        <v>10000000605</v>
      </c>
      <c r="B1197" s="3" t="s">
        <v>855</v>
      </c>
      <c r="C1197" s="4">
        <f t="shared" ca="1" si="11"/>
        <v>45635</v>
      </c>
    </row>
    <row r="1198" spans="1:3" x14ac:dyDescent="0.3">
      <c r="A1198" s="42">
        <v>10000000426</v>
      </c>
      <c r="B1198" s="3" t="s">
        <v>880</v>
      </c>
      <c r="C1198" s="4">
        <f t="shared" ca="1" si="11"/>
        <v>45635</v>
      </c>
    </row>
    <row r="1199" spans="1:3" x14ac:dyDescent="0.3">
      <c r="A1199" s="42">
        <v>10000000306</v>
      </c>
      <c r="B1199" s="3" t="s">
        <v>992</v>
      </c>
      <c r="C1199" s="4">
        <f t="shared" ca="1" si="11"/>
        <v>45635</v>
      </c>
    </row>
    <row r="1200" spans="1:3" x14ac:dyDescent="0.3">
      <c r="A1200" s="42">
        <v>10000000022</v>
      </c>
      <c r="B1200" s="3" t="s">
        <v>871</v>
      </c>
      <c r="C1200" s="4">
        <f t="shared" ca="1" si="11"/>
        <v>45635</v>
      </c>
    </row>
    <row r="1201" spans="1:3" x14ac:dyDescent="0.3">
      <c r="A1201" s="42">
        <v>10000000190</v>
      </c>
      <c r="B1201" s="3" t="s">
        <v>860</v>
      </c>
      <c r="C1201" s="4">
        <f t="shared" ca="1" si="11"/>
        <v>45635</v>
      </c>
    </row>
    <row r="1202" spans="1:3" x14ac:dyDescent="0.3">
      <c r="A1202" s="42">
        <v>10000000292</v>
      </c>
      <c r="B1202" s="3" t="s">
        <v>865</v>
      </c>
      <c r="C1202" s="4">
        <f t="shared" ca="1" si="11"/>
        <v>45635</v>
      </c>
    </row>
    <row r="1203" spans="1:3" x14ac:dyDescent="0.3">
      <c r="A1203" s="42">
        <v>10000000107</v>
      </c>
      <c r="B1203" s="3" t="s">
        <v>906</v>
      </c>
      <c r="C1203" s="4">
        <f t="shared" ca="1" si="11"/>
        <v>45635</v>
      </c>
    </row>
    <row r="1204" spans="1:3" x14ac:dyDescent="0.3">
      <c r="A1204" s="42">
        <v>10000000280</v>
      </c>
      <c r="B1204" s="3" t="s">
        <v>844</v>
      </c>
      <c r="C1204" s="4">
        <f t="shared" ca="1" si="11"/>
        <v>45635</v>
      </c>
    </row>
    <row r="1205" spans="1:3" x14ac:dyDescent="0.3">
      <c r="A1205" s="42">
        <v>10000000594</v>
      </c>
      <c r="B1205" s="3" t="s">
        <v>846</v>
      </c>
      <c r="C1205" s="4">
        <f t="shared" ca="1" si="11"/>
        <v>45635</v>
      </c>
    </row>
    <row r="1206" spans="1:3" x14ac:dyDescent="0.3">
      <c r="A1206" s="42">
        <v>10000000612</v>
      </c>
      <c r="B1206" s="3" t="s">
        <v>1019</v>
      </c>
      <c r="C1206" s="4">
        <f t="shared" ca="1" si="11"/>
        <v>45635</v>
      </c>
    </row>
    <row r="1207" spans="1:3" x14ac:dyDescent="0.3">
      <c r="A1207" s="42">
        <v>10000000302</v>
      </c>
      <c r="B1207" s="3" t="s">
        <v>911</v>
      </c>
      <c r="C1207" s="4">
        <f t="shared" ca="1" si="11"/>
        <v>45635</v>
      </c>
    </row>
    <row r="1208" spans="1:3" x14ac:dyDescent="0.3">
      <c r="A1208" s="42">
        <v>10000000414</v>
      </c>
      <c r="B1208" s="3" t="s">
        <v>857</v>
      </c>
      <c r="C1208" s="4">
        <f t="shared" ca="1" si="11"/>
        <v>45635</v>
      </c>
    </row>
    <row r="1209" spans="1:3" x14ac:dyDescent="0.3">
      <c r="A1209" s="42">
        <v>10000000115</v>
      </c>
      <c r="B1209" s="3" t="s">
        <v>870</v>
      </c>
      <c r="C1209" s="4">
        <f t="shared" ca="1" si="11"/>
        <v>45635</v>
      </c>
    </row>
    <row r="1210" spans="1:3" x14ac:dyDescent="0.3">
      <c r="A1210" s="42">
        <v>10000000288</v>
      </c>
      <c r="B1210" s="3" t="s">
        <v>986</v>
      </c>
      <c r="C1210" s="4">
        <f t="shared" ca="1" si="11"/>
        <v>45635</v>
      </c>
    </row>
    <row r="1211" spans="1:3" x14ac:dyDescent="0.3">
      <c r="A1211" s="42">
        <v>10000000657</v>
      </c>
      <c r="B1211" s="3" t="s">
        <v>966</v>
      </c>
      <c r="C1211" s="4">
        <f t="shared" ca="1" si="11"/>
        <v>45635</v>
      </c>
    </row>
    <row r="1212" spans="1:3" x14ac:dyDescent="0.3">
      <c r="A1212" s="42">
        <v>10000000221</v>
      </c>
      <c r="B1212" s="3" t="s">
        <v>917</v>
      </c>
      <c r="C1212" s="4">
        <f t="shared" ca="1" si="11"/>
        <v>45635</v>
      </c>
    </row>
    <row r="1213" spans="1:3" x14ac:dyDescent="0.3">
      <c r="A1213" s="42">
        <v>10000000314</v>
      </c>
      <c r="B1213" s="3" t="s">
        <v>1000</v>
      </c>
      <c r="C1213" s="4">
        <f t="shared" ca="1" si="11"/>
        <v>45635</v>
      </c>
    </row>
    <row r="1214" spans="1:3" x14ac:dyDescent="0.3">
      <c r="A1214" s="42">
        <v>10000000650</v>
      </c>
      <c r="B1214" s="3" t="s">
        <v>928</v>
      </c>
      <c r="C1214" s="4">
        <f t="shared" ca="1" si="11"/>
        <v>45635</v>
      </c>
    </row>
    <row r="1215" spans="1:3" x14ac:dyDescent="0.3">
      <c r="A1215" s="42">
        <v>10000000211</v>
      </c>
      <c r="B1215" s="3" t="s">
        <v>1005</v>
      </c>
      <c r="C1215" s="4">
        <f t="shared" ca="1" si="11"/>
        <v>45635</v>
      </c>
    </row>
    <row r="1216" spans="1:3" x14ac:dyDescent="0.3">
      <c r="A1216" s="42">
        <v>10000000113</v>
      </c>
      <c r="B1216" s="3" t="s">
        <v>883</v>
      </c>
      <c r="C1216" s="4">
        <f t="shared" ca="1" si="11"/>
        <v>45635</v>
      </c>
    </row>
    <row r="1217" spans="1:3" x14ac:dyDescent="0.3">
      <c r="A1217" s="42">
        <v>10000000170</v>
      </c>
      <c r="B1217" s="3" t="s">
        <v>937</v>
      </c>
      <c r="C1217" s="4">
        <f t="shared" ca="1" si="11"/>
        <v>45635</v>
      </c>
    </row>
    <row r="1218" spans="1:3" x14ac:dyDescent="0.3">
      <c r="A1218" s="42">
        <v>10000000406</v>
      </c>
      <c r="B1218" s="3" t="s">
        <v>953</v>
      </c>
      <c r="C1218" s="4">
        <f t="shared" ca="1" si="11"/>
        <v>45635</v>
      </c>
    </row>
    <row r="1219" spans="1:3" x14ac:dyDescent="0.3">
      <c r="A1219" s="42">
        <v>10000000161</v>
      </c>
      <c r="B1219" s="3" t="s">
        <v>977</v>
      </c>
      <c r="C1219" s="4">
        <f t="shared" ref="C1219:C1337" ca="1" si="12">TODAY()-371</f>
        <v>45666</v>
      </c>
    </row>
    <row r="1220" spans="1:3" x14ac:dyDescent="0.3">
      <c r="A1220" s="42">
        <v>10000000446</v>
      </c>
      <c r="B1220" s="3" t="s">
        <v>930</v>
      </c>
      <c r="C1220" s="4">
        <f t="shared" ca="1" si="12"/>
        <v>45666</v>
      </c>
    </row>
    <row r="1221" spans="1:3" x14ac:dyDescent="0.3">
      <c r="A1221" s="42">
        <v>10000000551</v>
      </c>
      <c r="B1221" s="3" t="s">
        <v>862</v>
      </c>
      <c r="C1221" s="4">
        <f t="shared" ca="1" si="12"/>
        <v>45666</v>
      </c>
    </row>
    <row r="1222" spans="1:3" x14ac:dyDescent="0.3">
      <c r="A1222" s="42">
        <v>10000000012</v>
      </c>
      <c r="B1222" s="3" t="s">
        <v>1019</v>
      </c>
      <c r="C1222" s="4">
        <f t="shared" ca="1" si="12"/>
        <v>45666</v>
      </c>
    </row>
    <row r="1223" spans="1:3" x14ac:dyDescent="0.3">
      <c r="A1223" s="42">
        <v>10000000388</v>
      </c>
      <c r="B1223" s="3" t="s">
        <v>954</v>
      </c>
      <c r="C1223" s="4">
        <f t="shared" ca="1" si="12"/>
        <v>45666</v>
      </c>
    </row>
    <row r="1224" spans="1:3" x14ac:dyDescent="0.3">
      <c r="A1224" s="42">
        <v>10000000323</v>
      </c>
      <c r="B1224" s="3" t="s">
        <v>988</v>
      </c>
      <c r="C1224" s="4">
        <f t="shared" ca="1" si="12"/>
        <v>45666</v>
      </c>
    </row>
    <row r="1225" spans="1:3" x14ac:dyDescent="0.3">
      <c r="A1225" s="42">
        <v>10000000358</v>
      </c>
      <c r="B1225" s="3" t="s">
        <v>994</v>
      </c>
      <c r="C1225" s="4">
        <f t="shared" ca="1" si="12"/>
        <v>45666</v>
      </c>
    </row>
    <row r="1226" spans="1:3" x14ac:dyDescent="0.3">
      <c r="A1226" s="42">
        <v>10000000409</v>
      </c>
      <c r="B1226" s="3" t="s">
        <v>919</v>
      </c>
      <c r="C1226" s="4">
        <f t="shared" ca="1" si="12"/>
        <v>45666</v>
      </c>
    </row>
    <row r="1227" spans="1:3" x14ac:dyDescent="0.3">
      <c r="A1227" s="42">
        <v>10000000661</v>
      </c>
      <c r="B1227" s="3" t="s">
        <v>850</v>
      </c>
      <c r="C1227" s="4">
        <f t="shared" ca="1" si="12"/>
        <v>45666</v>
      </c>
    </row>
    <row r="1228" spans="1:3" x14ac:dyDescent="0.3">
      <c r="A1228" s="42">
        <v>10000000250</v>
      </c>
      <c r="B1228" s="3" t="s">
        <v>928</v>
      </c>
      <c r="C1228" s="4">
        <f t="shared" ca="1" si="12"/>
        <v>45666</v>
      </c>
    </row>
    <row r="1229" spans="1:3" x14ac:dyDescent="0.3">
      <c r="A1229" s="42">
        <v>10000000300</v>
      </c>
      <c r="B1229" s="3" t="s">
        <v>836</v>
      </c>
      <c r="C1229" s="4">
        <f t="shared" ca="1" si="12"/>
        <v>45666</v>
      </c>
    </row>
    <row r="1230" spans="1:3" x14ac:dyDescent="0.3">
      <c r="A1230" s="42">
        <v>10000000603</v>
      </c>
      <c r="B1230" s="3" t="s">
        <v>952</v>
      </c>
      <c r="C1230" s="4">
        <f t="shared" ca="1" si="12"/>
        <v>45666</v>
      </c>
    </row>
    <row r="1231" spans="1:3" x14ac:dyDescent="0.3">
      <c r="A1231" s="42">
        <v>10000000454</v>
      </c>
      <c r="B1231" s="3" t="s">
        <v>893</v>
      </c>
      <c r="C1231" s="4">
        <f t="shared" ca="1" si="12"/>
        <v>45666</v>
      </c>
    </row>
    <row r="1232" spans="1:3" x14ac:dyDescent="0.3">
      <c r="A1232" s="42">
        <v>10000000559</v>
      </c>
      <c r="B1232" s="3" t="s">
        <v>998</v>
      </c>
      <c r="C1232" s="4">
        <f t="shared" ca="1" si="12"/>
        <v>45666</v>
      </c>
    </row>
    <row r="1233" spans="1:3" x14ac:dyDescent="0.3">
      <c r="A1233" s="42">
        <v>10000000027</v>
      </c>
      <c r="B1233" s="3" t="s">
        <v>828</v>
      </c>
      <c r="C1233" s="4">
        <f t="shared" ca="1" si="12"/>
        <v>45666</v>
      </c>
    </row>
    <row r="1234" spans="1:3" x14ac:dyDescent="0.3">
      <c r="A1234" s="42">
        <v>10000000294</v>
      </c>
      <c r="B1234" s="3" t="s">
        <v>948</v>
      </c>
      <c r="C1234" s="4">
        <f t="shared" ca="1" si="12"/>
        <v>45666</v>
      </c>
    </row>
    <row r="1235" spans="1:3" x14ac:dyDescent="0.3">
      <c r="A1235" s="42">
        <v>10000000447</v>
      </c>
      <c r="B1235" s="3" t="s">
        <v>967</v>
      </c>
      <c r="C1235" s="4">
        <f t="shared" ca="1" si="12"/>
        <v>45666</v>
      </c>
    </row>
    <row r="1236" spans="1:3" x14ac:dyDescent="0.3">
      <c r="A1236" s="42">
        <v>10000000583</v>
      </c>
      <c r="B1236" s="3" t="s">
        <v>942</v>
      </c>
      <c r="C1236" s="4">
        <f t="shared" ca="1" si="12"/>
        <v>45666</v>
      </c>
    </row>
    <row r="1237" spans="1:3" x14ac:dyDescent="0.3">
      <c r="A1237" s="42">
        <v>10000000157</v>
      </c>
      <c r="B1237" s="3" t="s">
        <v>1002</v>
      </c>
      <c r="C1237" s="4">
        <f t="shared" ca="1" si="12"/>
        <v>45666</v>
      </c>
    </row>
    <row r="1238" spans="1:3" x14ac:dyDescent="0.3">
      <c r="A1238" s="42">
        <v>10000000244</v>
      </c>
      <c r="B1238" s="3" t="s">
        <v>868</v>
      </c>
      <c r="C1238" s="4">
        <f t="shared" ca="1" si="12"/>
        <v>45666</v>
      </c>
    </row>
    <row r="1239" spans="1:3" x14ac:dyDescent="0.3">
      <c r="A1239" s="42">
        <v>10000000123</v>
      </c>
      <c r="B1239" s="3" t="s">
        <v>988</v>
      </c>
      <c r="C1239" s="4">
        <f t="shared" ca="1" si="12"/>
        <v>45666</v>
      </c>
    </row>
    <row r="1240" spans="1:3" x14ac:dyDescent="0.3">
      <c r="A1240" s="42">
        <v>10000000012</v>
      </c>
      <c r="B1240" s="3" t="s">
        <v>1019</v>
      </c>
      <c r="C1240" s="4">
        <f t="shared" ca="1" si="12"/>
        <v>45666</v>
      </c>
    </row>
    <row r="1241" spans="1:3" x14ac:dyDescent="0.3">
      <c r="A1241" s="42">
        <v>10000000156</v>
      </c>
      <c r="B1241" s="3" t="s">
        <v>912</v>
      </c>
      <c r="C1241" s="4">
        <f t="shared" ca="1" si="12"/>
        <v>45666</v>
      </c>
    </row>
    <row r="1242" spans="1:3" x14ac:dyDescent="0.3">
      <c r="A1242" s="42">
        <v>10000000016</v>
      </c>
      <c r="B1242" s="3" t="s">
        <v>874</v>
      </c>
      <c r="C1242" s="4">
        <f t="shared" ca="1" si="12"/>
        <v>45666</v>
      </c>
    </row>
    <row r="1243" spans="1:3" x14ac:dyDescent="0.3">
      <c r="A1243" s="42">
        <v>10000000602</v>
      </c>
      <c r="B1243" s="3" t="s">
        <v>837</v>
      </c>
      <c r="C1243" s="4">
        <f t="shared" ca="1" si="12"/>
        <v>45666</v>
      </c>
    </row>
    <row r="1244" spans="1:3" x14ac:dyDescent="0.3">
      <c r="A1244" s="42">
        <v>10000000537</v>
      </c>
      <c r="B1244" s="3" t="s">
        <v>923</v>
      </c>
      <c r="C1244" s="4">
        <f t="shared" ca="1" si="12"/>
        <v>45666</v>
      </c>
    </row>
    <row r="1245" spans="1:3" x14ac:dyDescent="0.3">
      <c r="A1245" s="42">
        <v>10000000065</v>
      </c>
      <c r="B1245" s="3" t="s">
        <v>961</v>
      </c>
      <c r="C1245" s="4">
        <f t="shared" ca="1" si="12"/>
        <v>45666</v>
      </c>
    </row>
    <row r="1246" spans="1:3" x14ac:dyDescent="0.3">
      <c r="A1246" s="42">
        <v>10000000129</v>
      </c>
      <c r="B1246" s="3" t="s">
        <v>909</v>
      </c>
      <c r="C1246" s="4">
        <f t="shared" ca="1" si="12"/>
        <v>45666</v>
      </c>
    </row>
    <row r="1247" spans="1:3" x14ac:dyDescent="0.3">
      <c r="A1247" s="42">
        <v>10000000130</v>
      </c>
      <c r="B1247" s="3" t="s">
        <v>835</v>
      </c>
      <c r="C1247" s="4">
        <f t="shared" ca="1" si="12"/>
        <v>45666</v>
      </c>
    </row>
    <row r="1248" spans="1:3" x14ac:dyDescent="0.3">
      <c r="A1248" s="42">
        <v>10000000194</v>
      </c>
      <c r="B1248" s="3" t="s">
        <v>846</v>
      </c>
      <c r="C1248" s="4">
        <f t="shared" ca="1" si="12"/>
        <v>45666</v>
      </c>
    </row>
    <row r="1249" spans="1:3" x14ac:dyDescent="0.3">
      <c r="A1249" s="42">
        <v>10000000534</v>
      </c>
      <c r="B1249" s="3" t="s">
        <v>821</v>
      </c>
      <c r="C1249" s="4">
        <f t="shared" ca="1" si="12"/>
        <v>45666</v>
      </c>
    </row>
    <row r="1250" spans="1:3" x14ac:dyDescent="0.3">
      <c r="A1250" s="42">
        <v>10000000240</v>
      </c>
      <c r="B1250" s="3" t="s">
        <v>878</v>
      </c>
      <c r="C1250" s="4">
        <f t="shared" ca="1" si="12"/>
        <v>45666</v>
      </c>
    </row>
    <row r="1251" spans="1:3" x14ac:dyDescent="0.3">
      <c r="A1251" s="42">
        <v>10000000435</v>
      </c>
      <c r="B1251" s="3" t="s">
        <v>886</v>
      </c>
      <c r="C1251" s="4">
        <f t="shared" ca="1" si="12"/>
        <v>45666</v>
      </c>
    </row>
    <row r="1252" spans="1:3" x14ac:dyDescent="0.3">
      <c r="A1252" s="42">
        <v>10000000430</v>
      </c>
      <c r="B1252" s="3" t="s">
        <v>990</v>
      </c>
      <c r="C1252" s="4">
        <f t="shared" ca="1" si="12"/>
        <v>45666</v>
      </c>
    </row>
    <row r="1253" spans="1:3" x14ac:dyDescent="0.3">
      <c r="A1253" s="42">
        <v>10000000650</v>
      </c>
      <c r="B1253" s="3" t="s">
        <v>928</v>
      </c>
      <c r="C1253" s="4">
        <f t="shared" ca="1" si="12"/>
        <v>45666</v>
      </c>
    </row>
    <row r="1254" spans="1:3" x14ac:dyDescent="0.3">
      <c r="A1254" s="42">
        <v>10000000120</v>
      </c>
      <c r="B1254" s="3" t="s">
        <v>979</v>
      </c>
      <c r="C1254" s="4">
        <f t="shared" ca="1" si="12"/>
        <v>45666</v>
      </c>
    </row>
    <row r="1255" spans="1:3" x14ac:dyDescent="0.3">
      <c r="A1255" s="42">
        <v>10000000460</v>
      </c>
      <c r="B1255" s="3" t="s">
        <v>922</v>
      </c>
      <c r="C1255" s="4">
        <f t="shared" ca="1" si="12"/>
        <v>45666</v>
      </c>
    </row>
    <row r="1256" spans="1:3" x14ac:dyDescent="0.3">
      <c r="A1256" s="42">
        <v>10000000224</v>
      </c>
      <c r="B1256" s="3" t="s">
        <v>891</v>
      </c>
      <c r="C1256" s="4">
        <f t="shared" ca="1" si="12"/>
        <v>45666</v>
      </c>
    </row>
    <row r="1257" spans="1:3" x14ac:dyDescent="0.3">
      <c r="A1257" s="42">
        <v>10000000286</v>
      </c>
      <c r="B1257" s="3" t="s">
        <v>875</v>
      </c>
      <c r="C1257" s="4">
        <f t="shared" ca="1" si="12"/>
        <v>45666</v>
      </c>
    </row>
    <row r="1258" spans="1:3" x14ac:dyDescent="0.3">
      <c r="A1258" s="42">
        <v>10000000013</v>
      </c>
      <c r="B1258" s="3" t="s">
        <v>915</v>
      </c>
      <c r="C1258" s="4">
        <f t="shared" ca="1" si="12"/>
        <v>45666</v>
      </c>
    </row>
    <row r="1259" spans="1:3" x14ac:dyDescent="0.3">
      <c r="A1259" s="42">
        <v>10000000025</v>
      </c>
      <c r="B1259" s="3" t="s">
        <v>872</v>
      </c>
      <c r="C1259" s="4">
        <f t="shared" ca="1" si="12"/>
        <v>45666</v>
      </c>
    </row>
    <row r="1260" spans="1:3" x14ac:dyDescent="0.3">
      <c r="A1260" s="42">
        <v>10000000572</v>
      </c>
      <c r="B1260" s="3" t="s">
        <v>889</v>
      </c>
      <c r="C1260" s="4">
        <f t="shared" ca="1" si="12"/>
        <v>45666</v>
      </c>
    </row>
    <row r="1261" spans="1:3" x14ac:dyDescent="0.3">
      <c r="A1261" s="42">
        <v>10000000244</v>
      </c>
      <c r="B1261" s="3" t="s">
        <v>868</v>
      </c>
      <c r="C1261" s="4">
        <f t="shared" ca="1" si="12"/>
        <v>45666</v>
      </c>
    </row>
    <row r="1262" spans="1:3" x14ac:dyDescent="0.3">
      <c r="A1262" s="42">
        <v>10000000651</v>
      </c>
      <c r="B1262" s="3" t="s">
        <v>973</v>
      </c>
      <c r="C1262" s="4">
        <f t="shared" ca="1" si="12"/>
        <v>45666</v>
      </c>
    </row>
    <row r="1263" spans="1:3" x14ac:dyDescent="0.3">
      <c r="A1263" s="42">
        <v>10000000340</v>
      </c>
      <c r="B1263" s="3" t="s">
        <v>996</v>
      </c>
      <c r="C1263" s="4">
        <f t="shared" ca="1" si="12"/>
        <v>45666</v>
      </c>
    </row>
    <row r="1264" spans="1:3" x14ac:dyDescent="0.3">
      <c r="A1264" s="42">
        <v>10000000312</v>
      </c>
      <c r="B1264" s="3" t="s">
        <v>938</v>
      </c>
      <c r="C1264" s="4">
        <f t="shared" ca="1" si="12"/>
        <v>45666</v>
      </c>
    </row>
    <row r="1265" spans="1:3" x14ac:dyDescent="0.3">
      <c r="A1265" s="42">
        <v>10000000545</v>
      </c>
      <c r="B1265" s="3" t="s">
        <v>842</v>
      </c>
      <c r="C1265" s="4">
        <f t="shared" ca="1" si="12"/>
        <v>45666</v>
      </c>
    </row>
    <row r="1266" spans="1:3" x14ac:dyDescent="0.3">
      <c r="A1266" s="42">
        <v>10000000044</v>
      </c>
      <c r="B1266" s="3" t="s">
        <v>868</v>
      </c>
      <c r="C1266" s="4">
        <f t="shared" ca="1" si="12"/>
        <v>45666</v>
      </c>
    </row>
    <row r="1267" spans="1:3" x14ac:dyDescent="0.3">
      <c r="A1267" s="42">
        <v>10000000077</v>
      </c>
      <c r="B1267" s="3" t="s">
        <v>971</v>
      </c>
      <c r="C1267" s="4">
        <f t="shared" ca="1" si="12"/>
        <v>45666</v>
      </c>
    </row>
    <row r="1268" spans="1:3" x14ac:dyDescent="0.3">
      <c r="A1268" s="42">
        <v>10000000214</v>
      </c>
      <c r="B1268" s="3" t="s">
        <v>857</v>
      </c>
      <c r="C1268" s="4">
        <f t="shared" ca="1" si="12"/>
        <v>45666</v>
      </c>
    </row>
    <row r="1269" spans="1:3" x14ac:dyDescent="0.3">
      <c r="A1269" s="42">
        <v>10000000371</v>
      </c>
      <c r="B1269" s="3" t="s">
        <v>932</v>
      </c>
      <c r="C1269" s="4">
        <f t="shared" ca="1" si="12"/>
        <v>45666</v>
      </c>
    </row>
    <row r="1270" spans="1:3" x14ac:dyDescent="0.3">
      <c r="A1270" s="42">
        <v>10000000077</v>
      </c>
      <c r="B1270" s="3" t="s">
        <v>971</v>
      </c>
      <c r="C1270" s="4">
        <f t="shared" ca="1" si="12"/>
        <v>45666</v>
      </c>
    </row>
    <row r="1271" spans="1:3" x14ac:dyDescent="0.3">
      <c r="A1271" s="42">
        <v>10000000504</v>
      </c>
      <c r="B1271" s="3" t="s">
        <v>1010</v>
      </c>
      <c r="C1271" s="4">
        <f t="shared" ca="1" si="12"/>
        <v>45666</v>
      </c>
    </row>
    <row r="1272" spans="1:3" x14ac:dyDescent="0.3">
      <c r="A1272" s="42">
        <v>10000000370</v>
      </c>
      <c r="B1272" s="3" t="s">
        <v>937</v>
      </c>
      <c r="C1272" s="4">
        <f t="shared" ca="1" si="12"/>
        <v>45666</v>
      </c>
    </row>
    <row r="1273" spans="1:3" x14ac:dyDescent="0.3">
      <c r="A1273" s="42">
        <v>10000000425</v>
      </c>
      <c r="B1273" s="3" t="s">
        <v>872</v>
      </c>
      <c r="C1273" s="4">
        <f t="shared" ca="1" si="12"/>
        <v>45666</v>
      </c>
    </row>
    <row r="1274" spans="1:3" x14ac:dyDescent="0.3">
      <c r="A1274" s="42">
        <v>10000000101</v>
      </c>
      <c r="B1274" s="3" t="s">
        <v>949</v>
      </c>
      <c r="C1274" s="4">
        <f t="shared" ca="1" si="12"/>
        <v>45666</v>
      </c>
    </row>
    <row r="1275" spans="1:3" x14ac:dyDescent="0.3">
      <c r="A1275" s="42">
        <v>10000000222</v>
      </c>
      <c r="B1275" s="3" t="s">
        <v>871</v>
      </c>
      <c r="C1275" s="4">
        <f t="shared" ca="1" si="12"/>
        <v>45666</v>
      </c>
    </row>
    <row r="1276" spans="1:3" x14ac:dyDescent="0.3">
      <c r="A1276" s="42">
        <v>10000000200</v>
      </c>
      <c r="B1276" s="3" t="s">
        <v>997</v>
      </c>
      <c r="C1276" s="4">
        <f t="shared" ca="1" si="12"/>
        <v>45666</v>
      </c>
    </row>
    <row r="1277" spans="1:3" x14ac:dyDescent="0.3">
      <c r="A1277" s="42">
        <v>10000000567</v>
      </c>
      <c r="B1277" s="3" t="s">
        <v>984</v>
      </c>
      <c r="C1277" s="4">
        <f t="shared" ca="1" si="12"/>
        <v>45666</v>
      </c>
    </row>
    <row r="1278" spans="1:3" x14ac:dyDescent="0.3">
      <c r="A1278" s="42">
        <v>10000000458</v>
      </c>
      <c r="B1278" s="3" t="s">
        <v>935</v>
      </c>
      <c r="C1278" s="4">
        <f t="shared" ca="1" si="12"/>
        <v>45666</v>
      </c>
    </row>
    <row r="1279" spans="1:3" x14ac:dyDescent="0.3">
      <c r="A1279" s="42">
        <v>10000000175</v>
      </c>
      <c r="B1279" s="3" t="s">
        <v>943</v>
      </c>
      <c r="C1279" s="4">
        <f t="shared" ca="1" si="12"/>
        <v>45666</v>
      </c>
    </row>
    <row r="1280" spans="1:3" x14ac:dyDescent="0.3">
      <c r="A1280" s="42">
        <v>10000000422</v>
      </c>
      <c r="B1280" s="3" t="s">
        <v>871</v>
      </c>
      <c r="C1280" s="4">
        <f t="shared" ca="1" si="12"/>
        <v>45666</v>
      </c>
    </row>
    <row r="1281" spans="1:3" x14ac:dyDescent="0.3">
      <c r="A1281" s="42">
        <v>10000000663</v>
      </c>
      <c r="B1281" s="3" t="s">
        <v>1008</v>
      </c>
      <c r="C1281" s="4">
        <f t="shared" ca="1" si="12"/>
        <v>45666</v>
      </c>
    </row>
    <row r="1282" spans="1:3" x14ac:dyDescent="0.3">
      <c r="A1282" s="42">
        <v>10000000301</v>
      </c>
      <c r="B1282" s="3" t="s">
        <v>949</v>
      </c>
      <c r="C1282" s="4">
        <f t="shared" ca="1" si="12"/>
        <v>45666</v>
      </c>
    </row>
    <row r="1283" spans="1:3" x14ac:dyDescent="0.3">
      <c r="A1283" s="42">
        <v>10000000392</v>
      </c>
      <c r="B1283" s="3" t="s">
        <v>934</v>
      </c>
      <c r="C1283" s="4">
        <f t="shared" ca="1" si="12"/>
        <v>45666</v>
      </c>
    </row>
    <row r="1284" spans="1:3" x14ac:dyDescent="0.3">
      <c r="A1284" s="42">
        <v>10000000363</v>
      </c>
      <c r="B1284" s="3" t="s">
        <v>877</v>
      </c>
      <c r="C1284" s="4">
        <f t="shared" ca="1" si="12"/>
        <v>45666</v>
      </c>
    </row>
    <row r="1285" spans="1:3" x14ac:dyDescent="0.3">
      <c r="A1285" s="42">
        <v>10000000417</v>
      </c>
      <c r="B1285" s="3" t="s">
        <v>832</v>
      </c>
      <c r="C1285" s="4">
        <f t="shared" ca="1" si="12"/>
        <v>45666</v>
      </c>
    </row>
    <row r="1286" spans="1:3" x14ac:dyDescent="0.3">
      <c r="A1286" s="42">
        <v>10000000633</v>
      </c>
      <c r="B1286" s="3" t="s">
        <v>876</v>
      </c>
      <c r="C1286" s="4">
        <f t="shared" ca="1" si="12"/>
        <v>45666</v>
      </c>
    </row>
    <row r="1287" spans="1:3" x14ac:dyDescent="0.3">
      <c r="A1287" s="42">
        <v>10000000346</v>
      </c>
      <c r="B1287" s="3" t="s">
        <v>826</v>
      </c>
      <c r="C1287" s="4">
        <f t="shared" ca="1" si="12"/>
        <v>45666</v>
      </c>
    </row>
    <row r="1288" spans="1:3" x14ac:dyDescent="0.3">
      <c r="A1288" s="42">
        <v>10000000530</v>
      </c>
      <c r="B1288" s="3" t="s">
        <v>835</v>
      </c>
      <c r="C1288" s="4">
        <f t="shared" ca="1" si="12"/>
        <v>45666</v>
      </c>
    </row>
    <row r="1289" spans="1:3" x14ac:dyDescent="0.3">
      <c r="A1289" s="42">
        <v>10000000329</v>
      </c>
      <c r="B1289" s="3" t="s">
        <v>909</v>
      </c>
      <c r="C1289" s="4">
        <f t="shared" ca="1" si="12"/>
        <v>45666</v>
      </c>
    </row>
    <row r="1290" spans="1:3" x14ac:dyDescent="0.3">
      <c r="A1290" s="42">
        <v>10000000639</v>
      </c>
      <c r="B1290" s="3" t="s">
        <v>852</v>
      </c>
      <c r="C1290" s="4">
        <f t="shared" ca="1" si="12"/>
        <v>45666</v>
      </c>
    </row>
    <row r="1291" spans="1:3" x14ac:dyDescent="0.3">
      <c r="A1291" s="42">
        <v>10000000421</v>
      </c>
      <c r="B1291" s="3" t="s">
        <v>917</v>
      </c>
      <c r="C1291" s="4">
        <f t="shared" ca="1" si="12"/>
        <v>45666</v>
      </c>
    </row>
    <row r="1292" spans="1:3" x14ac:dyDescent="0.3">
      <c r="A1292" s="42">
        <v>10000000648</v>
      </c>
      <c r="B1292" s="3" t="s">
        <v>856</v>
      </c>
      <c r="C1292" s="4">
        <f t="shared" ca="1" si="12"/>
        <v>45666</v>
      </c>
    </row>
    <row r="1293" spans="1:3" x14ac:dyDescent="0.3">
      <c r="A1293" s="42">
        <v>10000000314</v>
      </c>
      <c r="B1293" s="3" t="s">
        <v>1000</v>
      </c>
      <c r="C1293" s="4">
        <f t="shared" ca="1" si="12"/>
        <v>45666</v>
      </c>
    </row>
    <row r="1294" spans="1:3" x14ac:dyDescent="0.3">
      <c r="A1294" s="42">
        <v>10000000265</v>
      </c>
      <c r="B1294" s="3" t="s">
        <v>961</v>
      </c>
      <c r="C1294" s="4">
        <f t="shared" ca="1" si="12"/>
        <v>45666</v>
      </c>
    </row>
    <row r="1295" spans="1:3" x14ac:dyDescent="0.3">
      <c r="A1295" s="42">
        <v>10000000505</v>
      </c>
      <c r="B1295" s="3" t="s">
        <v>968</v>
      </c>
      <c r="C1295" s="4">
        <f t="shared" ca="1" si="12"/>
        <v>45666</v>
      </c>
    </row>
    <row r="1296" spans="1:3" x14ac:dyDescent="0.3">
      <c r="A1296" s="42">
        <v>10000000537</v>
      </c>
      <c r="B1296" s="3" t="s">
        <v>923</v>
      </c>
      <c r="C1296" s="4">
        <f t="shared" ca="1" si="12"/>
        <v>45666</v>
      </c>
    </row>
    <row r="1297" spans="1:3" x14ac:dyDescent="0.3">
      <c r="A1297" s="42">
        <v>10000000658</v>
      </c>
      <c r="B1297" s="3" t="s">
        <v>935</v>
      </c>
      <c r="C1297" s="4">
        <f t="shared" ca="1" si="12"/>
        <v>45666</v>
      </c>
    </row>
    <row r="1298" spans="1:3" x14ac:dyDescent="0.3">
      <c r="A1298" s="42">
        <v>10000000670</v>
      </c>
      <c r="B1298" s="3" t="s">
        <v>834</v>
      </c>
      <c r="C1298" s="4">
        <f t="shared" ca="1" si="12"/>
        <v>45666</v>
      </c>
    </row>
    <row r="1299" spans="1:3" x14ac:dyDescent="0.3">
      <c r="A1299" s="42">
        <v>10000000047</v>
      </c>
      <c r="B1299" s="3" t="s">
        <v>967</v>
      </c>
      <c r="C1299" s="4">
        <f t="shared" ca="1" si="12"/>
        <v>45666</v>
      </c>
    </row>
    <row r="1300" spans="1:3" x14ac:dyDescent="0.3">
      <c r="A1300" s="42">
        <v>10000000141</v>
      </c>
      <c r="B1300" s="3" t="s">
        <v>859</v>
      </c>
      <c r="C1300" s="4">
        <f t="shared" ca="1" si="12"/>
        <v>45666</v>
      </c>
    </row>
    <row r="1301" spans="1:3" x14ac:dyDescent="0.3">
      <c r="A1301" s="42">
        <v>10000000415</v>
      </c>
      <c r="B1301" s="3" t="s">
        <v>913</v>
      </c>
      <c r="C1301" s="4">
        <f t="shared" ca="1" si="12"/>
        <v>45666</v>
      </c>
    </row>
    <row r="1302" spans="1:3" x14ac:dyDescent="0.3">
      <c r="A1302" s="42">
        <v>10000000055</v>
      </c>
      <c r="B1302" s="3" t="s">
        <v>888</v>
      </c>
      <c r="C1302" s="4">
        <f t="shared" ca="1" si="12"/>
        <v>45666</v>
      </c>
    </row>
    <row r="1303" spans="1:3" x14ac:dyDescent="0.3">
      <c r="A1303" s="42">
        <v>10000000340</v>
      </c>
      <c r="B1303" s="3" t="s">
        <v>996</v>
      </c>
      <c r="C1303" s="4">
        <f t="shared" ca="1" si="12"/>
        <v>45666</v>
      </c>
    </row>
    <row r="1304" spans="1:3" x14ac:dyDescent="0.3">
      <c r="A1304" s="42">
        <v>10000000481</v>
      </c>
      <c r="B1304" s="3" t="s">
        <v>964</v>
      </c>
      <c r="C1304" s="4">
        <f t="shared" ca="1" si="12"/>
        <v>45666</v>
      </c>
    </row>
    <row r="1305" spans="1:3" x14ac:dyDescent="0.3">
      <c r="A1305" s="42">
        <v>10000000232</v>
      </c>
      <c r="B1305" s="3" t="s">
        <v>896</v>
      </c>
      <c r="C1305" s="4">
        <f t="shared" ca="1" si="12"/>
        <v>45666</v>
      </c>
    </row>
    <row r="1306" spans="1:3" x14ac:dyDescent="0.3">
      <c r="A1306" s="42">
        <v>10000000412</v>
      </c>
      <c r="B1306" s="3" t="s">
        <v>1019</v>
      </c>
      <c r="C1306" s="4">
        <f t="shared" ca="1" si="12"/>
        <v>45666</v>
      </c>
    </row>
    <row r="1307" spans="1:3" x14ac:dyDescent="0.3">
      <c r="A1307" s="42">
        <v>10000000596</v>
      </c>
      <c r="B1307" s="3" t="s">
        <v>881</v>
      </c>
      <c r="C1307" s="4">
        <f t="shared" ca="1" si="12"/>
        <v>45666</v>
      </c>
    </row>
    <row r="1308" spans="1:3" x14ac:dyDescent="0.3">
      <c r="A1308" s="42">
        <v>10000000019</v>
      </c>
      <c r="B1308" s="3" t="s">
        <v>975</v>
      </c>
      <c r="C1308" s="4">
        <f t="shared" ca="1" si="12"/>
        <v>45666</v>
      </c>
    </row>
    <row r="1309" spans="1:3" x14ac:dyDescent="0.3">
      <c r="A1309" s="42">
        <v>10000000451</v>
      </c>
      <c r="B1309" s="3" t="s">
        <v>973</v>
      </c>
      <c r="C1309" s="4">
        <f t="shared" ca="1" si="12"/>
        <v>45666</v>
      </c>
    </row>
    <row r="1310" spans="1:3" x14ac:dyDescent="0.3">
      <c r="A1310" s="42">
        <v>10000000614</v>
      </c>
      <c r="B1310" s="3" t="s">
        <v>857</v>
      </c>
      <c r="C1310" s="4">
        <f t="shared" ca="1" si="12"/>
        <v>45666</v>
      </c>
    </row>
    <row r="1311" spans="1:3" x14ac:dyDescent="0.3">
      <c r="A1311" s="42">
        <v>10000000670</v>
      </c>
      <c r="B1311" s="3" t="s">
        <v>834</v>
      </c>
      <c r="C1311" s="4">
        <f t="shared" ca="1" si="12"/>
        <v>45666</v>
      </c>
    </row>
    <row r="1312" spans="1:3" x14ac:dyDescent="0.3">
      <c r="A1312" s="42">
        <v>10000000317</v>
      </c>
      <c r="B1312" s="3" t="s">
        <v>918</v>
      </c>
      <c r="C1312" s="4">
        <f t="shared" ca="1" si="12"/>
        <v>45666</v>
      </c>
    </row>
    <row r="1313" spans="1:3" x14ac:dyDescent="0.3">
      <c r="A1313" s="42">
        <v>10000000646</v>
      </c>
      <c r="B1313" s="3" t="s">
        <v>930</v>
      </c>
      <c r="C1313" s="4">
        <f t="shared" ca="1" si="12"/>
        <v>45666</v>
      </c>
    </row>
    <row r="1314" spans="1:3" x14ac:dyDescent="0.3">
      <c r="A1314" s="42">
        <v>10000000433</v>
      </c>
      <c r="B1314" s="3" t="s">
        <v>876</v>
      </c>
      <c r="C1314" s="4">
        <f t="shared" ca="1" si="12"/>
        <v>45666</v>
      </c>
    </row>
    <row r="1315" spans="1:3" x14ac:dyDescent="0.3">
      <c r="A1315" s="42">
        <v>10000000495</v>
      </c>
      <c r="B1315" s="3" t="s">
        <v>908</v>
      </c>
      <c r="C1315" s="4">
        <f t="shared" ca="1" si="12"/>
        <v>45666</v>
      </c>
    </row>
    <row r="1316" spans="1:3" x14ac:dyDescent="0.3">
      <c r="A1316" s="42">
        <v>10000000131</v>
      </c>
      <c r="B1316" s="3" t="s">
        <v>945</v>
      </c>
      <c r="C1316" s="4">
        <f t="shared" ca="1" si="12"/>
        <v>45666</v>
      </c>
    </row>
    <row r="1317" spans="1:3" x14ac:dyDescent="0.3">
      <c r="A1317" s="42">
        <v>10000000637</v>
      </c>
      <c r="B1317" s="3" t="s">
        <v>885</v>
      </c>
      <c r="C1317" s="4">
        <f t="shared" ca="1" si="12"/>
        <v>45666</v>
      </c>
    </row>
    <row r="1318" spans="1:3" x14ac:dyDescent="0.3">
      <c r="A1318" s="42">
        <v>10000000328</v>
      </c>
      <c r="B1318" s="3" t="s">
        <v>999</v>
      </c>
      <c r="C1318" s="4">
        <f t="shared" ca="1" si="12"/>
        <v>45666</v>
      </c>
    </row>
    <row r="1319" spans="1:3" x14ac:dyDescent="0.3">
      <c r="A1319" s="42">
        <v>10000000328</v>
      </c>
      <c r="B1319" s="3" t="s">
        <v>999</v>
      </c>
      <c r="C1319" s="4">
        <f t="shared" ca="1" si="12"/>
        <v>45666</v>
      </c>
    </row>
    <row r="1320" spans="1:3" x14ac:dyDescent="0.3">
      <c r="A1320" s="42">
        <v>10000000612</v>
      </c>
      <c r="B1320" s="3" t="s">
        <v>1019</v>
      </c>
      <c r="C1320" s="4">
        <f t="shared" ca="1" si="12"/>
        <v>45666</v>
      </c>
    </row>
    <row r="1321" spans="1:3" x14ac:dyDescent="0.3">
      <c r="A1321" s="42">
        <v>10000000052</v>
      </c>
      <c r="B1321" s="3" t="s">
        <v>976</v>
      </c>
      <c r="C1321" s="4">
        <f t="shared" ca="1" si="12"/>
        <v>45666</v>
      </c>
    </row>
    <row r="1322" spans="1:3" x14ac:dyDescent="0.3">
      <c r="A1322" s="42">
        <v>10000000060</v>
      </c>
      <c r="B1322" s="3" t="s">
        <v>922</v>
      </c>
      <c r="C1322" s="4">
        <f t="shared" ca="1" si="12"/>
        <v>45666</v>
      </c>
    </row>
    <row r="1323" spans="1:3" x14ac:dyDescent="0.3">
      <c r="A1323" s="42">
        <v>10000000540</v>
      </c>
      <c r="B1323" s="3" t="s">
        <v>996</v>
      </c>
      <c r="C1323" s="4">
        <f t="shared" ca="1" si="12"/>
        <v>45666</v>
      </c>
    </row>
    <row r="1324" spans="1:3" x14ac:dyDescent="0.3">
      <c r="A1324" s="42">
        <v>10000000553</v>
      </c>
      <c r="B1324" s="3" t="s">
        <v>825</v>
      </c>
      <c r="C1324" s="4">
        <f t="shared" ca="1" si="12"/>
        <v>45666</v>
      </c>
    </row>
    <row r="1325" spans="1:3" x14ac:dyDescent="0.3">
      <c r="A1325" s="42">
        <v>10000000486</v>
      </c>
      <c r="B1325" s="3" t="s">
        <v>875</v>
      </c>
      <c r="C1325" s="4">
        <f t="shared" ca="1" si="12"/>
        <v>45666</v>
      </c>
    </row>
    <row r="1326" spans="1:3" x14ac:dyDescent="0.3">
      <c r="A1326" s="42">
        <v>10000000320</v>
      </c>
      <c r="B1326" s="3" t="s">
        <v>979</v>
      </c>
      <c r="C1326" s="4">
        <f t="shared" ca="1" si="12"/>
        <v>45666</v>
      </c>
    </row>
    <row r="1327" spans="1:3" x14ac:dyDescent="0.3">
      <c r="A1327" s="42">
        <v>10000000411</v>
      </c>
      <c r="B1327" s="3" t="s">
        <v>1005</v>
      </c>
      <c r="C1327" s="4">
        <f t="shared" ca="1" si="12"/>
        <v>45666</v>
      </c>
    </row>
    <row r="1328" spans="1:3" x14ac:dyDescent="0.3">
      <c r="A1328" s="42">
        <v>10000000606</v>
      </c>
      <c r="B1328" s="3" t="s">
        <v>953</v>
      </c>
      <c r="C1328" s="4">
        <f t="shared" ca="1" si="12"/>
        <v>45666</v>
      </c>
    </row>
    <row r="1329" spans="1:3" x14ac:dyDescent="0.3">
      <c r="A1329" s="42">
        <v>10000000590</v>
      </c>
      <c r="B1329" s="3" t="s">
        <v>860</v>
      </c>
      <c r="C1329" s="4">
        <f t="shared" ca="1" si="12"/>
        <v>45666</v>
      </c>
    </row>
    <row r="1330" spans="1:3" x14ac:dyDescent="0.3">
      <c r="A1330" s="42">
        <v>10000000684</v>
      </c>
      <c r="B1330" s="3" t="s">
        <v>970</v>
      </c>
      <c r="C1330" s="4">
        <f t="shared" ca="1" si="12"/>
        <v>45666</v>
      </c>
    </row>
    <row r="1331" spans="1:3" x14ac:dyDescent="0.3">
      <c r="A1331" s="42">
        <v>10000000144</v>
      </c>
      <c r="B1331" s="3" t="s">
        <v>854</v>
      </c>
      <c r="C1331" s="4">
        <f t="shared" ca="1" si="12"/>
        <v>45666</v>
      </c>
    </row>
    <row r="1332" spans="1:3" x14ac:dyDescent="0.3">
      <c r="A1332" s="42">
        <v>10000000635</v>
      </c>
      <c r="B1332" s="3" t="s">
        <v>886</v>
      </c>
      <c r="C1332" s="4">
        <f t="shared" ca="1" si="12"/>
        <v>45666</v>
      </c>
    </row>
    <row r="1333" spans="1:3" x14ac:dyDescent="0.3">
      <c r="A1333" s="42">
        <v>10000000407</v>
      </c>
      <c r="B1333" s="3" t="s">
        <v>902</v>
      </c>
      <c r="C1333" s="4">
        <f t="shared" ca="1" si="12"/>
        <v>45666</v>
      </c>
    </row>
    <row r="1334" spans="1:3" x14ac:dyDescent="0.3">
      <c r="A1334" s="42">
        <v>10000000483</v>
      </c>
      <c r="B1334" s="3" t="s">
        <v>958</v>
      </c>
      <c r="C1334" s="4">
        <f t="shared" ca="1" si="12"/>
        <v>45666</v>
      </c>
    </row>
    <row r="1335" spans="1:3" x14ac:dyDescent="0.3">
      <c r="A1335" s="42">
        <v>10000000034</v>
      </c>
      <c r="B1335" s="3" t="s">
        <v>910</v>
      </c>
      <c r="C1335" s="4">
        <f t="shared" ca="1" si="12"/>
        <v>45666</v>
      </c>
    </row>
    <row r="1336" spans="1:3" x14ac:dyDescent="0.3">
      <c r="A1336" s="42">
        <v>10000000391</v>
      </c>
      <c r="B1336" s="3" t="s">
        <v>987</v>
      </c>
      <c r="C1336" s="4">
        <f t="shared" ca="1" si="12"/>
        <v>45666</v>
      </c>
    </row>
    <row r="1337" spans="1:3" x14ac:dyDescent="0.3">
      <c r="A1337" s="42">
        <v>10000000153</v>
      </c>
      <c r="B1337" s="3" t="s">
        <v>825</v>
      </c>
      <c r="C1337" s="4">
        <f t="shared" ca="1" si="12"/>
        <v>45666</v>
      </c>
    </row>
    <row r="1338" spans="1:3" x14ac:dyDescent="0.3">
      <c r="A1338" s="42">
        <v>10000000697</v>
      </c>
      <c r="B1338" s="3" t="s">
        <v>892</v>
      </c>
      <c r="C1338" s="4">
        <f t="shared" ref="C1338:C1458" ca="1" si="13">TODAY()-341</f>
        <v>45696</v>
      </c>
    </row>
    <row r="1339" spans="1:3" x14ac:dyDescent="0.3">
      <c r="A1339" s="42">
        <v>10000000096</v>
      </c>
      <c r="B1339" s="3" t="s">
        <v>879</v>
      </c>
      <c r="C1339" s="4">
        <f t="shared" ca="1" si="13"/>
        <v>45696</v>
      </c>
    </row>
    <row r="1340" spans="1:3" x14ac:dyDescent="0.3">
      <c r="A1340" s="42">
        <v>10000000190</v>
      </c>
      <c r="B1340" s="3" t="s">
        <v>860</v>
      </c>
      <c r="C1340" s="4">
        <f t="shared" ca="1" si="13"/>
        <v>45696</v>
      </c>
    </row>
    <row r="1341" spans="1:3" x14ac:dyDescent="0.3">
      <c r="A1341" s="42">
        <v>10000000314</v>
      </c>
      <c r="B1341" s="3" t="s">
        <v>1000</v>
      </c>
      <c r="C1341" s="4">
        <f t="shared" ca="1" si="13"/>
        <v>45696</v>
      </c>
    </row>
    <row r="1342" spans="1:3" x14ac:dyDescent="0.3">
      <c r="A1342" s="42">
        <v>10000000366</v>
      </c>
      <c r="B1342" s="3" t="s">
        <v>957</v>
      </c>
      <c r="C1342" s="4">
        <f t="shared" ca="1" si="13"/>
        <v>45696</v>
      </c>
    </row>
    <row r="1343" spans="1:3" x14ac:dyDescent="0.3">
      <c r="A1343" s="42">
        <v>10000000570</v>
      </c>
      <c r="B1343" s="3" t="s">
        <v>937</v>
      </c>
      <c r="C1343" s="4">
        <f t="shared" ca="1" si="13"/>
        <v>45696</v>
      </c>
    </row>
    <row r="1344" spans="1:3" x14ac:dyDescent="0.3">
      <c r="A1344" s="42">
        <v>10000000147</v>
      </c>
      <c r="B1344" s="3" t="s">
        <v>982</v>
      </c>
      <c r="C1344" s="4">
        <f t="shared" ca="1" si="13"/>
        <v>45696</v>
      </c>
    </row>
    <row r="1345" spans="1:3" x14ac:dyDescent="0.3">
      <c r="A1345" s="42">
        <v>10000000011</v>
      </c>
      <c r="B1345" s="3" t="s">
        <v>1005</v>
      </c>
      <c r="C1345" s="4">
        <f t="shared" ca="1" si="13"/>
        <v>45696</v>
      </c>
    </row>
    <row r="1346" spans="1:3" x14ac:dyDescent="0.3">
      <c r="A1346" s="42">
        <v>10000000424</v>
      </c>
      <c r="B1346" s="3" t="s">
        <v>891</v>
      </c>
      <c r="C1346" s="4">
        <f t="shared" ca="1" si="13"/>
        <v>45696</v>
      </c>
    </row>
    <row r="1347" spans="1:3" x14ac:dyDescent="0.3">
      <c r="A1347" s="42">
        <v>10000000469</v>
      </c>
      <c r="B1347" s="3" t="s">
        <v>866</v>
      </c>
      <c r="C1347" s="4">
        <f t="shared" ca="1" si="13"/>
        <v>45696</v>
      </c>
    </row>
    <row r="1348" spans="1:3" x14ac:dyDescent="0.3">
      <c r="A1348" s="42">
        <v>10000000101</v>
      </c>
      <c r="B1348" s="3" t="s">
        <v>949</v>
      </c>
      <c r="C1348" s="4">
        <f t="shared" ca="1" si="13"/>
        <v>45696</v>
      </c>
    </row>
    <row r="1349" spans="1:3" x14ac:dyDescent="0.3">
      <c r="A1349" s="42">
        <v>10000000335</v>
      </c>
      <c r="B1349" s="3" t="s">
        <v>1006</v>
      </c>
      <c r="C1349" s="4">
        <f t="shared" ca="1" si="13"/>
        <v>45696</v>
      </c>
    </row>
    <row r="1350" spans="1:3" x14ac:dyDescent="0.3">
      <c r="A1350" s="42">
        <v>10000000436</v>
      </c>
      <c r="B1350" s="3" t="s">
        <v>873</v>
      </c>
      <c r="C1350" s="4">
        <f t="shared" ca="1" si="13"/>
        <v>45696</v>
      </c>
    </row>
    <row r="1351" spans="1:3" x14ac:dyDescent="0.3">
      <c r="A1351" s="42">
        <v>10000000540</v>
      </c>
      <c r="B1351" s="3" t="s">
        <v>996</v>
      </c>
      <c r="C1351" s="4">
        <f t="shared" ca="1" si="13"/>
        <v>45696</v>
      </c>
    </row>
    <row r="1352" spans="1:3" x14ac:dyDescent="0.3">
      <c r="A1352" s="42">
        <v>10000000004</v>
      </c>
      <c r="B1352" s="3" t="s">
        <v>925</v>
      </c>
      <c r="C1352" s="4">
        <f t="shared" ca="1" si="13"/>
        <v>45696</v>
      </c>
    </row>
    <row r="1353" spans="1:3" x14ac:dyDescent="0.3">
      <c r="A1353" s="42">
        <v>10000000476</v>
      </c>
      <c r="B1353" s="3" t="s">
        <v>899</v>
      </c>
      <c r="C1353" s="4">
        <f t="shared" ca="1" si="13"/>
        <v>45696</v>
      </c>
    </row>
    <row r="1354" spans="1:3" x14ac:dyDescent="0.3">
      <c r="A1354" s="42">
        <v>10000000031</v>
      </c>
      <c r="B1354" s="3" t="s">
        <v>947</v>
      </c>
      <c r="C1354" s="4">
        <f t="shared" ca="1" si="13"/>
        <v>45696</v>
      </c>
    </row>
    <row r="1355" spans="1:3" x14ac:dyDescent="0.3">
      <c r="A1355" s="42">
        <v>10000000048</v>
      </c>
      <c r="B1355" s="3" t="s">
        <v>856</v>
      </c>
      <c r="C1355" s="4">
        <f t="shared" ca="1" si="13"/>
        <v>45696</v>
      </c>
    </row>
    <row r="1356" spans="1:3" x14ac:dyDescent="0.3">
      <c r="A1356" s="42">
        <v>10000000116</v>
      </c>
      <c r="B1356" s="3" t="s">
        <v>847</v>
      </c>
      <c r="C1356" s="4">
        <f t="shared" ca="1" si="13"/>
        <v>45696</v>
      </c>
    </row>
    <row r="1357" spans="1:3" x14ac:dyDescent="0.3">
      <c r="A1357" s="42">
        <v>10000000237</v>
      </c>
      <c r="B1357" s="3" t="s">
        <v>885</v>
      </c>
      <c r="C1357" s="4">
        <f t="shared" ca="1" si="13"/>
        <v>45696</v>
      </c>
    </row>
    <row r="1358" spans="1:3" x14ac:dyDescent="0.3">
      <c r="A1358" s="42">
        <v>10000000463</v>
      </c>
      <c r="B1358" s="3" t="s">
        <v>1008</v>
      </c>
      <c r="C1358" s="4">
        <f t="shared" ca="1" si="13"/>
        <v>45696</v>
      </c>
    </row>
    <row r="1359" spans="1:3" x14ac:dyDescent="0.3">
      <c r="A1359" s="42">
        <v>10000000685</v>
      </c>
      <c r="B1359" s="3" t="s">
        <v>962</v>
      </c>
      <c r="C1359" s="4">
        <f t="shared" ca="1" si="13"/>
        <v>45696</v>
      </c>
    </row>
    <row r="1360" spans="1:3" x14ac:dyDescent="0.3">
      <c r="A1360" s="42">
        <v>10000000400</v>
      </c>
      <c r="B1360" s="3" t="s">
        <v>997</v>
      </c>
      <c r="C1360" s="4">
        <f t="shared" ca="1" si="13"/>
        <v>45696</v>
      </c>
    </row>
    <row r="1361" spans="1:3" x14ac:dyDescent="0.3">
      <c r="A1361" s="42">
        <v>10000000017</v>
      </c>
      <c r="B1361" s="3" t="s">
        <v>832</v>
      </c>
      <c r="C1361" s="4">
        <f t="shared" ca="1" si="13"/>
        <v>45696</v>
      </c>
    </row>
    <row r="1362" spans="1:3" x14ac:dyDescent="0.3">
      <c r="A1362" s="42">
        <v>10000000691</v>
      </c>
      <c r="B1362" s="3" t="s">
        <v>864</v>
      </c>
      <c r="C1362" s="4">
        <f t="shared" ca="1" si="13"/>
        <v>45696</v>
      </c>
    </row>
    <row r="1363" spans="1:3" x14ac:dyDescent="0.3">
      <c r="A1363" s="42">
        <v>10000000249</v>
      </c>
      <c r="B1363" s="3" t="s">
        <v>951</v>
      </c>
      <c r="C1363" s="4">
        <f t="shared" ca="1" si="13"/>
        <v>45696</v>
      </c>
    </row>
    <row r="1364" spans="1:3" x14ac:dyDescent="0.3">
      <c r="A1364" s="42">
        <v>10000000345</v>
      </c>
      <c r="B1364" s="3" t="s">
        <v>842</v>
      </c>
      <c r="C1364" s="4">
        <f t="shared" ca="1" si="13"/>
        <v>45696</v>
      </c>
    </row>
    <row r="1365" spans="1:3" x14ac:dyDescent="0.3">
      <c r="A1365" s="42">
        <v>10000000514</v>
      </c>
      <c r="B1365" s="3" t="s">
        <v>1000</v>
      </c>
      <c r="C1365" s="4">
        <f t="shared" ca="1" si="13"/>
        <v>45696</v>
      </c>
    </row>
    <row r="1366" spans="1:3" x14ac:dyDescent="0.3">
      <c r="A1366" s="42">
        <v>10000000585</v>
      </c>
      <c r="B1366" s="3" t="s">
        <v>989</v>
      </c>
      <c r="C1366" s="4">
        <f t="shared" ca="1" si="13"/>
        <v>45696</v>
      </c>
    </row>
    <row r="1367" spans="1:3" x14ac:dyDescent="0.3">
      <c r="A1367" s="42">
        <v>10000000133</v>
      </c>
      <c r="B1367" s="3" t="s">
        <v>963</v>
      </c>
      <c r="C1367" s="4">
        <f t="shared" ca="1" si="13"/>
        <v>45696</v>
      </c>
    </row>
    <row r="1368" spans="1:3" x14ac:dyDescent="0.3">
      <c r="A1368" s="42">
        <v>10000000563</v>
      </c>
      <c r="B1368" s="3" t="s">
        <v>877</v>
      </c>
      <c r="C1368" s="4">
        <f t="shared" ca="1" si="13"/>
        <v>45696</v>
      </c>
    </row>
    <row r="1369" spans="1:3" x14ac:dyDescent="0.3">
      <c r="A1369" s="42">
        <v>10000000600</v>
      </c>
      <c r="B1369" s="3" t="s">
        <v>997</v>
      </c>
      <c r="C1369" s="4">
        <f t="shared" ca="1" si="13"/>
        <v>45696</v>
      </c>
    </row>
    <row r="1370" spans="1:3" x14ac:dyDescent="0.3">
      <c r="A1370" s="42">
        <v>10000000012</v>
      </c>
      <c r="B1370" s="3" t="s">
        <v>1019</v>
      </c>
      <c r="C1370" s="4">
        <f t="shared" ca="1" si="13"/>
        <v>45696</v>
      </c>
    </row>
    <row r="1371" spans="1:3" x14ac:dyDescent="0.3">
      <c r="A1371" s="42">
        <v>10000000493</v>
      </c>
      <c r="B1371" s="3" t="s">
        <v>969</v>
      </c>
      <c r="C1371" s="4">
        <f t="shared" ca="1" si="13"/>
        <v>45696</v>
      </c>
    </row>
    <row r="1372" spans="1:3" x14ac:dyDescent="0.3">
      <c r="A1372" s="42">
        <v>10000000174</v>
      </c>
      <c r="B1372" s="3" t="s">
        <v>845</v>
      </c>
      <c r="C1372" s="4">
        <f t="shared" ca="1" si="13"/>
        <v>45696</v>
      </c>
    </row>
    <row r="1373" spans="1:3" x14ac:dyDescent="0.3">
      <c r="A1373" s="42">
        <v>10000000245</v>
      </c>
      <c r="B1373" s="3" t="s">
        <v>843</v>
      </c>
      <c r="C1373" s="4">
        <f t="shared" ca="1" si="13"/>
        <v>45696</v>
      </c>
    </row>
    <row r="1374" spans="1:3" x14ac:dyDescent="0.3">
      <c r="A1374" s="42">
        <v>10000000371</v>
      </c>
      <c r="B1374" s="3" t="s">
        <v>932</v>
      </c>
      <c r="C1374" s="4">
        <f t="shared" ca="1" si="13"/>
        <v>45696</v>
      </c>
    </row>
    <row r="1375" spans="1:3" x14ac:dyDescent="0.3">
      <c r="A1375" s="42">
        <v>10000000526</v>
      </c>
      <c r="B1375" s="3" t="s">
        <v>985</v>
      </c>
      <c r="C1375" s="4">
        <f t="shared" ca="1" si="13"/>
        <v>45696</v>
      </c>
    </row>
    <row r="1376" spans="1:3" x14ac:dyDescent="0.3">
      <c r="A1376" s="42">
        <v>10000000568</v>
      </c>
      <c r="B1376" s="3" t="s">
        <v>903</v>
      </c>
      <c r="C1376" s="4">
        <f t="shared" ca="1" si="13"/>
        <v>45696</v>
      </c>
    </row>
    <row r="1377" spans="1:3" x14ac:dyDescent="0.3">
      <c r="A1377" s="42">
        <v>10000000627</v>
      </c>
      <c r="B1377" s="3" t="s">
        <v>828</v>
      </c>
      <c r="C1377" s="4">
        <f t="shared" ca="1" si="13"/>
        <v>45696</v>
      </c>
    </row>
    <row r="1378" spans="1:3" x14ac:dyDescent="0.3">
      <c r="A1378" s="42">
        <v>10000000339</v>
      </c>
      <c r="B1378" s="3" t="s">
        <v>995</v>
      </c>
      <c r="C1378" s="4">
        <f t="shared" ca="1" si="13"/>
        <v>45696</v>
      </c>
    </row>
    <row r="1379" spans="1:3" x14ac:dyDescent="0.3">
      <c r="A1379" s="42">
        <v>10000000562</v>
      </c>
      <c r="B1379" s="3" t="s">
        <v>926</v>
      </c>
      <c r="C1379" s="4">
        <f t="shared" ca="1" si="13"/>
        <v>45696</v>
      </c>
    </row>
    <row r="1380" spans="1:3" x14ac:dyDescent="0.3">
      <c r="A1380" s="42">
        <v>10000000497</v>
      </c>
      <c r="B1380" s="3" t="s">
        <v>892</v>
      </c>
      <c r="C1380" s="4">
        <f t="shared" ca="1" si="13"/>
        <v>45696</v>
      </c>
    </row>
    <row r="1381" spans="1:3" x14ac:dyDescent="0.3">
      <c r="A1381" s="42">
        <v>10000000229</v>
      </c>
      <c r="B1381" s="3" t="s">
        <v>898</v>
      </c>
      <c r="C1381" s="4">
        <f t="shared" ca="1" si="13"/>
        <v>45696</v>
      </c>
    </row>
    <row r="1382" spans="1:3" x14ac:dyDescent="0.3">
      <c r="A1382" s="42">
        <v>10000000154</v>
      </c>
      <c r="B1382" s="3" t="s">
        <v>840</v>
      </c>
      <c r="C1382" s="4">
        <f t="shared" ca="1" si="13"/>
        <v>45696</v>
      </c>
    </row>
    <row r="1383" spans="1:3" x14ac:dyDescent="0.3">
      <c r="A1383" s="42">
        <v>10000000187</v>
      </c>
      <c r="B1383" s="3" t="s">
        <v>905</v>
      </c>
      <c r="C1383" s="4">
        <f t="shared" ca="1" si="13"/>
        <v>45696</v>
      </c>
    </row>
    <row r="1384" spans="1:3" x14ac:dyDescent="0.3">
      <c r="A1384" s="42">
        <v>10000000474</v>
      </c>
      <c r="B1384" s="3" t="s">
        <v>981</v>
      </c>
      <c r="C1384" s="4">
        <f t="shared" ca="1" si="13"/>
        <v>45696</v>
      </c>
    </row>
    <row r="1385" spans="1:3" x14ac:dyDescent="0.3">
      <c r="A1385" s="42">
        <v>10000000603</v>
      </c>
      <c r="B1385" s="3" t="s">
        <v>952</v>
      </c>
      <c r="C1385" s="4">
        <f t="shared" ca="1" si="13"/>
        <v>45696</v>
      </c>
    </row>
    <row r="1386" spans="1:3" x14ac:dyDescent="0.3">
      <c r="A1386" s="42">
        <v>10000000377</v>
      </c>
      <c r="B1386" s="3" t="s">
        <v>1004</v>
      </c>
      <c r="C1386" s="4">
        <f t="shared" ca="1" si="13"/>
        <v>45696</v>
      </c>
    </row>
    <row r="1387" spans="1:3" x14ac:dyDescent="0.3">
      <c r="A1387" s="42">
        <v>10000000587</v>
      </c>
      <c r="B1387" s="3" t="s">
        <v>905</v>
      </c>
      <c r="C1387" s="4">
        <f t="shared" ca="1" si="13"/>
        <v>45696</v>
      </c>
    </row>
    <row r="1388" spans="1:3" x14ac:dyDescent="0.3">
      <c r="A1388" s="42">
        <v>10000000490</v>
      </c>
      <c r="B1388" s="3" t="s">
        <v>848</v>
      </c>
      <c r="C1388" s="4">
        <f t="shared" ca="1" si="13"/>
        <v>45696</v>
      </c>
    </row>
    <row r="1389" spans="1:3" x14ac:dyDescent="0.3">
      <c r="A1389" s="42">
        <v>10000000654</v>
      </c>
      <c r="B1389" s="3" t="s">
        <v>893</v>
      </c>
      <c r="C1389" s="4">
        <f t="shared" ca="1" si="13"/>
        <v>45696</v>
      </c>
    </row>
    <row r="1390" spans="1:3" x14ac:dyDescent="0.3">
      <c r="A1390" s="42">
        <v>10000000591</v>
      </c>
      <c r="B1390" s="3" t="s">
        <v>987</v>
      </c>
      <c r="C1390" s="4">
        <f t="shared" ca="1" si="13"/>
        <v>45696</v>
      </c>
    </row>
    <row r="1391" spans="1:3" x14ac:dyDescent="0.3">
      <c r="A1391" s="42">
        <v>10000000238</v>
      </c>
      <c r="B1391" s="3" t="s">
        <v>867</v>
      </c>
      <c r="C1391" s="4">
        <f t="shared" ca="1" si="13"/>
        <v>45696</v>
      </c>
    </row>
    <row r="1392" spans="1:3" x14ac:dyDescent="0.3">
      <c r="A1392" s="42">
        <v>10000000484</v>
      </c>
      <c r="B1392" s="3" t="s">
        <v>970</v>
      </c>
      <c r="C1392" s="4">
        <f t="shared" ca="1" si="13"/>
        <v>45696</v>
      </c>
    </row>
    <row r="1393" spans="1:3" x14ac:dyDescent="0.3">
      <c r="A1393" s="42">
        <v>10000000222</v>
      </c>
      <c r="B1393" s="3" t="s">
        <v>871</v>
      </c>
      <c r="C1393" s="4">
        <f t="shared" ca="1" si="13"/>
        <v>45696</v>
      </c>
    </row>
    <row r="1394" spans="1:3" x14ac:dyDescent="0.3">
      <c r="A1394" s="42">
        <v>10000000134</v>
      </c>
      <c r="B1394" s="3" t="s">
        <v>821</v>
      </c>
      <c r="C1394" s="4">
        <f t="shared" ca="1" si="13"/>
        <v>45696</v>
      </c>
    </row>
    <row r="1395" spans="1:3" x14ac:dyDescent="0.3">
      <c r="A1395" s="42">
        <v>10000000358</v>
      </c>
      <c r="B1395" s="3" t="s">
        <v>994</v>
      </c>
      <c r="C1395" s="4">
        <f t="shared" ca="1" si="13"/>
        <v>45696</v>
      </c>
    </row>
    <row r="1396" spans="1:3" x14ac:dyDescent="0.3">
      <c r="A1396" s="42">
        <v>10000000290</v>
      </c>
      <c r="B1396" s="3" t="s">
        <v>848</v>
      </c>
      <c r="C1396" s="4">
        <f t="shared" ca="1" si="13"/>
        <v>45696</v>
      </c>
    </row>
    <row r="1397" spans="1:3" x14ac:dyDescent="0.3">
      <c r="A1397" s="42">
        <v>10000000360</v>
      </c>
      <c r="B1397" s="3" t="s">
        <v>1009</v>
      </c>
      <c r="C1397" s="4">
        <f t="shared" ca="1" si="13"/>
        <v>45696</v>
      </c>
    </row>
    <row r="1398" spans="1:3" x14ac:dyDescent="0.3">
      <c r="A1398" s="42">
        <v>10000000231</v>
      </c>
      <c r="B1398" s="3" t="s">
        <v>947</v>
      </c>
      <c r="C1398" s="4">
        <f t="shared" ca="1" si="13"/>
        <v>45696</v>
      </c>
    </row>
    <row r="1399" spans="1:3" x14ac:dyDescent="0.3">
      <c r="A1399" s="42">
        <v>10000000684</v>
      </c>
      <c r="B1399" s="3" t="s">
        <v>970</v>
      </c>
      <c r="C1399" s="4">
        <f t="shared" ca="1" si="13"/>
        <v>45696</v>
      </c>
    </row>
    <row r="1400" spans="1:3" x14ac:dyDescent="0.3">
      <c r="A1400" s="42">
        <v>10000000071</v>
      </c>
      <c r="B1400" s="3" t="s">
        <v>882</v>
      </c>
      <c r="C1400" s="4">
        <f t="shared" ca="1" si="13"/>
        <v>45696</v>
      </c>
    </row>
    <row r="1401" spans="1:3" x14ac:dyDescent="0.3">
      <c r="A1401" s="42">
        <v>10000000244</v>
      </c>
      <c r="B1401" s="3" t="s">
        <v>868</v>
      </c>
      <c r="C1401" s="4">
        <f t="shared" ca="1" si="13"/>
        <v>45696</v>
      </c>
    </row>
    <row r="1402" spans="1:3" x14ac:dyDescent="0.3">
      <c r="A1402" s="42">
        <v>10000000450</v>
      </c>
      <c r="B1402" s="3" t="s">
        <v>928</v>
      </c>
      <c r="C1402" s="4">
        <f t="shared" ca="1" si="13"/>
        <v>45696</v>
      </c>
    </row>
    <row r="1403" spans="1:3" x14ac:dyDescent="0.3">
      <c r="A1403" s="42">
        <v>10000000212</v>
      </c>
      <c r="B1403" s="3" t="s">
        <v>1019</v>
      </c>
      <c r="C1403" s="4">
        <f t="shared" ca="1" si="13"/>
        <v>45696</v>
      </c>
    </row>
    <row r="1404" spans="1:3" x14ac:dyDescent="0.3">
      <c r="A1404" s="42">
        <v>10000000533</v>
      </c>
      <c r="B1404" s="3" t="s">
        <v>963</v>
      </c>
      <c r="C1404" s="4">
        <f t="shared" ca="1" si="13"/>
        <v>45696</v>
      </c>
    </row>
    <row r="1405" spans="1:3" x14ac:dyDescent="0.3">
      <c r="A1405" s="42">
        <v>10000000095</v>
      </c>
      <c r="B1405" s="3" t="s">
        <v>908</v>
      </c>
      <c r="C1405" s="4">
        <f t="shared" ca="1" si="13"/>
        <v>45696</v>
      </c>
    </row>
    <row r="1406" spans="1:3" x14ac:dyDescent="0.3">
      <c r="A1406" s="42">
        <v>10000000046</v>
      </c>
      <c r="B1406" s="3" t="s">
        <v>930</v>
      </c>
      <c r="C1406" s="4">
        <f t="shared" ca="1" si="13"/>
        <v>45696</v>
      </c>
    </row>
    <row r="1407" spans="1:3" x14ac:dyDescent="0.3">
      <c r="A1407" s="42">
        <v>10000000162</v>
      </c>
      <c r="B1407" s="3" t="s">
        <v>926</v>
      </c>
      <c r="C1407" s="4">
        <f t="shared" ca="1" si="13"/>
        <v>45696</v>
      </c>
    </row>
    <row r="1408" spans="1:3" x14ac:dyDescent="0.3">
      <c r="A1408" s="42">
        <v>10000000165</v>
      </c>
      <c r="B1408" s="3" t="s">
        <v>914</v>
      </c>
      <c r="C1408" s="4">
        <f t="shared" ca="1" si="13"/>
        <v>45696</v>
      </c>
    </row>
    <row r="1409" spans="1:3" x14ac:dyDescent="0.3">
      <c r="A1409" s="42">
        <v>10000000350</v>
      </c>
      <c r="B1409" s="3" t="s">
        <v>900</v>
      </c>
      <c r="C1409" s="4">
        <f t="shared" ca="1" si="13"/>
        <v>45696</v>
      </c>
    </row>
    <row r="1410" spans="1:3" x14ac:dyDescent="0.3">
      <c r="A1410" s="42">
        <v>10000000063</v>
      </c>
      <c r="B1410" s="3" t="s">
        <v>1008</v>
      </c>
      <c r="C1410" s="4">
        <f t="shared" ca="1" si="13"/>
        <v>45696</v>
      </c>
    </row>
    <row r="1411" spans="1:3" x14ac:dyDescent="0.3">
      <c r="A1411" s="42">
        <v>10000000502</v>
      </c>
      <c r="B1411" s="3" t="s">
        <v>911</v>
      </c>
      <c r="C1411" s="4">
        <f t="shared" ca="1" si="13"/>
        <v>45696</v>
      </c>
    </row>
    <row r="1412" spans="1:3" x14ac:dyDescent="0.3">
      <c r="A1412" s="42">
        <v>10000000127</v>
      </c>
      <c r="B1412" s="3" t="s">
        <v>959</v>
      </c>
      <c r="C1412" s="4">
        <f t="shared" ca="1" si="13"/>
        <v>45696</v>
      </c>
    </row>
    <row r="1413" spans="1:3" x14ac:dyDescent="0.3">
      <c r="A1413" s="42">
        <v>10000000463</v>
      </c>
      <c r="B1413" s="3" t="s">
        <v>1008</v>
      </c>
      <c r="C1413" s="4">
        <f t="shared" ca="1" si="13"/>
        <v>45696</v>
      </c>
    </row>
    <row r="1414" spans="1:3" x14ac:dyDescent="0.3">
      <c r="A1414" s="42">
        <v>10000000383</v>
      </c>
      <c r="B1414" s="3" t="s">
        <v>942</v>
      </c>
      <c r="C1414" s="4">
        <f t="shared" ca="1" si="13"/>
        <v>45696</v>
      </c>
    </row>
    <row r="1415" spans="1:3" x14ac:dyDescent="0.3">
      <c r="A1415" s="42">
        <v>10000000418</v>
      </c>
      <c r="B1415" s="3" t="s">
        <v>833</v>
      </c>
      <c r="C1415" s="4">
        <f t="shared" ca="1" si="13"/>
        <v>45696</v>
      </c>
    </row>
    <row r="1416" spans="1:3" x14ac:dyDescent="0.3">
      <c r="A1416" s="42">
        <v>10000000032</v>
      </c>
      <c r="B1416" s="3" t="s">
        <v>896</v>
      </c>
      <c r="C1416" s="4">
        <f t="shared" ca="1" si="13"/>
        <v>45696</v>
      </c>
    </row>
    <row r="1417" spans="1:3" x14ac:dyDescent="0.3">
      <c r="A1417" s="42">
        <v>10000000102</v>
      </c>
      <c r="B1417" s="3" t="s">
        <v>911</v>
      </c>
      <c r="C1417" s="4">
        <f t="shared" ca="1" si="13"/>
        <v>45696</v>
      </c>
    </row>
    <row r="1418" spans="1:3" x14ac:dyDescent="0.3">
      <c r="A1418" s="42">
        <v>10000000508</v>
      </c>
      <c r="B1418" s="3" t="s">
        <v>993</v>
      </c>
      <c r="C1418" s="4">
        <f t="shared" ca="1" si="13"/>
        <v>45696</v>
      </c>
    </row>
    <row r="1419" spans="1:3" x14ac:dyDescent="0.3">
      <c r="A1419" s="42">
        <v>10000000566</v>
      </c>
      <c r="B1419" s="3" t="s">
        <v>957</v>
      </c>
      <c r="C1419" s="4">
        <f t="shared" ca="1" si="13"/>
        <v>45696</v>
      </c>
    </row>
    <row r="1420" spans="1:3" x14ac:dyDescent="0.3">
      <c r="A1420" s="42">
        <v>10000000389</v>
      </c>
      <c r="B1420" s="3" t="s">
        <v>841</v>
      </c>
      <c r="C1420" s="4">
        <f t="shared" ca="1" si="13"/>
        <v>45696</v>
      </c>
    </row>
    <row r="1421" spans="1:3" x14ac:dyDescent="0.3">
      <c r="A1421" s="42">
        <v>10000000608</v>
      </c>
      <c r="B1421" s="3" t="s">
        <v>933</v>
      </c>
      <c r="C1421" s="4">
        <f t="shared" ca="1" si="13"/>
        <v>45696</v>
      </c>
    </row>
    <row r="1422" spans="1:3" x14ac:dyDescent="0.3">
      <c r="A1422" s="42">
        <v>10000000648</v>
      </c>
      <c r="B1422" s="3" t="s">
        <v>856</v>
      </c>
      <c r="C1422" s="4">
        <f t="shared" ca="1" si="13"/>
        <v>45696</v>
      </c>
    </row>
    <row r="1423" spans="1:3" x14ac:dyDescent="0.3">
      <c r="A1423" s="42">
        <v>10000000157</v>
      </c>
      <c r="B1423" s="3" t="s">
        <v>1002</v>
      </c>
      <c r="C1423" s="4">
        <f t="shared" ca="1" si="13"/>
        <v>45696</v>
      </c>
    </row>
    <row r="1424" spans="1:3" x14ac:dyDescent="0.3">
      <c r="A1424" s="42">
        <v>10000000218</v>
      </c>
      <c r="B1424" s="3" t="s">
        <v>833</v>
      </c>
      <c r="C1424" s="4">
        <f t="shared" ca="1" si="13"/>
        <v>45696</v>
      </c>
    </row>
    <row r="1425" spans="1:3" x14ac:dyDescent="0.3">
      <c r="A1425" s="42">
        <v>10000000272</v>
      </c>
      <c r="B1425" s="3" t="s">
        <v>972</v>
      </c>
      <c r="C1425" s="4">
        <f t="shared" ca="1" si="13"/>
        <v>45696</v>
      </c>
    </row>
    <row r="1426" spans="1:3" x14ac:dyDescent="0.3">
      <c r="A1426" s="42">
        <v>10000000670</v>
      </c>
      <c r="B1426" s="3" t="s">
        <v>834</v>
      </c>
      <c r="C1426" s="4">
        <f t="shared" ca="1" si="13"/>
        <v>45696</v>
      </c>
    </row>
    <row r="1427" spans="1:3" x14ac:dyDescent="0.3">
      <c r="A1427" s="42">
        <v>10000000466</v>
      </c>
      <c r="B1427" s="3" t="s">
        <v>895</v>
      </c>
      <c r="C1427" s="4">
        <f t="shared" ca="1" si="13"/>
        <v>45696</v>
      </c>
    </row>
    <row r="1428" spans="1:3" x14ac:dyDescent="0.3">
      <c r="A1428" s="42">
        <v>10000000130</v>
      </c>
      <c r="B1428" s="3" t="s">
        <v>835</v>
      </c>
      <c r="C1428" s="4">
        <f t="shared" ca="1" si="13"/>
        <v>45696</v>
      </c>
    </row>
    <row r="1429" spans="1:3" x14ac:dyDescent="0.3">
      <c r="A1429" s="42">
        <v>10000000664</v>
      </c>
      <c r="B1429" s="3" t="s">
        <v>858</v>
      </c>
      <c r="C1429" s="4">
        <f t="shared" ca="1" si="13"/>
        <v>45696</v>
      </c>
    </row>
    <row r="1430" spans="1:3" x14ac:dyDescent="0.3">
      <c r="A1430" s="42">
        <v>10000000085</v>
      </c>
      <c r="B1430" s="3" t="s">
        <v>962</v>
      </c>
      <c r="C1430" s="4">
        <f t="shared" ca="1" si="13"/>
        <v>45696</v>
      </c>
    </row>
    <row r="1431" spans="1:3" x14ac:dyDescent="0.3">
      <c r="A1431" s="42">
        <v>10000000667</v>
      </c>
      <c r="B1431" s="3" t="s">
        <v>820</v>
      </c>
      <c r="C1431" s="4">
        <f t="shared" ca="1" si="13"/>
        <v>45696</v>
      </c>
    </row>
    <row r="1432" spans="1:3" x14ac:dyDescent="0.3">
      <c r="A1432" s="42">
        <v>10000000228</v>
      </c>
      <c r="B1432" s="3" t="s">
        <v>960</v>
      </c>
      <c r="C1432" s="4">
        <f t="shared" ca="1" si="13"/>
        <v>45696</v>
      </c>
    </row>
    <row r="1433" spans="1:3" x14ac:dyDescent="0.3">
      <c r="A1433" s="42">
        <v>10000000071</v>
      </c>
      <c r="B1433" s="3" t="s">
        <v>882</v>
      </c>
      <c r="C1433" s="4">
        <f t="shared" ca="1" si="13"/>
        <v>45696</v>
      </c>
    </row>
    <row r="1434" spans="1:3" x14ac:dyDescent="0.3">
      <c r="A1434" s="42">
        <v>10000000378</v>
      </c>
      <c r="B1434" s="3" t="s">
        <v>890</v>
      </c>
      <c r="C1434" s="4">
        <f t="shared" ca="1" si="13"/>
        <v>45696</v>
      </c>
    </row>
    <row r="1435" spans="1:3" x14ac:dyDescent="0.3">
      <c r="A1435" s="42">
        <v>10000000044</v>
      </c>
      <c r="B1435" s="3" t="s">
        <v>868</v>
      </c>
      <c r="C1435" s="4">
        <f t="shared" ca="1" si="13"/>
        <v>45696</v>
      </c>
    </row>
    <row r="1436" spans="1:3" x14ac:dyDescent="0.3">
      <c r="A1436" s="42">
        <v>10000000109</v>
      </c>
      <c r="B1436" s="3" t="s">
        <v>839</v>
      </c>
      <c r="C1436" s="4">
        <f t="shared" ca="1" si="13"/>
        <v>45696</v>
      </c>
    </row>
    <row r="1437" spans="1:3" x14ac:dyDescent="0.3">
      <c r="A1437" s="42">
        <v>10000000162</v>
      </c>
      <c r="B1437" s="3" t="s">
        <v>926</v>
      </c>
      <c r="C1437" s="4">
        <f t="shared" ca="1" si="13"/>
        <v>45696</v>
      </c>
    </row>
    <row r="1438" spans="1:3" x14ac:dyDescent="0.3">
      <c r="A1438" s="42">
        <v>10000000205</v>
      </c>
      <c r="B1438" s="3" t="s">
        <v>855</v>
      </c>
      <c r="C1438" s="4">
        <f t="shared" ca="1" si="13"/>
        <v>45696</v>
      </c>
    </row>
    <row r="1439" spans="1:3" x14ac:dyDescent="0.3">
      <c r="A1439" s="42">
        <v>10000000161</v>
      </c>
      <c r="B1439" s="3" t="s">
        <v>977</v>
      </c>
      <c r="C1439" s="4">
        <f t="shared" ca="1" si="13"/>
        <v>45696</v>
      </c>
    </row>
    <row r="1440" spans="1:3" x14ac:dyDescent="0.3">
      <c r="A1440" s="42">
        <v>10000000304</v>
      </c>
      <c r="B1440" s="3" t="s">
        <v>1010</v>
      </c>
      <c r="C1440" s="4">
        <f t="shared" ca="1" si="13"/>
        <v>45696</v>
      </c>
    </row>
    <row r="1441" spans="1:3" x14ac:dyDescent="0.3">
      <c r="A1441" s="42">
        <v>10000000544</v>
      </c>
      <c r="B1441" s="3" t="s">
        <v>854</v>
      </c>
      <c r="C1441" s="4">
        <f t="shared" ca="1" si="13"/>
        <v>45696</v>
      </c>
    </row>
    <row r="1442" spans="1:3" x14ac:dyDescent="0.3">
      <c r="A1442" s="42">
        <v>10000000180</v>
      </c>
      <c r="B1442" s="3" t="s">
        <v>991</v>
      </c>
      <c r="C1442" s="4">
        <f t="shared" ca="1" si="13"/>
        <v>45696</v>
      </c>
    </row>
    <row r="1443" spans="1:3" x14ac:dyDescent="0.3">
      <c r="A1443" s="42">
        <v>10000000590</v>
      </c>
      <c r="B1443" s="3" t="s">
        <v>860</v>
      </c>
      <c r="C1443" s="4">
        <f t="shared" ca="1" si="13"/>
        <v>45696</v>
      </c>
    </row>
    <row r="1444" spans="1:3" x14ac:dyDescent="0.3">
      <c r="A1444" s="42">
        <v>10000000660</v>
      </c>
      <c r="B1444" s="3" t="s">
        <v>922</v>
      </c>
      <c r="C1444" s="4">
        <f t="shared" ca="1" si="13"/>
        <v>45696</v>
      </c>
    </row>
    <row r="1445" spans="1:3" x14ac:dyDescent="0.3">
      <c r="A1445" s="42">
        <v>10000000668</v>
      </c>
      <c r="B1445" s="3" t="s">
        <v>916</v>
      </c>
      <c r="C1445" s="4">
        <f t="shared" ca="1" si="13"/>
        <v>45696</v>
      </c>
    </row>
    <row r="1446" spans="1:3" x14ac:dyDescent="0.3">
      <c r="A1446" s="42">
        <v>10000000656</v>
      </c>
      <c r="B1446" s="3" t="s">
        <v>940</v>
      </c>
      <c r="C1446" s="4">
        <f t="shared" ca="1" si="13"/>
        <v>45696</v>
      </c>
    </row>
    <row r="1447" spans="1:3" x14ac:dyDescent="0.3">
      <c r="A1447" s="42">
        <v>10000000123</v>
      </c>
      <c r="B1447" s="3" t="s">
        <v>988</v>
      </c>
      <c r="C1447" s="4">
        <f t="shared" ca="1" si="13"/>
        <v>45696</v>
      </c>
    </row>
    <row r="1448" spans="1:3" x14ac:dyDescent="0.3">
      <c r="A1448" s="42">
        <v>10000000372</v>
      </c>
      <c r="B1448" s="3" t="s">
        <v>889</v>
      </c>
      <c r="C1448" s="4">
        <f t="shared" ca="1" si="13"/>
        <v>45696</v>
      </c>
    </row>
    <row r="1449" spans="1:3" x14ac:dyDescent="0.3">
      <c r="A1449" s="42">
        <v>10000000146</v>
      </c>
      <c r="B1449" s="3" t="s">
        <v>826</v>
      </c>
      <c r="C1449" s="4">
        <f t="shared" ca="1" si="13"/>
        <v>45696</v>
      </c>
    </row>
    <row r="1450" spans="1:3" x14ac:dyDescent="0.3">
      <c r="A1450" s="42">
        <v>10000000689</v>
      </c>
      <c r="B1450" s="3" t="s">
        <v>827</v>
      </c>
      <c r="C1450" s="4">
        <f t="shared" ca="1" si="13"/>
        <v>45696</v>
      </c>
    </row>
    <row r="1451" spans="1:3" x14ac:dyDescent="0.3">
      <c r="A1451" s="42">
        <v>10000000074</v>
      </c>
      <c r="B1451" s="3" t="s">
        <v>981</v>
      </c>
      <c r="C1451" s="4">
        <f t="shared" ca="1" si="13"/>
        <v>45696</v>
      </c>
    </row>
    <row r="1452" spans="1:3" x14ac:dyDescent="0.3">
      <c r="A1452" s="42">
        <v>10000000677</v>
      </c>
      <c r="B1452" s="3" t="s">
        <v>971</v>
      </c>
      <c r="C1452" s="4">
        <f t="shared" ca="1" si="13"/>
        <v>45696</v>
      </c>
    </row>
    <row r="1453" spans="1:3" x14ac:dyDescent="0.3">
      <c r="A1453" s="42">
        <v>10000000455</v>
      </c>
      <c r="B1453" s="3" t="s">
        <v>888</v>
      </c>
      <c r="C1453" s="4">
        <f t="shared" ca="1" si="13"/>
        <v>45696</v>
      </c>
    </row>
    <row r="1454" spans="1:3" x14ac:dyDescent="0.3">
      <c r="A1454" s="42">
        <v>10000000004</v>
      </c>
      <c r="B1454" s="3" t="s">
        <v>925</v>
      </c>
      <c r="C1454" s="4">
        <f t="shared" ca="1" si="13"/>
        <v>45696</v>
      </c>
    </row>
    <row r="1455" spans="1:3" x14ac:dyDescent="0.3">
      <c r="A1455" s="42">
        <v>10000000491</v>
      </c>
      <c r="B1455" s="3" t="s">
        <v>864</v>
      </c>
      <c r="C1455" s="4">
        <f t="shared" ca="1" si="13"/>
        <v>45696</v>
      </c>
    </row>
    <row r="1456" spans="1:3" x14ac:dyDescent="0.3">
      <c r="A1456" s="42">
        <v>10000000647</v>
      </c>
      <c r="B1456" s="3" t="s">
        <v>967</v>
      </c>
      <c r="C1456" s="4">
        <f t="shared" ca="1" si="13"/>
        <v>45696</v>
      </c>
    </row>
    <row r="1457" spans="1:3" x14ac:dyDescent="0.3">
      <c r="A1457" s="42">
        <v>10000000600</v>
      </c>
      <c r="B1457" s="3" t="s">
        <v>997</v>
      </c>
      <c r="C1457" s="4">
        <f t="shared" ca="1" si="13"/>
        <v>45696</v>
      </c>
    </row>
    <row r="1458" spans="1:3" x14ac:dyDescent="0.3">
      <c r="A1458" s="42">
        <v>10000000036</v>
      </c>
      <c r="B1458" s="3" t="s">
        <v>873</v>
      </c>
      <c r="C1458" s="4">
        <f t="shared" ca="1" si="13"/>
        <v>45696</v>
      </c>
    </row>
    <row r="1459" spans="1:3" x14ac:dyDescent="0.3">
      <c r="A1459" s="42">
        <v>10000000493</v>
      </c>
      <c r="B1459" s="3" t="s">
        <v>969</v>
      </c>
      <c r="C1459" s="4">
        <f t="shared" ref="C1459:C1583" ca="1" si="14">TODAY()-310</f>
        <v>45727</v>
      </c>
    </row>
    <row r="1460" spans="1:3" x14ac:dyDescent="0.3">
      <c r="A1460" s="42">
        <v>10000000176</v>
      </c>
      <c r="B1460" s="3" t="s">
        <v>978</v>
      </c>
      <c r="C1460" s="4">
        <f t="shared" ca="1" si="14"/>
        <v>45727</v>
      </c>
    </row>
    <row r="1461" spans="1:3" x14ac:dyDescent="0.3">
      <c r="A1461" s="42">
        <v>10000000025</v>
      </c>
      <c r="B1461" s="3" t="s">
        <v>872</v>
      </c>
      <c r="C1461" s="4">
        <f t="shared" ca="1" si="14"/>
        <v>45727</v>
      </c>
    </row>
    <row r="1462" spans="1:3" x14ac:dyDescent="0.3">
      <c r="A1462" s="42">
        <v>10000000030</v>
      </c>
      <c r="B1462" s="3" t="s">
        <v>990</v>
      </c>
      <c r="C1462" s="4">
        <f t="shared" ca="1" si="14"/>
        <v>45727</v>
      </c>
    </row>
    <row r="1463" spans="1:3" x14ac:dyDescent="0.3">
      <c r="A1463" s="42">
        <v>10000000084</v>
      </c>
      <c r="B1463" s="3" t="s">
        <v>970</v>
      </c>
      <c r="C1463" s="4">
        <f t="shared" ca="1" si="14"/>
        <v>45727</v>
      </c>
    </row>
    <row r="1464" spans="1:3" x14ac:dyDescent="0.3">
      <c r="A1464" s="42">
        <v>10000000681</v>
      </c>
      <c r="B1464" s="3" t="s">
        <v>964</v>
      </c>
      <c r="C1464" s="4">
        <f t="shared" ca="1" si="14"/>
        <v>45727</v>
      </c>
    </row>
    <row r="1465" spans="1:3" x14ac:dyDescent="0.3">
      <c r="A1465" s="42">
        <v>10000000019</v>
      </c>
      <c r="B1465" s="3" t="s">
        <v>975</v>
      </c>
      <c r="C1465" s="4">
        <f t="shared" ca="1" si="14"/>
        <v>45727</v>
      </c>
    </row>
    <row r="1466" spans="1:3" x14ac:dyDescent="0.3">
      <c r="A1466" s="42">
        <v>10000000595</v>
      </c>
      <c r="B1466" s="3" t="s">
        <v>894</v>
      </c>
      <c r="C1466" s="4">
        <f t="shared" ca="1" si="14"/>
        <v>45727</v>
      </c>
    </row>
    <row r="1467" spans="1:3" x14ac:dyDescent="0.3">
      <c r="A1467" s="42">
        <v>10000000119</v>
      </c>
      <c r="B1467" s="3" t="s">
        <v>1003</v>
      </c>
      <c r="C1467" s="4">
        <f t="shared" ca="1" si="14"/>
        <v>45727</v>
      </c>
    </row>
    <row r="1468" spans="1:3" x14ac:dyDescent="0.3">
      <c r="A1468" s="42">
        <v>10000000182</v>
      </c>
      <c r="B1468" s="3" t="s">
        <v>955</v>
      </c>
      <c r="C1468" s="4">
        <f t="shared" ca="1" si="14"/>
        <v>45727</v>
      </c>
    </row>
    <row r="1469" spans="1:3" x14ac:dyDescent="0.3">
      <c r="A1469" s="42">
        <v>10000000118</v>
      </c>
      <c r="B1469" s="3" t="s">
        <v>1007</v>
      </c>
      <c r="C1469" s="4">
        <f t="shared" ca="1" si="14"/>
        <v>45727</v>
      </c>
    </row>
    <row r="1470" spans="1:3" x14ac:dyDescent="0.3">
      <c r="A1470" s="42">
        <v>10000000495</v>
      </c>
      <c r="B1470" s="3" t="s">
        <v>908</v>
      </c>
      <c r="C1470" s="4">
        <f t="shared" ca="1" si="14"/>
        <v>45727</v>
      </c>
    </row>
    <row r="1471" spans="1:3" x14ac:dyDescent="0.3">
      <c r="A1471" s="42">
        <v>10000000576</v>
      </c>
      <c r="B1471" s="3" t="s">
        <v>978</v>
      </c>
      <c r="C1471" s="4">
        <f t="shared" ca="1" si="14"/>
        <v>45727</v>
      </c>
    </row>
    <row r="1472" spans="1:3" x14ac:dyDescent="0.3">
      <c r="A1472" s="42">
        <v>10000000011</v>
      </c>
      <c r="B1472" s="3" t="s">
        <v>1005</v>
      </c>
      <c r="C1472" s="4">
        <f t="shared" ca="1" si="14"/>
        <v>45727</v>
      </c>
    </row>
    <row r="1473" spans="1:3" x14ac:dyDescent="0.3">
      <c r="A1473" s="42">
        <v>10000000208</v>
      </c>
      <c r="B1473" s="3" t="s">
        <v>933</v>
      </c>
      <c r="C1473" s="4">
        <f t="shared" ca="1" si="14"/>
        <v>45727</v>
      </c>
    </row>
    <row r="1474" spans="1:3" x14ac:dyDescent="0.3">
      <c r="A1474" s="42">
        <v>10000000080</v>
      </c>
      <c r="B1474" s="3" t="s">
        <v>844</v>
      </c>
      <c r="C1474" s="4">
        <f t="shared" ca="1" si="14"/>
        <v>45727</v>
      </c>
    </row>
    <row r="1475" spans="1:3" x14ac:dyDescent="0.3">
      <c r="A1475" s="42">
        <v>10000000474</v>
      </c>
      <c r="B1475" s="3" t="s">
        <v>981</v>
      </c>
      <c r="C1475" s="4">
        <f t="shared" ca="1" si="14"/>
        <v>45727</v>
      </c>
    </row>
    <row r="1476" spans="1:3" x14ac:dyDescent="0.3">
      <c r="A1476" s="42">
        <v>10000000049</v>
      </c>
      <c r="B1476" s="3" t="s">
        <v>951</v>
      </c>
      <c r="C1476" s="4">
        <f t="shared" ca="1" si="14"/>
        <v>45727</v>
      </c>
    </row>
    <row r="1477" spans="1:3" x14ac:dyDescent="0.3">
      <c r="A1477" s="42">
        <v>10000000431</v>
      </c>
      <c r="B1477" s="3" t="s">
        <v>947</v>
      </c>
      <c r="C1477" s="4">
        <f t="shared" ca="1" si="14"/>
        <v>45727</v>
      </c>
    </row>
    <row r="1478" spans="1:3" x14ac:dyDescent="0.3">
      <c r="A1478" s="42">
        <v>10000000116</v>
      </c>
      <c r="B1478" s="3" t="s">
        <v>847</v>
      </c>
      <c r="C1478" s="4">
        <f t="shared" ca="1" si="14"/>
        <v>45727</v>
      </c>
    </row>
    <row r="1479" spans="1:3" x14ac:dyDescent="0.3">
      <c r="A1479" s="42">
        <v>10000000252</v>
      </c>
      <c r="B1479" s="3" t="s">
        <v>976</v>
      </c>
      <c r="C1479" s="4">
        <f t="shared" ca="1" si="14"/>
        <v>45727</v>
      </c>
    </row>
    <row r="1480" spans="1:3" x14ac:dyDescent="0.3">
      <c r="A1480" s="42">
        <v>10000000461</v>
      </c>
      <c r="B1480" s="3" t="s">
        <v>850</v>
      </c>
      <c r="C1480" s="4">
        <f t="shared" ca="1" si="14"/>
        <v>45727</v>
      </c>
    </row>
    <row r="1481" spans="1:3" x14ac:dyDescent="0.3">
      <c r="A1481" s="42">
        <v>10000000031</v>
      </c>
      <c r="B1481" s="3" t="s">
        <v>947</v>
      </c>
      <c r="C1481" s="4">
        <f t="shared" ca="1" si="14"/>
        <v>45727</v>
      </c>
    </row>
    <row r="1482" spans="1:3" x14ac:dyDescent="0.3">
      <c r="A1482" s="42">
        <v>10000000051</v>
      </c>
      <c r="B1482" s="3" t="s">
        <v>973</v>
      </c>
      <c r="C1482" s="4">
        <f t="shared" ca="1" si="14"/>
        <v>45727</v>
      </c>
    </row>
    <row r="1483" spans="1:3" x14ac:dyDescent="0.3">
      <c r="A1483" s="42">
        <v>10000000418</v>
      </c>
      <c r="B1483" s="3" t="s">
        <v>833</v>
      </c>
      <c r="C1483" s="4">
        <f t="shared" ca="1" si="14"/>
        <v>45727</v>
      </c>
    </row>
    <row r="1484" spans="1:3" x14ac:dyDescent="0.3">
      <c r="A1484" s="42">
        <v>10000000267</v>
      </c>
      <c r="B1484" s="3" t="s">
        <v>820</v>
      </c>
      <c r="C1484" s="4">
        <f t="shared" ca="1" si="14"/>
        <v>45727</v>
      </c>
    </row>
    <row r="1485" spans="1:3" x14ac:dyDescent="0.3">
      <c r="A1485" s="42">
        <v>10000000562</v>
      </c>
      <c r="B1485" s="3" t="s">
        <v>926</v>
      </c>
      <c r="C1485" s="4">
        <f t="shared" ca="1" si="14"/>
        <v>45727</v>
      </c>
    </row>
    <row r="1486" spans="1:3" x14ac:dyDescent="0.3">
      <c r="A1486" s="42">
        <v>10000000253</v>
      </c>
      <c r="B1486" s="3" t="s">
        <v>822</v>
      </c>
      <c r="C1486" s="4">
        <f t="shared" ca="1" si="14"/>
        <v>45727</v>
      </c>
    </row>
    <row r="1487" spans="1:3" x14ac:dyDescent="0.3">
      <c r="A1487" s="42">
        <v>10000000066</v>
      </c>
      <c r="B1487" s="3" t="s">
        <v>895</v>
      </c>
      <c r="C1487" s="4">
        <f t="shared" ca="1" si="14"/>
        <v>45727</v>
      </c>
    </row>
    <row r="1488" spans="1:3" x14ac:dyDescent="0.3">
      <c r="A1488" s="42">
        <v>10000000208</v>
      </c>
      <c r="B1488" s="3" t="s">
        <v>933</v>
      </c>
      <c r="C1488" s="4">
        <f t="shared" ca="1" si="14"/>
        <v>45727</v>
      </c>
    </row>
    <row r="1489" spans="1:3" x14ac:dyDescent="0.3">
      <c r="A1489" s="42">
        <v>10000000246</v>
      </c>
      <c r="B1489" s="3" t="s">
        <v>930</v>
      </c>
      <c r="C1489" s="4">
        <f t="shared" ca="1" si="14"/>
        <v>45727</v>
      </c>
    </row>
    <row r="1490" spans="1:3" x14ac:dyDescent="0.3">
      <c r="A1490" s="42">
        <v>10000000676</v>
      </c>
      <c r="B1490" s="3" t="s">
        <v>899</v>
      </c>
      <c r="C1490" s="4">
        <f t="shared" ca="1" si="14"/>
        <v>45727</v>
      </c>
    </row>
    <row r="1491" spans="1:3" x14ac:dyDescent="0.3">
      <c r="A1491" s="42">
        <v>10000000207</v>
      </c>
      <c r="B1491" s="3" t="s">
        <v>902</v>
      </c>
      <c r="C1491" s="4">
        <f t="shared" ca="1" si="14"/>
        <v>45727</v>
      </c>
    </row>
    <row r="1492" spans="1:3" x14ac:dyDescent="0.3">
      <c r="A1492" s="42">
        <v>10000000006</v>
      </c>
      <c r="B1492" s="3" t="s">
        <v>953</v>
      </c>
      <c r="C1492" s="4">
        <f t="shared" ca="1" si="14"/>
        <v>45727</v>
      </c>
    </row>
    <row r="1493" spans="1:3" x14ac:dyDescent="0.3">
      <c r="A1493" s="42">
        <v>10000000350</v>
      </c>
      <c r="B1493" s="3" t="s">
        <v>900</v>
      </c>
      <c r="C1493" s="4">
        <f t="shared" ca="1" si="14"/>
        <v>45727</v>
      </c>
    </row>
    <row r="1494" spans="1:3" x14ac:dyDescent="0.3">
      <c r="A1494" s="42">
        <v>10000000535</v>
      </c>
      <c r="B1494" s="3" t="s">
        <v>1006</v>
      </c>
      <c r="C1494" s="4">
        <f t="shared" ca="1" si="14"/>
        <v>45727</v>
      </c>
    </row>
    <row r="1495" spans="1:3" x14ac:dyDescent="0.3">
      <c r="A1495" s="42">
        <v>10000000619</v>
      </c>
      <c r="B1495" s="3" t="s">
        <v>975</v>
      </c>
      <c r="C1495" s="4">
        <f t="shared" ca="1" si="14"/>
        <v>45727</v>
      </c>
    </row>
    <row r="1496" spans="1:3" x14ac:dyDescent="0.3">
      <c r="A1496" s="42">
        <v>10000000431</v>
      </c>
      <c r="B1496" s="3" t="s">
        <v>947</v>
      </c>
      <c r="C1496" s="4">
        <f t="shared" ca="1" si="14"/>
        <v>45727</v>
      </c>
    </row>
    <row r="1497" spans="1:3" x14ac:dyDescent="0.3">
      <c r="A1497" s="42">
        <v>10000000249</v>
      </c>
      <c r="B1497" s="3" t="s">
        <v>951</v>
      </c>
      <c r="C1497" s="4">
        <f t="shared" ca="1" si="14"/>
        <v>45727</v>
      </c>
    </row>
    <row r="1498" spans="1:3" x14ac:dyDescent="0.3">
      <c r="A1498" s="42">
        <v>10000000285</v>
      </c>
      <c r="B1498" s="3" t="s">
        <v>962</v>
      </c>
      <c r="C1498" s="4">
        <f t="shared" ca="1" si="14"/>
        <v>45727</v>
      </c>
    </row>
    <row r="1499" spans="1:3" x14ac:dyDescent="0.3">
      <c r="A1499" s="42">
        <v>10000000204</v>
      </c>
      <c r="B1499" s="3" t="s">
        <v>925</v>
      </c>
      <c r="C1499" s="4">
        <f t="shared" ca="1" si="14"/>
        <v>45727</v>
      </c>
    </row>
    <row r="1500" spans="1:3" x14ac:dyDescent="0.3">
      <c r="A1500" s="42">
        <v>10000000642</v>
      </c>
      <c r="B1500" s="3" t="s">
        <v>849</v>
      </c>
      <c r="C1500" s="4">
        <f t="shared" ca="1" si="14"/>
        <v>45727</v>
      </c>
    </row>
    <row r="1501" spans="1:3" x14ac:dyDescent="0.3">
      <c r="A1501" s="42">
        <v>10000000138</v>
      </c>
      <c r="B1501" s="3" t="s">
        <v>950</v>
      </c>
      <c r="C1501" s="4">
        <f t="shared" ca="1" si="14"/>
        <v>45727</v>
      </c>
    </row>
    <row r="1502" spans="1:3" x14ac:dyDescent="0.3">
      <c r="A1502" s="42">
        <v>10000000502</v>
      </c>
      <c r="B1502" s="3" t="s">
        <v>911</v>
      </c>
      <c r="C1502" s="4">
        <f t="shared" ca="1" si="14"/>
        <v>45727</v>
      </c>
    </row>
    <row r="1503" spans="1:3" x14ac:dyDescent="0.3">
      <c r="A1503" s="42">
        <v>10000000587</v>
      </c>
      <c r="B1503" s="3" t="s">
        <v>905</v>
      </c>
      <c r="C1503" s="4">
        <f t="shared" ca="1" si="14"/>
        <v>45727</v>
      </c>
    </row>
    <row r="1504" spans="1:3" x14ac:dyDescent="0.3">
      <c r="A1504" s="42">
        <v>10000000282</v>
      </c>
      <c r="B1504" s="3" t="s">
        <v>861</v>
      </c>
      <c r="C1504" s="4">
        <f t="shared" ca="1" si="14"/>
        <v>45727</v>
      </c>
    </row>
    <row r="1505" spans="1:3" x14ac:dyDescent="0.3">
      <c r="A1505" s="42">
        <v>10000000030</v>
      </c>
      <c r="B1505" s="3" t="s">
        <v>990</v>
      </c>
      <c r="C1505" s="4">
        <f t="shared" ca="1" si="14"/>
        <v>45727</v>
      </c>
    </row>
    <row r="1506" spans="1:3" x14ac:dyDescent="0.3">
      <c r="A1506" s="42">
        <v>10000000364</v>
      </c>
      <c r="B1506" s="3" t="s">
        <v>869</v>
      </c>
      <c r="C1506" s="4">
        <f t="shared" ca="1" si="14"/>
        <v>45727</v>
      </c>
    </row>
    <row r="1507" spans="1:3" x14ac:dyDescent="0.3">
      <c r="A1507" s="42">
        <v>10000000157</v>
      </c>
      <c r="B1507" s="3" t="s">
        <v>1002</v>
      </c>
      <c r="C1507" s="4">
        <f t="shared" ca="1" si="14"/>
        <v>45727</v>
      </c>
    </row>
    <row r="1508" spans="1:3" x14ac:dyDescent="0.3">
      <c r="A1508" s="42">
        <v>10000000259</v>
      </c>
      <c r="B1508" s="3" t="s">
        <v>956</v>
      </c>
      <c r="C1508" s="4">
        <f t="shared" ca="1" si="14"/>
        <v>45727</v>
      </c>
    </row>
    <row r="1509" spans="1:3" x14ac:dyDescent="0.3">
      <c r="A1509" s="42">
        <v>10000000598</v>
      </c>
      <c r="B1509" s="3" t="s">
        <v>939</v>
      </c>
      <c r="C1509" s="4">
        <f t="shared" ca="1" si="14"/>
        <v>45727</v>
      </c>
    </row>
    <row r="1510" spans="1:3" x14ac:dyDescent="0.3">
      <c r="A1510" s="42">
        <v>10000000359</v>
      </c>
      <c r="B1510" s="3" t="s">
        <v>998</v>
      </c>
      <c r="C1510" s="4">
        <f t="shared" ca="1" si="14"/>
        <v>45727</v>
      </c>
    </row>
    <row r="1511" spans="1:3" x14ac:dyDescent="0.3">
      <c r="A1511" s="42">
        <v>10000000438</v>
      </c>
      <c r="B1511" s="3" t="s">
        <v>867</v>
      </c>
      <c r="C1511" s="4">
        <f t="shared" ca="1" si="14"/>
        <v>45727</v>
      </c>
    </row>
    <row r="1512" spans="1:3" x14ac:dyDescent="0.3">
      <c r="A1512" s="42">
        <v>10000000535</v>
      </c>
      <c r="B1512" s="3" t="s">
        <v>1006</v>
      </c>
      <c r="C1512" s="4">
        <f t="shared" ca="1" si="14"/>
        <v>45727</v>
      </c>
    </row>
    <row r="1513" spans="1:3" x14ac:dyDescent="0.3">
      <c r="A1513" s="42">
        <v>10000000555</v>
      </c>
      <c r="B1513" s="3" t="s">
        <v>983</v>
      </c>
      <c r="C1513" s="4">
        <f t="shared" ca="1" si="14"/>
        <v>45727</v>
      </c>
    </row>
    <row r="1514" spans="1:3" x14ac:dyDescent="0.3">
      <c r="A1514" s="42">
        <v>10000000017</v>
      </c>
      <c r="B1514" s="3" t="s">
        <v>832</v>
      </c>
      <c r="C1514" s="4">
        <f t="shared" ca="1" si="14"/>
        <v>45727</v>
      </c>
    </row>
    <row r="1515" spans="1:3" x14ac:dyDescent="0.3">
      <c r="A1515" s="42">
        <v>10000000062</v>
      </c>
      <c r="B1515" s="3" t="s">
        <v>863</v>
      </c>
      <c r="C1515" s="4">
        <f t="shared" ca="1" si="14"/>
        <v>45727</v>
      </c>
    </row>
    <row r="1516" spans="1:3" x14ac:dyDescent="0.3">
      <c r="A1516" s="42">
        <v>10000000343</v>
      </c>
      <c r="B1516" s="3" t="s">
        <v>1014</v>
      </c>
      <c r="C1516" s="4">
        <f t="shared" ca="1" si="14"/>
        <v>45727</v>
      </c>
    </row>
    <row r="1517" spans="1:3" x14ac:dyDescent="0.3">
      <c r="A1517" s="42">
        <v>10000000470</v>
      </c>
      <c r="B1517" s="3" t="s">
        <v>834</v>
      </c>
      <c r="C1517" s="4">
        <f t="shared" ca="1" si="14"/>
        <v>45727</v>
      </c>
    </row>
    <row r="1518" spans="1:3" x14ac:dyDescent="0.3">
      <c r="A1518" s="42">
        <v>10000000636</v>
      </c>
      <c r="B1518" s="3" t="s">
        <v>873</v>
      </c>
      <c r="C1518" s="4">
        <f t="shared" ca="1" si="14"/>
        <v>45727</v>
      </c>
    </row>
    <row r="1519" spans="1:3" x14ac:dyDescent="0.3">
      <c r="A1519" s="42">
        <v>10000000255</v>
      </c>
      <c r="B1519" s="3" t="s">
        <v>888</v>
      </c>
      <c r="C1519" s="4">
        <f t="shared" ca="1" si="14"/>
        <v>45727</v>
      </c>
    </row>
    <row r="1520" spans="1:3" x14ac:dyDescent="0.3">
      <c r="A1520" s="42">
        <v>10000000595</v>
      </c>
      <c r="B1520" s="3" t="s">
        <v>894</v>
      </c>
      <c r="C1520" s="4">
        <f t="shared" ca="1" si="14"/>
        <v>45727</v>
      </c>
    </row>
    <row r="1521" spans="1:3" x14ac:dyDescent="0.3">
      <c r="A1521" s="42">
        <v>10000000220</v>
      </c>
      <c r="B1521" s="3" t="s">
        <v>851</v>
      </c>
      <c r="C1521" s="4">
        <f t="shared" ca="1" si="14"/>
        <v>45727</v>
      </c>
    </row>
    <row r="1522" spans="1:3" x14ac:dyDescent="0.3">
      <c r="A1522" s="42">
        <v>10000000225</v>
      </c>
      <c r="B1522" s="3" t="s">
        <v>872</v>
      </c>
      <c r="C1522" s="4">
        <f t="shared" ca="1" si="14"/>
        <v>45727</v>
      </c>
    </row>
    <row r="1523" spans="1:3" x14ac:dyDescent="0.3">
      <c r="A1523" s="42">
        <v>10000000513</v>
      </c>
      <c r="B1523" s="3" t="s">
        <v>883</v>
      </c>
      <c r="C1523" s="4">
        <f t="shared" ca="1" si="14"/>
        <v>45727</v>
      </c>
    </row>
    <row r="1524" spans="1:3" x14ac:dyDescent="0.3">
      <c r="A1524" s="42">
        <v>10000000608</v>
      </c>
      <c r="B1524" s="3" t="s">
        <v>933</v>
      </c>
      <c r="C1524" s="4">
        <f t="shared" ca="1" si="14"/>
        <v>45727</v>
      </c>
    </row>
    <row r="1525" spans="1:3" x14ac:dyDescent="0.3">
      <c r="A1525" s="42">
        <v>10000000440</v>
      </c>
      <c r="B1525" s="3" t="s">
        <v>878</v>
      </c>
      <c r="C1525" s="4">
        <f t="shared" ca="1" si="14"/>
        <v>45727</v>
      </c>
    </row>
    <row r="1526" spans="1:3" x14ac:dyDescent="0.3">
      <c r="A1526" s="42">
        <v>10000000160</v>
      </c>
      <c r="B1526" s="3" t="s">
        <v>1009</v>
      </c>
      <c r="C1526" s="4">
        <f t="shared" ca="1" si="14"/>
        <v>45727</v>
      </c>
    </row>
    <row r="1527" spans="1:3" x14ac:dyDescent="0.3">
      <c r="A1527" s="42">
        <v>10000000620</v>
      </c>
      <c r="B1527" s="3" t="s">
        <v>851</v>
      </c>
      <c r="C1527" s="4">
        <f t="shared" ca="1" si="14"/>
        <v>45727</v>
      </c>
    </row>
    <row r="1528" spans="1:3" x14ac:dyDescent="0.3">
      <c r="A1528" s="42">
        <v>10000000185</v>
      </c>
      <c r="B1528" s="3" t="s">
        <v>989</v>
      </c>
      <c r="C1528" s="4">
        <f t="shared" ca="1" si="14"/>
        <v>45727</v>
      </c>
    </row>
    <row r="1529" spans="1:3" x14ac:dyDescent="0.3">
      <c r="A1529" s="42">
        <v>10000000584</v>
      </c>
      <c r="B1529" s="3" t="s">
        <v>830</v>
      </c>
      <c r="C1529" s="4">
        <f t="shared" ca="1" si="14"/>
        <v>45727</v>
      </c>
    </row>
    <row r="1530" spans="1:3" x14ac:dyDescent="0.3">
      <c r="A1530" s="42">
        <v>10000000627</v>
      </c>
      <c r="B1530" s="3" t="s">
        <v>828</v>
      </c>
      <c r="C1530" s="4">
        <f t="shared" ca="1" si="14"/>
        <v>45727</v>
      </c>
    </row>
    <row r="1531" spans="1:3" x14ac:dyDescent="0.3">
      <c r="A1531" s="42">
        <v>10000000385</v>
      </c>
      <c r="B1531" s="3" t="s">
        <v>989</v>
      </c>
      <c r="C1531" s="4">
        <f t="shared" ca="1" si="14"/>
        <v>45727</v>
      </c>
    </row>
    <row r="1532" spans="1:3" x14ac:dyDescent="0.3">
      <c r="A1532" s="42">
        <v>10000000551</v>
      </c>
      <c r="B1532" s="3" t="s">
        <v>862</v>
      </c>
      <c r="C1532" s="4">
        <f t="shared" ca="1" si="14"/>
        <v>45727</v>
      </c>
    </row>
    <row r="1533" spans="1:3" x14ac:dyDescent="0.3">
      <c r="A1533" s="42">
        <v>10000000344</v>
      </c>
      <c r="B1533" s="3" t="s">
        <v>854</v>
      </c>
      <c r="C1533" s="4">
        <f t="shared" ca="1" si="14"/>
        <v>45727</v>
      </c>
    </row>
    <row r="1534" spans="1:3" x14ac:dyDescent="0.3">
      <c r="A1534" s="42">
        <v>10000000421</v>
      </c>
      <c r="B1534" s="3" t="s">
        <v>917</v>
      </c>
      <c r="C1534" s="4">
        <f t="shared" ca="1" si="14"/>
        <v>45727</v>
      </c>
    </row>
    <row r="1535" spans="1:3" x14ac:dyDescent="0.3">
      <c r="A1535" s="42">
        <v>10000000418</v>
      </c>
      <c r="B1535" s="3" t="s">
        <v>833</v>
      </c>
      <c r="C1535" s="4">
        <f t="shared" ca="1" si="14"/>
        <v>45727</v>
      </c>
    </row>
    <row r="1536" spans="1:3" x14ac:dyDescent="0.3">
      <c r="A1536" s="42">
        <v>10000000284</v>
      </c>
      <c r="B1536" s="3" t="s">
        <v>970</v>
      </c>
      <c r="C1536" s="4">
        <f t="shared" ca="1" si="14"/>
        <v>45727</v>
      </c>
    </row>
    <row r="1537" spans="1:3" x14ac:dyDescent="0.3">
      <c r="A1537" s="42">
        <v>10000000274</v>
      </c>
      <c r="B1537" s="3" t="s">
        <v>981</v>
      </c>
      <c r="C1537" s="4">
        <f t="shared" ca="1" si="14"/>
        <v>45727</v>
      </c>
    </row>
    <row r="1538" spans="1:3" x14ac:dyDescent="0.3">
      <c r="A1538" s="42">
        <v>10000000339</v>
      </c>
      <c r="B1538" s="3" t="s">
        <v>995</v>
      </c>
      <c r="C1538" s="4">
        <f t="shared" ca="1" si="14"/>
        <v>45727</v>
      </c>
    </row>
    <row r="1539" spans="1:3" x14ac:dyDescent="0.3">
      <c r="A1539" s="42">
        <v>10000000582</v>
      </c>
      <c r="B1539" s="3" t="s">
        <v>955</v>
      </c>
      <c r="C1539" s="4">
        <f t="shared" ca="1" si="14"/>
        <v>45727</v>
      </c>
    </row>
    <row r="1540" spans="1:3" x14ac:dyDescent="0.3">
      <c r="A1540" s="42">
        <v>10000000260</v>
      </c>
      <c r="B1540" s="3" t="s">
        <v>922</v>
      </c>
      <c r="C1540" s="4">
        <f t="shared" ca="1" si="14"/>
        <v>45727</v>
      </c>
    </row>
    <row r="1541" spans="1:3" x14ac:dyDescent="0.3">
      <c r="A1541" s="42">
        <v>10000000498</v>
      </c>
      <c r="B1541" s="3" t="s">
        <v>1016</v>
      </c>
      <c r="C1541" s="4">
        <f t="shared" ca="1" si="14"/>
        <v>45727</v>
      </c>
    </row>
    <row r="1542" spans="1:3" x14ac:dyDescent="0.3">
      <c r="A1542" s="42">
        <v>10000000210</v>
      </c>
      <c r="B1542" s="3" t="s">
        <v>920</v>
      </c>
      <c r="C1542" s="4">
        <f t="shared" ca="1" si="14"/>
        <v>45727</v>
      </c>
    </row>
    <row r="1543" spans="1:3" x14ac:dyDescent="0.3">
      <c r="A1543" s="42">
        <v>10000000454</v>
      </c>
      <c r="B1543" s="3" t="s">
        <v>893</v>
      </c>
      <c r="C1543" s="4">
        <f t="shared" ca="1" si="14"/>
        <v>45727</v>
      </c>
    </row>
    <row r="1544" spans="1:3" x14ac:dyDescent="0.3">
      <c r="A1544" s="42">
        <v>10000000517</v>
      </c>
      <c r="B1544" s="3" t="s">
        <v>918</v>
      </c>
      <c r="C1544" s="4">
        <f t="shared" ca="1" si="14"/>
        <v>45727</v>
      </c>
    </row>
    <row r="1545" spans="1:3" x14ac:dyDescent="0.3">
      <c r="A1545" s="42">
        <v>10000000673</v>
      </c>
      <c r="B1545" s="3" t="s">
        <v>941</v>
      </c>
      <c r="C1545" s="4">
        <f t="shared" ca="1" si="14"/>
        <v>45727</v>
      </c>
    </row>
    <row r="1546" spans="1:3" x14ac:dyDescent="0.3">
      <c r="A1546" s="42">
        <v>10000000439</v>
      </c>
      <c r="B1546" s="3" t="s">
        <v>852</v>
      </c>
      <c r="C1546" s="4">
        <f t="shared" ca="1" si="14"/>
        <v>45727</v>
      </c>
    </row>
    <row r="1547" spans="1:3" x14ac:dyDescent="0.3">
      <c r="A1547" s="42">
        <v>10000000195</v>
      </c>
      <c r="B1547" s="3" t="s">
        <v>894</v>
      </c>
      <c r="C1547" s="4">
        <f t="shared" ca="1" si="14"/>
        <v>45727</v>
      </c>
    </row>
    <row r="1548" spans="1:3" x14ac:dyDescent="0.3">
      <c r="A1548" s="42">
        <v>10000000428</v>
      </c>
      <c r="B1548" s="3" t="s">
        <v>960</v>
      </c>
      <c r="C1548" s="4">
        <f t="shared" ca="1" si="14"/>
        <v>45727</v>
      </c>
    </row>
    <row r="1549" spans="1:3" x14ac:dyDescent="0.3">
      <c r="A1549" s="42">
        <v>10000000469</v>
      </c>
      <c r="B1549" s="3" t="s">
        <v>866</v>
      </c>
      <c r="C1549" s="4">
        <f t="shared" ca="1" si="14"/>
        <v>45727</v>
      </c>
    </row>
    <row r="1550" spans="1:3" x14ac:dyDescent="0.3">
      <c r="A1550" s="42">
        <v>10000000530</v>
      </c>
      <c r="B1550" s="3" t="s">
        <v>835</v>
      </c>
      <c r="C1550" s="4">
        <f t="shared" ca="1" si="14"/>
        <v>45727</v>
      </c>
    </row>
    <row r="1551" spans="1:3" x14ac:dyDescent="0.3">
      <c r="A1551" s="42">
        <v>10000000489</v>
      </c>
      <c r="B1551" s="3" t="s">
        <v>827</v>
      </c>
      <c r="C1551" s="4">
        <f t="shared" ca="1" si="14"/>
        <v>45727</v>
      </c>
    </row>
    <row r="1552" spans="1:3" x14ac:dyDescent="0.3">
      <c r="A1552" s="42">
        <v>10000000680</v>
      </c>
      <c r="B1552" s="3" t="s">
        <v>844</v>
      </c>
      <c r="C1552" s="4">
        <f t="shared" ca="1" si="14"/>
        <v>45727</v>
      </c>
    </row>
    <row r="1553" spans="1:3" x14ac:dyDescent="0.3">
      <c r="A1553" s="42">
        <v>10000000653</v>
      </c>
      <c r="B1553" s="3" t="s">
        <v>822</v>
      </c>
      <c r="C1553" s="4">
        <f t="shared" ca="1" si="14"/>
        <v>45727</v>
      </c>
    </row>
    <row r="1554" spans="1:3" x14ac:dyDescent="0.3">
      <c r="A1554" s="42">
        <v>10000000605</v>
      </c>
      <c r="B1554" s="3" t="s">
        <v>855</v>
      </c>
      <c r="C1554" s="4">
        <f t="shared" ca="1" si="14"/>
        <v>45727</v>
      </c>
    </row>
    <row r="1555" spans="1:3" x14ac:dyDescent="0.3">
      <c r="A1555" s="42">
        <v>10000000001</v>
      </c>
      <c r="B1555" s="3" t="s">
        <v>1015</v>
      </c>
      <c r="C1555" s="4">
        <f t="shared" ca="1" si="14"/>
        <v>45727</v>
      </c>
    </row>
    <row r="1556" spans="1:3" x14ac:dyDescent="0.3">
      <c r="A1556" s="42">
        <v>10000000654</v>
      </c>
      <c r="B1556" s="3" t="s">
        <v>893</v>
      </c>
      <c r="C1556" s="4">
        <f t="shared" ca="1" si="14"/>
        <v>45727</v>
      </c>
    </row>
    <row r="1557" spans="1:3" x14ac:dyDescent="0.3">
      <c r="A1557" s="42">
        <v>10000000147</v>
      </c>
      <c r="B1557" s="3" t="s">
        <v>982</v>
      </c>
      <c r="C1557" s="4">
        <f t="shared" ca="1" si="14"/>
        <v>45727</v>
      </c>
    </row>
    <row r="1558" spans="1:3" x14ac:dyDescent="0.3">
      <c r="A1558" s="42">
        <v>10000000188</v>
      </c>
      <c r="B1558" s="3" t="s">
        <v>954</v>
      </c>
      <c r="C1558" s="4">
        <f t="shared" ca="1" si="14"/>
        <v>45727</v>
      </c>
    </row>
    <row r="1559" spans="1:3" x14ac:dyDescent="0.3">
      <c r="A1559" s="42">
        <v>10000000652</v>
      </c>
      <c r="B1559" s="3" t="s">
        <v>976</v>
      </c>
      <c r="C1559" s="4">
        <f t="shared" ca="1" si="14"/>
        <v>45727</v>
      </c>
    </row>
    <row r="1560" spans="1:3" x14ac:dyDescent="0.3">
      <c r="A1560" s="42">
        <v>10000000324</v>
      </c>
      <c r="B1560" s="3" t="s">
        <v>897</v>
      </c>
      <c r="C1560" s="4">
        <f t="shared" ca="1" si="14"/>
        <v>45727</v>
      </c>
    </row>
    <row r="1561" spans="1:3" x14ac:dyDescent="0.3">
      <c r="A1561" s="42">
        <v>10000000336</v>
      </c>
      <c r="B1561" s="3" t="s">
        <v>965</v>
      </c>
      <c r="C1561" s="4">
        <f t="shared" ca="1" si="14"/>
        <v>45727</v>
      </c>
    </row>
    <row r="1562" spans="1:3" x14ac:dyDescent="0.3">
      <c r="A1562" s="42">
        <v>10000000366</v>
      </c>
      <c r="B1562" s="3" t="s">
        <v>957</v>
      </c>
      <c r="C1562" s="4">
        <f t="shared" ca="1" si="14"/>
        <v>45727</v>
      </c>
    </row>
    <row r="1563" spans="1:3" x14ac:dyDescent="0.3">
      <c r="A1563" s="42">
        <v>10000000460</v>
      </c>
      <c r="B1563" s="3" t="s">
        <v>922</v>
      </c>
      <c r="C1563" s="4">
        <f t="shared" ca="1" si="14"/>
        <v>45727</v>
      </c>
    </row>
    <row r="1564" spans="1:3" x14ac:dyDescent="0.3">
      <c r="A1564" s="42">
        <v>10000000495</v>
      </c>
      <c r="B1564" s="3" t="s">
        <v>908</v>
      </c>
      <c r="C1564" s="4">
        <f t="shared" ca="1" si="14"/>
        <v>45727</v>
      </c>
    </row>
    <row r="1565" spans="1:3" x14ac:dyDescent="0.3">
      <c r="A1565" s="42">
        <v>10000000192</v>
      </c>
      <c r="B1565" s="3" t="s">
        <v>934</v>
      </c>
      <c r="C1565" s="4">
        <f t="shared" ca="1" si="14"/>
        <v>45727</v>
      </c>
    </row>
    <row r="1566" spans="1:3" x14ac:dyDescent="0.3">
      <c r="A1566" s="42">
        <v>10000000291</v>
      </c>
      <c r="B1566" s="3" t="s">
        <v>864</v>
      </c>
      <c r="C1566" s="4">
        <f t="shared" ca="1" si="14"/>
        <v>45727</v>
      </c>
    </row>
    <row r="1567" spans="1:3" x14ac:dyDescent="0.3">
      <c r="A1567" s="42">
        <v>10000000678</v>
      </c>
      <c r="B1567" s="3" t="s">
        <v>921</v>
      </c>
      <c r="C1567" s="4">
        <f t="shared" ca="1" si="14"/>
        <v>45727</v>
      </c>
    </row>
    <row r="1568" spans="1:3" x14ac:dyDescent="0.3">
      <c r="A1568" s="42">
        <v>10000000041</v>
      </c>
      <c r="B1568" s="3" t="s">
        <v>1013</v>
      </c>
      <c r="C1568" s="4">
        <f t="shared" ca="1" si="14"/>
        <v>45727</v>
      </c>
    </row>
    <row r="1569" spans="1:3" x14ac:dyDescent="0.3">
      <c r="A1569" s="42">
        <v>10000000189</v>
      </c>
      <c r="B1569" s="3" t="s">
        <v>841</v>
      </c>
      <c r="C1569" s="4">
        <f t="shared" ca="1" si="14"/>
        <v>45727</v>
      </c>
    </row>
    <row r="1570" spans="1:3" x14ac:dyDescent="0.3">
      <c r="A1570" s="42">
        <v>10000000284</v>
      </c>
      <c r="B1570" s="3" t="s">
        <v>970</v>
      </c>
      <c r="C1570" s="4">
        <f t="shared" ca="1" si="14"/>
        <v>45727</v>
      </c>
    </row>
    <row r="1571" spans="1:3" x14ac:dyDescent="0.3">
      <c r="A1571" s="42">
        <v>10000000410</v>
      </c>
      <c r="B1571" s="3" t="s">
        <v>920</v>
      </c>
      <c r="C1571" s="4">
        <f t="shared" ca="1" si="14"/>
        <v>45727</v>
      </c>
    </row>
    <row r="1572" spans="1:3" x14ac:dyDescent="0.3">
      <c r="A1572" s="42">
        <v>10000000278</v>
      </c>
      <c r="B1572" s="3" t="s">
        <v>921</v>
      </c>
      <c r="C1572" s="4">
        <f t="shared" ca="1" si="14"/>
        <v>45727</v>
      </c>
    </row>
    <row r="1573" spans="1:3" x14ac:dyDescent="0.3">
      <c r="A1573" s="42">
        <v>10000000488</v>
      </c>
      <c r="B1573" s="3" t="s">
        <v>986</v>
      </c>
      <c r="C1573" s="4">
        <f t="shared" ca="1" si="14"/>
        <v>45727</v>
      </c>
    </row>
    <row r="1574" spans="1:3" x14ac:dyDescent="0.3">
      <c r="A1574" s="42">
        <v>10000000610</v>
      </c>
      <c r="B1574" s="3" t="s">
        <v>920</v>
      </c>
      <c r="C1574" s="4">
        <f t="shared" ca="1" si="14"/>
        <v>45727</v>
      </c>
    </row>
    <row r="1575" spans="1:3" x14ac:dyDescent="0.3">
      <c r="A1575" s="42">
        <v>10000000226</v>
      </c>
      <c r="B1575" s="3" t="s">
        <v>880</v>
      </c>
      <c r="C1575" s="4">
        <f t="shared" ca="1" si="14"/>
        <v>45727</v>
      </c>
    </row>
    <row r="1576" spans="1:3" x14ac:dyDescent="0.3">
      <c r="A1576" s="42">
        <v>10000000102</v>
      </c>
      <c r="B1576" s="3" t="s">
        <v>911</v>
      </c>
      <c r="C1576" s="4">
        <f t="shared" ca="1" si="14"/>
        <v>45727</v>
      </c>
    </row>
    <row r="1577" spans="1:3" x14ac:dyDescent="0.3">
      <c r="A1577" s="42">
        <v>10000000478</v>
      </c>
      <c r="B1577" s="3" t="s">
        <v>921</v>
      </c>
      <c r="C1577" s="4">
        <f t="shared" ca="1" si="14"/>
        <v>45727</v>
      </c>
    </row>
    <row r="1578" spans="1:3" x14ac:dyDescent="0.3">
      <c r="A1578" s="42">
        <v>10000000233</v>
      </c>
      <c r="B1578" s="3" t="s">
        <v>876</v>
      </c>
      <c r="C1578" s="4">
        <f t="shared" ca="1" si="14"/>
        <v>45727</v>
      </c>
    </row>
    <row r="1579" spans="1:3" x14ac:dyDescent="0.3">
      <c r="A1579" s="42">
        <v>10000000080</v>
      </c>
      <c r="B1579" s="3" t="s">
        <v>844</v>
      </c>
      <c r="C1579" s="4">
        <f t="shared" ca="1" si="14"/>
        <v>45727</v>
      </c>
    </row>
    <row r="1580" spans="1:3" x14ac:dyDescent="0.3">
      <c r="A1580" s="42">
        <v>10000000441</v>
      </c>
      <c r="B1580" s="3" t="s">
        <v>1013</v>
      </c>
      <c r="C1580" s="4">
        <f t="shared" ca="1" si="14"/>
        <v>45727</v>
      </c>
    </row>
    <row r="1581" spans="1:3" x14ac:dyDescent="0.3">
      <c r="A1581" s="42">
        <v>10000000063</v>
      </c>
      <c r="B1581" s="3" t="s">
        <v>1008</v>
      </c>
      <c r="C1581" s="4">
        <f t="shared" ca="1" si="14"/>
        <v>45727</v>
      </c>
    </row>
    <row r="1582" spans="1:3" x14ac:dyDescent="0.3">
      <c r="A1582" s="42">
        <v>10000000005</v>
      </c>
      <c r="B1582" s="3" t="s">
        <v>855</v>
      </c>
      <c r="C1582" s="4">
        <f t="shared" ca="1" si="14"/>
        <v>45727</v>
      </c>
    </row>
    <row r="1583" spans="1:3" x14ac:dyDescent="0.3">
      <c r="A1583" s="42">
        <v>10000000530</v>
      </c>
      <c r="B1583" s="3" t="s">
        <v>835</v>
      </c>
      <c r="C1583" s="4">
        <f t="shared" ca="1" si="14"/>
        <v>45727</v>
      </c>
    </row>
    <row r="1584" spans="1:3" x14ac:dyDescent="0.3">
      <c r="A1584" s="42">
        <v>10000000151</v>
      </c>
      <c r="B1584" s="3" t="s">
        <v>862</v>
      </c>
      <c r="C1584" s="4">
        <f t="shared" ref="C1584:C1711" ca="1" si="15">TODAY()-280</f>
        <v>45757</v>
      </c>
    </row>
    <row r="1585" spans="1:3" x14ac:dyDescent="0.3">
      <c r="A1585" s="42">
        <v>10000000287</v>
      </c>
      <c r="B1585" s="3" t="s">
        <v>904</v>
      </c>
      <c r="C1585" s="4">
        <f t="shared" ca="1" si="15"/>
        <v>45757</v>
      </c>
    </row>
    <row r="1586" spans="1:3" x14ac:dyDescent="0.3">
      <c r="A1586" s="42">
        <v>10000000324</v>
      </c>
      <c r="B1586" s="3" t="s">
        <v>897</v>
      </c>
      <c r="C1586" s="4">
        <f t="shared" ca="1" si="15"/>
        <v>45757</v>
      </c>
    </row>
    <row r="1587" spans="1:3" x14ac:dyDescent="0.3">
      <c r="A1587" s="42">
        <v>10000000597</v>
      </c>
      <c r="B1587" s="3" t="s">
        <v>1001</v>
      </c>
      <c r="C1587" s="4">
        <f t="shared" ca="1" si="15"/>
        <v>45757</v>
      </c>
    </row>
    <row r="1588" spans="1:3" x14ac:dyDescent="0.3">
      <c r="A1588" s="42">
        <v>10000000624</v>
      </c>
      <c r="B1588" s="3" t="s">
        <v>891</v>
      </c>
      <c r="C1588" s="4">
        <f t="shared" ca="1" si="15"/>
        <v>45757</v>
      </c>
    </row>
    <row r="1589" spans="1:3" x14ac:dyDescent="0.3">
      <c r="A1589" s="42">
        <v>10000000059</v>
      </c>
      <c r="B1589" s="3" t="s">
        <v>956</v>
      </c>
      <c r="C1589" s="4">
        <f t="shared" ca="1" si="15"/>
        <v>45757</v>
      </c>
    </row>
    <row r="1590" spans="1:3" x14ac:dyDescent="0.3">
      <c r="A1590" s="42">
        <v>10000000408</v>
      </c>
      <c r="B1590" s="3" t="s">
        <v>933</v>
      </c>
      <c r="C1590" s="4">
        <f t="shared" ca="1" si="15"/>
        <v>45757</v>
      </c>
    </row>
    <row r="1591" spans="1:3" x14ac:dyDescent="0.3">
      <c r="A1591" s="42">
        <v>10000000422</v>
      </c>
      <c r="B1591" s="3" t="s">
        <v>871</v>
      </c>
      <c r="C1591" s="4">
        <f t="shared" ca="1" si="15"/>
        <v>45757</v>
      </c>
    </row>
    <row r="1592" spans="1:3" x14ac:dyDescent="0.3">
      <c r="A1592" s="42">
        <v>10000000104</v>
      </c>
      <c r="B1592" s="3" t="s">
        <v>1010</v>
      </c>
      <c r="C1592" s="4">
        <f t="shared" ca="1" si="15"/>
        <v>45757</v>
      </c>
    </row>
    <row r="1593" spans="1:3" x14ac:dyDescent="0.3">
      <c r="A1593" s="42">
        <v>10000000212</v>
      </c>
      <c r="B1593" s="3" t="s">
        <v>1019</v>
      </c>
      <c r="C1593" s="4">
        <f t="shared" ca="1" si="15"/>
        <v>45757</v>
      </c>
    </row>
    <row r="1594" spans="1:3" x14ac:dyDescent="0.3">
      <c r="A1594" s="42">
        <v>10000000239</v>
      </c>
      <c r="B1594" s="3" t="s">
        <v>852</v>
      </c>
      <c r="C1594" s="4">
        <f t="shared" ca="1" si="15"/>
        <v>45757</v>
      </c>
    </row>
    <row r="1595" spans="1:3" x14ac:dyDescent="0.3">
      <c r="A1595" s="42">
        <v>10000000512</v>
      </c>
      <c r="B1595" s="3" t="s">
        <v>938</v>
      </c>
      <c r="C1595" s="4">
        <f t="shared" ca="1" si="15"/>
        <v>45757</v>
      </c>
    </row>
    <row r="1596" spans="1:3" x14ac:dyDescent="0.3">
      <c r="A1596" s="42">
        <v>10000000078</v>
      </c>
      <c r="B1596" s="3" t="s">
        <v>921</v>
      </c>
      <c r="C1596" s="4">
        <f t="shared" ca="1" si="15"/>
        <v>45757</v>
      </c>
    </row>
    <row r="1597" spans="1:3" x14ac:dyDescent="0.3">
      <c r="A1597" s="42">
        <v>10000000238</v>
      </c>
      <c r="B1597" s="3" t="s">
        <v>867</v>
      </c>
      <c r="C1597" s="4">
        <f t="shared" ca="1" si="15"/>
        <v>45757</v>
      </c>
    </row>
    <row r="1598" spans="1:3" x14ac:dyDescent="0.3">
      <c r="A1598" s="42">
        <v>10000000439</v>
      </c>
      <c r="B1598" s="3" t="s">
        <v>852</v>
      </c>
      <c r="C1598" s="4">
        <f t="shared" ca="1" si="15"/>
        <v>45757</v>
      </c>
    </row>
    <row r="1599" spans="1:3" x14ac:dyDescent="0.3">
      <c r="A1599" s="42">
        <v>10000000127</v>
      </c>
      <c r="B1599" s="3" t="s">
        <v>959</v>
      </c>
      <c r="C1599" s="4">
        <f t="shared" ca="1" si="15"/>
        <v>45757</v>
      </c>
    </row>
    <row r="1600" spans="1:3" x14ac:dyDescent="0.3">
      <c r="A1600" s="42">
        <v>10000000255</v>
      </c>
      <c r="B1600" s="3" t="s">
        <v>888</v>
      </c>
      <c r="C1600" s="4">
        <f t="shared" ca="1" si="15"/>
        <v>45757</v>
      </c>
    </row>
    <row r="1601" spans="1:3" x14ac:dyDescent="0.3">
      <c r="A1601" s="42">
        <v>10000000679</v>
      </c>
      <c r="B1601" s="3" t="s">
        <v>901</v>
      </c>
      <c r="C1601" s="4">
        <f t="shared" ca="1" si="15"/>
        <v>45757</v>
      </c>
    </row>
    <row r="1602" spans="1:3" x14ac:dyDescent="0.3">
      <c r="A1602" s="42">
        <v>10000000241</v>
      </c>
      <c r="B1602" s="3" t="s">
        <v>1013</v>
      </c>
      <c r="C1602" s="4">
        <f t="shared" ca="1" si="15"/>
        <v>45757</v>
      </c>
    </row>
    <row r="1603" spans="1:3" x14ac:dyDescent="0.3">
      <c r="A1603" s="42">
        <v>10000000676</v>
      </c>
      <c r="B1603" s="3" t="s">
        <v>899</v>
      </c>
      <c r="C1603" s="4">
        <f t="shared" ca="1" si="15"/>
        <v>45757</v>
      </c>
    </row>
    <row r="1604" spans="1:3" x14ac:dyDescent="0.3">
      <c r="A1604" s="42">
        <v>10000000052</v>
      </c>
      <c r="B1604" s="3" t="s">
        <v>976</v>
      </c>
      <c r="C1604" s="4">
        <f t="shared" ca="1" si="15"/>
        <v>45757</v>
      </c>
    </row>
    <row r="1605" spans="1:3" x14ac:dyDescent="0.3">
      <c r="A1605" s="42">
        <v>10000000459</v>
      </c>
      <c r="B1605" s="3" t="s">
        <v>956</v>
      </c>
      <c r="C1605" s="4">
        <f t="shared" ca="1" si="15"/>
        <v>45757</v>
      </c>
    </row>
    <row r="1606" spans="1:3" x14ac:dyDescent="0.3">
      <c r="A1606" s="42">
        <v>10000000680</v>
      </c>
      <c r="B1606" s="3" t="s">
        <v>844</v>
      </c>
      <c r="C1606" s="4">
        <f t="shared" ca="1" si="15"/>
        <v>45757</v>
      </c>
    </row>
    <row r="1607" spans="1:3" x14ac:dyDescent="0.3">
      <c r="A1607" s="42">
        <v>10000000108</v>
      </c>
      <c r="B1607" s="3" t="s">
        <v>993</v>
      </c>
      <c r="C1607" s="4">
        <f t="shared" ca="1" si="15"/>
        <v>45757</v>
      </c>
    </row>
    <row r="1608" spans="1:3" x14ac:dyDescent="0.3">
      <c r="A1608" s="42">
        <v>10000000616</v>
      </c>
      <c r="B1608" s="3" t="s">
        <v>874</v>
      </c>
      <c r="C1608" s="4">
        <f t="shared" ca="1" si="15"/>
        <v>45757</v>
      </c>
    </row>
    <row r="1609" spans="1:3" x14ac:dyDescent="0.3">
      <c r="A1609" s="42">
        <v>10000000104</v>
      </c>
      <c r="B1609" s="3" t="s">
        <v>1010</v>
      </c>
      <c r="C1609" s="4">
        <f t="shared" ca="1" si="15"/>
        <v>45757</v>
      </c>
    </row>
    <row r="1610" spans="1:3" x14ac:dyDescent="0.3">
      <c r="A1610" s="42">
        <v>10000000054</v>
      </c>
      <c r="B1610" s="3" t="s">
        <v>893</v>
      </c>
      <c r="C1610" s="4">
        <f t="shared" ca="1" si="15"/>
        <v>45757</v>
      </c>
    </row>
    <row r="1611" spans="1:3" x14ac:dyDescent="0.3">
      <c r="A1611" s="42">
        <v>10000000085</v>
      </c>
      <c r="B1611" s="3" t="s">
        <v>962</v>
      </c>
      <c r="C1611" s="4">
        <f t="shared" ca="1" si="15"/>
        <v>45757</v>
      </c>
    </row>
    <row r="1612" spans="1:3" x14ac:dyDescent="0.3">
      <c r="A1612" s="42">
        <v>10000000214</v>
      </c>
      <c r="B1612" s="3" t="s">
        <v>857</v>
      </c>
      <c r="C1612" s="4">
        <f t="shared" ca="1" si="15"/>
        <v>45757</v>
      </c>
    </row>
    <row r="1613" spans="1:3" x14ac:dyDescent="0.3">
      <c r="A1613" s="42">
        <v>10000000006</v>
      </c>
      <c r="B1613" s="3" t="s">
        <v>953</v>
      </c>
      <c r="C1613" s="4">
        <f t="shared" ca="1" si="15"/>
        <v>45757</v>
      </c>
    </row>
    <row r="1614" spans="1:3" x14ac:dyDescent="0.3">
      <c r="A1614" s="42">
        <v>10000000289</v>
      </c>
      <c r="B1614" s="3" t="s">
        <v>827</v>
      </c>
      <c r="C1614" s="4">
        <f t="shared" ca="1" si="15"/>
        <v>45757</v>
      </c>
    </row>
    <row r="1615" spans="1:3" x14ac:dyDescent="0.3">
      <c r="A1615" s="42">
        <v>10000000301</v>
      </c>
      <c r="B1615" s="3" t="s">
        <v>949</v>
      </c>
      <c r="C1615" s="4">
        <f t="shared" ca="1" si="15"/>
        <v>45757</v>
      </c>
    </row>
    <row r="1616" spans="1:3" x14ac:dyDescent="0.3">
      <c r="A1616" s="42">
        <v>10000000338</v>
      </c>
      <c r="B1616" s="3" t="s">
        <v>950</v>
      </c>
      <c r="C1616" s="4">
        <f t="shared" ca="1" si="15"/>
        <v>45757</v>
      </c>
    </row>
    <row r="1617" spans="1:3" x14ac:dyDescent="0.3">
      <c r="A1617" s="42">
        <v>10000000189</v>
      </c>
      <c r="B1617" s="3" t="s">
        <v>841</v>
      </c>
      <c r="C1617" s="4">
        <f t="shared" ca="1" si="15"/>
        <v>45757</v>
      </c>
    </row>
    <row r="1618" spans="1:3" x14ac:dyDescent="0.3">
      <c r="A1618" s="42">
        <v>10000000445</v>
      </c>
      <c r="B1618" s="3" t="s">
        <v>843</v>
      </c>
      <c r="C1618" s="4">
        <f t="shared" ca="1" si="15"/>
        <v>45757</v>
      </c>
    </row>
    <row r="1619" spans="1:3" x14ac:dyDescent="0.3">
      <c r="A1619" s="42">
        <v>10000000493</v>
      </c>
      <c r="B1619" s="3" t="s">
        <v>969</v>
      </c>
      <c r="C1619" s="4">
        <f t="shared" ca="1" si="15"/>
        <v>45757</v>
      </c>
    </row>
    <row r="1620" spans="1:3" x14ac:dyDescent="0.3">
      <c r="A1620" s="42">
        <v>10000000046</v>
      </c>
      <c r="B1620" s="3" t="s">
        <v>930</v>
      </c>
      <c r="C1620" s="4">
        <f t="shared" ca="1" si="15"/>
        <v>45757</v>
      </c>
    </row>
    <row r="1621" spans="1:3" x14ac:dyDescent="0.3">
      <c r="A1621" s="42">
        <v>10000000472</v>
      </c>
      <c r="B1621" s="3" t="s">
        <v>972</v>
      </c>
      <c r="C1621" s="4">
        <f t="shared" ca="1" si="15"/>
        <v>45757</v>
      </c>
    </row>
    <row r="1622" spans="1:3" x14ac:dyDescent="0.3">
      <c r="A1622" s="42">
        <v>10000000571</v>
      </c>
      <c r="B1622" s="3" t="s">
        <v>932</v>
      </c>
      <c r="C1622" s="4">
        <f t="shared" ca="1" si="15"/>
        <v>45757</v>
      </c>
    </row>
    <row r="1623" spans="1:3" x14ac:dyDescent="0.3">
      <c r="A1623" s="42">
        <v>10000000612</v>
      </c>
      <c r="B1623" s="3" t="s">
        <v>1019</v>
      </c>
      <c r="C1623" s="4">
        <f t="shared" ca="1" si="15"/>
        <v>45757</v>
      </c>
    </row>
    <row r="1624" spans="1:3" x14ac:dyDescent="0.3">
      <c r="A1624" s="42">
        <v>10000000641</v>
      </c>
      <c r="B1624" s="3" t="s">
        <v>1013</v>
      </c>
      <c r="C1624" s="4">
        <f t="shared" ca="1" si="15"/>
        <v>45757</v>
      </c>
    </row>
    <row r="1625" spans="1:3" x14ac:dyDescent="0.3">
      <c r="A1625" s="42">
        <v>10000000109</v>
      </c>
      <c r="B1625" s="3" t="s">
        <v>839</v>
      </c>
      <c r="C1625" s="4">
        <f t="shared" ca="1" si="15"/>
        <v>45757</v>
      </c>
    </row>
    <row r="1626" spans="1:3" x14ac:dyDescent="0.3">
      <c r="A1626" s="42">
        <v>10000000602</v>
      </c>
      <c r="B1626" s="3" t="s">
        <v>837</v>
      </c>
      <c r="C1626" s="4">
        <f t="shared" ca="1" si="15"/>
        <v>45757</v>
      </c>
    </row>
    <row r="1627" spans="1:3" x14ac:dyDescent="0.3">
      <c r="A1627" s="42">
        <v>10000000268</v>
      </c>
      <c r="B1627" s="3" t="s">
        <v>916</v>
      </c>
      <c r="C1627" s="4">
        <f t="shared" ca="1" si="15"/>
        <v>45757</v>
      </c>
    </row>
    <row r="1628" spans="1:3" x14ac:dyDescent="0.3">
      <c r="A1628" s="42">
        <v>10000000305</v>
      </c>
      <c r="B1628" s="3" t="s">
        <v>968</v>
      </c>
      <c r="C1628" s="4">
        <f t="shared" ca="1" si="15"/>
        <v>45757</v>
      </c>
    </row>
    <row r="1629" spans="1:3" x14ac:dyDescent="0.3">
      <c r="A1629" s="42">
        <v>10000000454</v>
      </c>
      <c r="B1629" s="3" t="s">
        <v>893</v>
      </c>
      <c r="C1629" s="4">
        <f t="shared" ca="1" si="15"/>
        <v>45757</v>
      </c>
    </row>
    <row r="1630" spans="1:3" x14ac:dyDescent="0.3">
      <c r="A1630" s="42">
        <v>10000000275</v>
      </c>
      <c r="B1630" s="3" t="s">
        <v>931</v>
      </c>
      <c r="C1630" s="4">
        <f t="shared" ca="1" si="15"/>
        <v>45757</v>
      </c>
    </row>
    <row r="1631" spans="1:3" x14ac:dyDescent="0.3">
      <c r="A1631" s="42">
        <v>10000000277</v>
      </c>
      <c r="B1631" s="3" t="s">
        <v>971</v>
      </c>
      <c r="C1631" s="4">
        <f t="shared" ca="1" si="15"/>
        <v>45757</v>
      </c>
    </row>
    <row r="1632" spans="1:3" x14ac:dyDescent="0.3">
      <c r="A1632" s="42">
        <v>10000000641</v>
      </c>
      <c r="B1632" s="3" t="s">
        <v>1013</v>
      </c>
      <c r="C1632" s="4">
        <f t="shared" ca="1" si="15"/>
        <v>45757</v>
      </c>
    </row>
    <row r="1633" spans="1:3" x14ac:dyDescent="0.3">
      <c r="A1633" s="42">
        <v>10000000124</v>
      </c>
      <c r="B1633" s="3" t="s">
        <v>897</v>
      </c>
      <c r="C1633" s="4">
        <f t="shared" ca="1" si="15"/>
        <v>45757</v>
      </c>
    </row>
    <row r="1634" spans="1:3" x14ac:dyDescent="0.3">
      <c r="A1634" s="42">
        <v>10000000434</v>
      </c>
      <c r="B1634" s="3" t="s">
        <v>910</v>
      </c>
      <c r="C1634" s="4">
        <f t="shared" ca="1" si="15"/>
        <v>45757</v>
      </c>
    </row>
    <row r="1635" spans="1:3" x14ac:dyDescent="0.3">
      <c r="A1635" s="42">
        <v>10000000098</v>
      </c>
      <c r="B1635" s="3" t="s">
        <v>1016</v>
      </c>
      <c r="C1635" s="4">
        <f t="shared" ca="1" si="15"/>
        <v>45757</v>
      </c>
    </row>
    <row r="1636" spans="1:3" x14ac:dyDescent="0.3">
      <c r="A1636" s="42">
        <v>10000000503</v>
      </c>
      <c r="B1636" s="3" t="s">
        <v>853</v>
      </c>
      <c r="C1636" s="4">
        <f t="shared" ca="1" si="15"/>
        <v>45757</v>
      </c>
    </row>
    <row r="1637" spans="1:3" x14ac:dyDescent="0.3">
      <c r="A1637" s="42">
        <v>10000000069</v>
      </c>
      <c r="B1637" s="3" t="s">
        <v>866</v>
      </c>
      <c r="C1637" s="4">
        <f t="shared" ca="1" si="15"/>
        <v>45757</v>
      </c>
    </row>
    <row r="1638" spans="1:3" x14ac:dyDescent="0.3">
      <c r="A1638" s="42">
        <v>10000000099</v>
      </c>
      <c r="B1638" s="3" t="s">
        <v>1011</v>
      </c>
      <c r="C1638" s="4">
        <f t="shared" ca="1" si="15"/>
        <v>45757</v>
      </c>
    </row>
    <row r="1639" spans="1:3" x14ac:dyDescent="0.3">
      <c r="A1639" s="42">
        <v>10000000167</v>
      </c>
      <c r="B1639" s="3" t="s">
        <v>984</v>
      </c>
      <c r="C1639" s="4">
        <f t="shared" ca="1" si="15"/>
        <v>45757</v>
      </c>
    </row>
    <row r="1640" spans="1:3" x14ac:dyDescent="0.3">
      <c r="A1640" s="42">
        <v>10000000193</v>
      </c>
      <c r="B1640" s="3" t="s">
        <v>1018</v>
      </c>
      <c r="C1640" s="4">
        <f t="shared" ca="1" si="15"/>
        <v>45757</v>
      </c>
    </row>
    <row r="1641" spans="1:3" x14ac:dyDescent="0.3">
      <c r="A1641" s="42">
        <v>10000000294</v>
      </c>
      <c r="B1641" s="3" t="s">
        <v>948</v>
      </c>
      <c r="C1641" s="4">
        <f t="shared" ca="1" si="15"/>
        <v>45757</v>
      </c>
    </row>
    <row r="1642" spans="1:3" x14ac:dyDescent="0.3">
      <c r="A1642" s="42">
        <v>10000000050</v>
      </c>
      <c r="B1642" s="3" t="s">
        <v>928</v>
      </c>
      <c r="C1642" s="4">
        <f t="shared" ca="1" si="15"/>
        <v>45757</v>
      </c>
    </row>
    <row r="1643" spans="1:3" x14ac:dyDescent="0.3">
      <c r="A1643" s="42">
        <v>10000000679</v>
      </c>
      <c r="B1643" s="3" t="s">
        <v>901</v>
      </c>
      <c r="C1643" s="4">
        <f t="shared" ca="1" si="15"/>
        <v>45757</v>
      </c>
    </row>
    <row r="1644" spans="1:3" x14ac:dyDescent="0.3">
      <c r="A1644" s="42">
        <v>10000000245</v>
      </c>
      <c r="B1644" s="3" t="s">
        <v>843</v>
      </c>
      <c r="C1644" s="4">
        <f t="shared" ca="1" si="15"/>
        <v>45757</v>
      </c>
    </row>
    <row r="1645" spans="1:3" x14ac:dyDescent="0.3">
      <c r="A1645" s="42">
        <v>10000000411</v>
      </c>
      <c r="B1645" s="3" t="s">
        <v>1005</v>
      </c>
      <c r="C1645" s="4">
        <f t="shared" ca="1" si="15"/>
        <v>45757</v>
      </c>
    </row>
    <row r="1646" spans="1:3" x14ac:dyDescent="0.3">
      <c r="A1646" s="42">
        <v>10000000036</v>
      </c>
      <c r="B1646" s="3" t="s">
        <v>873</v>
      </c>
      <c r="C1646" s="4">
        <f t="shared" ca="1" si="15"/>
        <v>45757</v>
      </c>
    </row>
    <row r="1647" spans="1:3" x14ac:dyDescent="0.3">
      <c r="A1647" s="42">
        <v>10000000649</v>
      </c>
      <c r="B1647" s="3" t="s">
        <v>951</v>
      </c>
      <c r="C1647" s="4">
        <f t="shared" ca="1" si="15"/>
        <v>45757</v>
      </c>
    </row>
    <row r="1648" spans="1:3" x14ac:dyDescent="0.3">
      <c r="A1648" s="42">
        <v>10000000659</v>
      </c>
      <c r="B1648" s="3" t="s">
        <v>956</v>
      </c>
      <c r="C1648" s="4">
        <f t="shared" ca="1" si="15"/>
        <v>45757</v>
      </c>
    </row>
    <row r="1649" spans="1:3" x14ac:dyDescent="0.3">
      <c r="A1649" s="42">
        <v>10000000681</v>
      </c>
      <c r="B1649" s="3" t="s">
        <v>964</v>
      </c>
      <c r="C1649" s="4">
        <f t="shared" ca="1" si="15"/>
        <v>45757</v>
      </c>
    </row>
    <row r="1650" spans="1:3" x14ac:dyDescent="0.3">
      <c r="A1650" s="42">
        <v>10000000512</v>
      </c>
      <c r="B1650" s="3" t="s">
        <v>938</v>
      </c>
      <c r="C1650" s="4">
        <f t="shared" ca="1" si="15"/>
        <v>45757</v>
      </c>
    </row>
    <row r="1651" spans="1:3" x14ac:dyDescent="0.3">
      <c r="A1651" s="42">
        <v>10000000425</v>
      </c>
      <c r="B1651" s="3" t="s">
        <v>872</v>
      </c>
      <c r="C1651" s="4">
        <f t="shared" ca="1" si="15"/>
        <v>45757</v>
      </c>
    </row>
    <row r="1652" spans="1:3" x14ac:dyDescent="0.3">
      <c r="A1652" s="42">
        <v>10000000488</v>
      </c>
      <c r="B1652" s="3" t="s">
        <v>986</v>
      </c>
      <c r="C1652" s="4">
        <f t="shared" ca="1" si="15"/>
        <v>45757</v>
      </c>
    </row>
    <row r="1653" spans="1:3" x14ac:dyDescent="0.3">
      <c r="A1653" s="42">
        <v>10000000073</v>
      </c>
      <c r="B1653" s="3" t="s">
        <v>941</v>
      </c>
      <c r="C1653" s="4">
        <f t="shared" ca="1" si="15"/>
        <v>45757</v>
      </c>
    </row>
    <row r="1654" spans="1:3" x14ac:dyDescent="0.3">
      <c r="A1654" s="42">
        <v>10000000636</v>
      </c>
      <c r="B1654" s="3" t="s">
        <v>873</v>
      </c>
      <c r="C1654" s="4">
        <f t="shared" ca="1" si="15"/>
        <v>45757</v>
      </c>
    </row>
    <row r="1655" spans="1:3" x14ac:dyDescent="0.3">
      <c r="A1655" s="42">
        <v>10000000145</v>
      </c>
      <c r="B1655" s="3" t="s">
        <v>842</v>
      </c>
      <c r="C1655" s="4">
        <f t="shared" ca="1" si="15"/>
        <v>45757</v>
      </c>
    </row>
    <row r="1656" spans="1:3" x14ac:dyDescent="0.3">
      <c r="A1656" s="42">
        <v>10000000632</v>
      </c>
      <c r="B1656" s="3" t="s">
        <v>896</v>
      </c>
      <c r="C1656" s="4">
        <f t="shared" ca="1" si="15"/>
        <v>45757</v>
      </c>
    </row>
    <row r="1657" spans="1:3" x14ac:dyDescent="0.3">
      <c r="A1657" s="42">
        <v>10000000094</v>
      </c>
      <c r="B1657" s="3" t="s">
        <v>948</v>
      </c>
      <c r="C1657" s="4">
        <f t="shared" ca="1" si="15"/>
        <v>45757</v>
      </c>
    </row>
    <row r="1658" spans="1:3" x14ac:dyDescent="0.3">
      <c r="A1658" s="42">
        <v>10000000295</v>
      </c>
      <c r="B1658" s="3" t="s">
        <v>908</v>
      </c>
      <c r="C1658" s="4">
        <f t="shared" ca="1" si="15"/>
        <v>45757</v>
      </c>
    </row>
    <row r="1659" spans="1:3" x14ac:dyDescent="0.3">
      <c r="A1659" s="42">
        <v>10000000522</v>
      </c>
      <c r="B1659" s="3" t="s">
        <v>824</v>
      </c>
      <c r="C1659" s="4">
        <f t="shared" ca="1" si="15"/>
        <v>45757</v>
      </c>
    </row>
    <row r="1660" spans="1:3" x14ac:dyDescent="0.3">
      <c r="A1660" s="42">
        <v>10000000329</v>
      </c>
      <c r="B1660" s="3" t="s">
        <v>909</v>
      </c>
      <c r="C1660" s="4">
        <f t="shared" ca="1" si="15"/>
        <v>45757</v>
      </c>
    </row>
    <row r="1661" spans="1:3" x14ac:dyDescent="0.3">
      <c r="A1661" s="42">
        <v>10000000553</v>
      </c>
      <c r="B1661" s="3" t="s">
        <v>825</v>
      </c>
      <c r="C1661" s="4">
        <f t="shared" ca="1" si="15"/>
        <v>45757</v>
      </c>
    </row>
    <row r="1662" spans="1:3" x14ac:dyDescent="0.3">
      <c r="A1662" s="42">
        <v>10000000140</v>
      </c>
      <c r="B1662" s="3" t="s">
        <v>996</v>
      </c>
      <c r="C1662" s="4">
        <f t="shared" ca="1" si="15"/>
        <v>45757</v>
      </c>
    </row>
    <row r="1663" spans="1:3" x14ac:dyDescent="0.3">
      <c r="A1663" s="42">
        <v>10000000256</v>
      </c>
      <c r="B1663" s="3" t="s">
        <v>940</v>
      </c>
      <c r="C1663" s="4">
        <f t="shared" ca="1" si="15"/>
        <v>45757</v>
      </c>
    </row>
    <row r="1664" spans="1:3" x14ac:dyDescent="0.3">
      <c r="A1664" s="42">
        <v>10000000437</v>
      </c>
      <c r="B1664" s="3" t="s">
        <v>885</v>
      </c>
      <c r="C1664" s="4">
        <f t="shared" ca="1" si="15"/>
        <v>45757</v>
      </c>
    </row>
    <row r="1665" spans="1:3" x14ac:dyDescent="0.3">
      <c r="A1665" s="42">
        <v>10000000191</v>
      </c>
      <c r="B1665" s="3" t="s">
        <v>987</v>
      </c>
      <c r="C1665" s="4">
        <f t="shared" ca="1" si="15"/>
        <v>45757</v>
      </c>
    </row>
    <row r="1666" spans="1:3" x14ac:dyDescent="0.3">
      <c r="A1666" s="42">
        <v>10000000515</v>
      </c>
      <c r="B1666" s="3" t="s">
        <v>870</v>
      </c>
      <c r="C1666" s="4">
        <f t="shared" ca="1" si="15"/>
        <v>45757</v>
      </c>
    </row>
    <row r="1667" spans="1:3" x14ac:dyDescent="0.3">
      <c r="A1667" s="42">
        <v>10000000566</v>
      </c>
      <c r="B1667" s="3" t="s">
        <v>957</v>
      </c>
      <c r="C1667" s="4">
        <f t="shared" ca="1" si="15"/>
        <v>45757</v>
      </c>
    </row>
    <row r="1668" spans="1:3" x14ac:dyDescent="0.3">
      <c r="A1668" s="42">
        <v>10000000507</v>
      </c>
      <c r="B1668" s="3" t="s">
        <v>906</v>
      </c>
      <c r="C1668" s="4">
        <f t="shared" ca="1" si="15"/>
        <v>45757</v>
      </c>
    </row>
    <row r="1669" spans="1:3" x14ac:dyDescent="0.3">
      <c r="A1669" s="42">
        <v>10000000021</v>
      </c>
      <c r="B1669" s="3" t="s">
        <v>917</v>
      </c>
      <c r="C1669" s="4">
        <f t="shared" ca="1" si="15"/>
        <v>45757</v>
      </c>
    </row>
    <row r="1670" spans="1:3" x14ac:dyDescent="0.3">
      <c r="A1670" s="42">
        <v>10000000123</v>
      </c>
      <c r="B1670" s="3" t="s">
        <v>988</v>
      </c>
      <c r="C1670" s="4">
        <f t="shared" ca="1" si="15"/>
        <v>45757</v>
      </c>
    </row>
    <row r="1671" spans="1:3" x14ac:dyDescent="0.3">
      <c r="A1671" s="42">
        <v>10000000582</v>
      </c>
      <c r="B1671" s="3" t="s">
        <v>955</v>
      </c>
      <c r="C1671" s="4">
        <f t="shared" ca="1" si="15"/>
        <v>45757</v>
      </c>
    </row>
    <row r="1672" spans="1:3" x14ac:dyDescent="0.3">
      <c r="A1672" s="42">
        <v>10000000357</v>
      </c>
      <c r="B1672" s="3" t="s">
        <v>1002</v>
      </c>
      <c r="C1672" s="4">
        <f t="shared" ca="1" si="15"/>
        <v>45757</v>
      </c>
    </row>
    <row r="1673" spans="1:3" x14ac:dyDescent="0.3">
      <c r="A1673" s="42">
        <v>10000000205</v>
      </c>
      <c r="B1673" s="3" t="s">
        <v>855</v>
      </c>
      <c r="C1673" s="4">
        <f t="shared" ca="1" si="15"/>
        <v>45757</v>
      </c>
    </row>
    <row r="1674" spans="1:3" x14ac:dyDescent="0.3">
      <c r="A1674" s="42">
        <v>10000000576</v>
      </c>
      <c r="B1674" s="3" t="s">
        <v>978</v>
      </c>
      <c r="C1674" s="4">
        <f t="shared" ca="1" si="15"/>
        <v>45757</v>
      </c>
    </row>
    <row r="1675" spans="1:3" x14ac:dyDescent="0.3">
      <c r="A1675" s="42">
        <v>10000000622</v>
      </c>
      <c r="B1675" s="3" t="s">
        <v>871</v>
      </c>
      <c r="C1675" s="4">
        <f t="shared" ca="1" si="15"/>
        <v>45757</v>
      </c>
    </row>
    <row r="1676" spans="1:3" x14ac:dyDescent="0.3">
      <c r="A1676" s="42">
        <v>10000000085</v>
      </c>
      <c r="B1676" s="3" t="s">
        <v>962</v>
      </c>
      <c r="C1676" s="4">
        <f t="shared" ca="1" si="15"/>
        <v>45757</v>
      </c>
    </row>
    <row r="1677" spans="1:3" x14ac:dyDescent="0.3">
      <c r="A1677" s="42">
        <v>10000000263</v>
      </c>
      <c r="B1677" s="3" t="s">
        <v>1008</v>
      </c>
      <c r="C1677" s="4">
        <f t="shared" ca="1" si="15"/>
        <v>45757</v>
      </c>
    </row>
    <row r="1678" spans="1:3" x14ac:dyDescent="0.3">
      <c r="A1678" s="42">
        <v>10000000299</v>
      </c>
      <c r="B1678" s="3" t="s">
        <v>1011</v>
      </c>
      <c r="C1678" s="4">
        <f t="shared" ca="1" si="15"/>
        <v>45757</v>
      </c>
    </row>
    <row r="1679" spans="1:3" x14ac:dyDescent="0.3">
      <c r="A1679" s="42">
        <v>10000000558</v>
      </c>
      <c r="B1679" s="3" t="s">
        <v>994</v>
      </c>
      <c r="C1679" s="4">
        <f t="shared" ca="1" si="15"/>
        <v>45757</v>
      </c>
    </row>
    <row r="1680" spans="1:3" x14ac:dyDescent="0.3">
      <c r="A1680" s="42">
        <v>10000000192</v>
      </c>
      <c r="B1680" s="3" t="s">
        <v>934</v>
      </c>
      <c r="C1680" s="4">
        <f t="shared" ca="1" si="15"/>
        <v>45757</v>
      </c>
    </row>
    <row r="1681" spans="1:3" x14ac:dyDescent="0.3">
      <c r="A1681" s="42">
        <v>10000000588</v>
      </c>
      <c r="B1681" s="3" t="s">
        <v>954</v>
      </c>
      <c r="C1681" s="4">
        <f t="shared" ca="1" si="15"/>
        <v>45757</v>
      </c>
    </row>
    <row r="1682" spans="1:3" x14ac:dyDescent="0.3">
      <c r="A1682" s="42">
        <v>10000000003</v>
      </c>
      <c r="B1682" s="3" t="s">
        <v>952</v>
      </c>
      <c r="C1682" s="4">
        <f t="shared" ca="1" si="15"/>
        <v>45757</v>
      </c>
    </row>
    <row r="1683" spans="1:3" x14ac:dyDescent="0.3">
      <c r="A1683" s="42">
        <v>10000000187</v>
      </c>
      <c r="B1683" s="3" t="s">
        <v>905</v>
      </c>
      <c r="C1683" s="4">
        <f t="shared" ca="1" si="15"/>
        <v>45757</v>
      </c>
    </row>
    <row r="1684" spans="1:3" x14ac:dyDescent="0.3">
      <c r="A1684" s="42">
        <v>10000000290</v>
      </c>
      <c r="B1684" s="3" t="s">
        <v>848</v>
      </c>
      <c r="C1684" s="4">
        <f t="shared" ca="1" si="15"/>
        <v>45757</v>
      </c>
    </row>
    <row r="1685" spans="1:3" x14ac:dyDescent="0.3">
      <c r="A1685" s="42">
        <v>10000000325</v>
      </c>
      <c r="B1685" s="3" t="s">
        <v>823</v>
      </c>
      <c r="C1685" s="4">
        <f t="shared" ca="1" si="15"/>
        <v>45757</v>
      </c>
    </row>
    <row r="1686" spans="1:3" x14ac:dyDescent="0.3">
      <c r="A1686" s="42">
        <v>10000000527</v>
      </c>
      <c r="B1686" s="3" t="s">
        <v>959</v>
      </c>
      <c r="C1686" s="4">
        <f t="shared" ca="1" si="15"/>
        <v>45757</v>
      </c>
    </row>
    <row r="1687" spans="1:3" x14ac:dyDescent="0.3">
      <c r="A1687" s="42">
        <v>10000000585</v>
      </c>
      <c r="B1687" s="3" t="s">
        <v>989</v>
      </c>
      <c r="C1687" s="4">
        <f t="shared" ca="1" si="15"/>
        <v>45757</v>
      </c>
    </row>
    <row r="1688" spans="1:3" x14ac:dyDescent="0.3">
      <c r="A1688" s="42">
        <v>10000000634</v>
      </c>
      <c r="B1688" s="3" t="s">
        <v>910</v>
      </c>
      <c r="C1688" s="4">
        <f t="shared" ca="1" si="15"/>
        <v>45757</v>
      </c>
    </row>
    <row r="1689" spans="1:3" x14ac:dyDescent="0.3">
      <c r="A1689" s="42">
        <v>10000000327</v>
      </c>
      <c r="B1689" s="3" t="s">
        <v>959</v>
      </c>
      <c r="C1689" s="4">
        <f t="shared" ca="1" si="15"/>
        <v>45757</v>
      </c>
    </row>
    <row r="1690" spans="1:3" x14ac:dyDescent="0.3">
      <c r="A1690" s="42">
        <v>10000000581</v>
      </c>
      <c r="B1690" s="3" t="s">
        <v>831</v>
      </c>
      <c r="C1690" s="4">
        <f t="shared" ca="1" si="15"/>
        <v>45757</v>
      </c>
    </row>
    <row r="1691" spans="1:3" x14ac:dyDescent="0.3">
      <c r="A1691" s="42">
        <v>10000000306</v>
      </c>
      <c r="B1691" s="3" t="s">
        <v>992</v>
      </c>
      <c r="C1691" s="4">
        <f t="shared" ca="1" si="15"/>
        <v>45757</v>
      </c>
    </row>
    <row r="1692" spans="1:3" x14ac:dyDescent="0.3">
      <c r="A1692" s="42">
        <v>10000000398</v>
      </c>
      <c r="B1692" s="3" t="s">
        <v>939</v>
      </c>
      <c r="C1692" s="4">
        <f t="shared" ca="1" si="15"/>
        <v>45757</v>
      </c>
    </row>
    <row r="1693" spans="1:3" x14ac:dyDescent="0.3">
      <c r="A1693" s="42">
        <v>10000000678</v>
      </c>
      <c r="B1693" s="3" t="s">
        <v>921</v>
      </c>
      <c r="C1693" s="4">
        <f t="shared" ca="1" si="15"/>
        <v>45757</v>
      </c>
    </row>
    <row r="1694" spans="1:3" x14ac:dyDescent="0.3">
      <c r="A1694" s="42">
        <v>10000000175</v>
      </c>
      <c r="B1694" s="3" t="s">
        <v>943</v>
      </c>
      <c r="C1694" s="4">
        <f t="shared" ca="1" si="15"/>
        <v>45757</v>
      </c>
    </row>
    <row r="1695" spans="1:3" x14ac:dyDescent="0.3">
      <c r="A1695" s="42">
        <v>10000000027</v>
      </c>
      <c r="B1695" s="3" t="s">
        <v>828</v>
      </c>
      <c r="C1695" s="4">
        <f t="shared" ca="1" si="15"/>
        <v>45757</v>
      </c>
    </row>
    <row r="1696" spans="1:3" x14ac:dyDescent="0.3">
      <c r="A1696" s="42">
        <v>10000000112</v>
      </c>
      <c r="B1696" s="3" t="s">
        <v>938</v>
      </c>
      <c r="C1696" s="4">
        <f t="shared" ca="1" si="15"/>
        <v>45757</v>
      </c>
    </row>
    <row r="1697" spans="1:3" x14ac:dyDescent="0.3">
      <c r="A1697" s="42">
        <v>10000000251</v>
      </c>
      <c r="B1697" s="3" t="s">
        <v>973</v>
      </c>
      <c r="C1697" s="4">
        <f t="shared" ca="1" si="15"/>
        <v>45757</v>
      </c>
    </row>
    <row r="1698" spans="1:3" x14ac:dyDescent="0.3">
      <c r="A1698" s="42">
        <v>10000000611</v>
      </c>
      <c r="B1698" s="3" t="s">
        <v>1005</v>
      </c>
      <c r="C1698" s="4">
        <f t="shared" ca="1" si="15"/>
        <v>45757</v>
      </c>
    </row>
    <row r="1699" spans="1:3" x14ac:dyDescent="0.3">
      <c r="A1699" s="42">
        <v>10000000122</v>
      </c>
      <c r="B1699" s="3" t="s">
        <v>824</v>
      </c>
      <c r="C1699" s="4">
        <f t="shared" ca="1" si="15"/>
        <v>45757</v>
      </c>
    </row>
    <row r="1700" spans="1:3" x14ac:dyDescent="0.3">
      <c r="A1700" s="42">
        <v>10000000319</v>
      </c>
      <c r="B1700" s="3" t="s">
        <v>1003</v>
      </c>
      <c r="C1700" s="4">
        <f t="shared" ca="1" si="15"/>
        <v>45757</v>
      </c>
    </row>
    <row r="1701" spans="1:3" x14ac:dyDescent="0.3">
      <c r="A1701" s="42">
        <v>10000000518</v>
      </c>
      <c r="B1701" s="3" t="s">
        <v>1007</v>
      </c>
      <c r="C1701" s="4">
        <f t="shared" ca="1" si="15"/>
        <v>45757</v>
      </c>
    </row>
    <row r="1702" spans="1:3" x14ac:dyDescent="0.3">
      <c r="A1702" s="42">
        <v>10000000033</v>
      </c>
      <c r="B1702" s="3" t="s">
        <v>876</v>
      </c>
      <c r="C1702" s="4">
        <f t="shared" ca="1" si="15"/>
        <v>45757</v>
      </c>
    </row>
    <row r="1703" spans="1:3" x14ac:dyDescent="0.3">
      <c r="A1703" s="42">
        <v>10000000138</v>
      </c>
      <c r="B1703" s="3" t="s">
        <v>950</v>
      </c>
      <c r="C1703" s="4">
        <f t="shared" ca="1" si="15"/>
        <v>45757</v>
      </c>
    </row>
    <row r="1704" spans="1:3" x14ac:dyDescent="0.3">
      <c r="A1704" s="42">
        <v>10000000536</v>
      </c>
      <c r="B1704" s="3" t="s">
        <v>965</v>
      </c>
      <c r="C1704" s="4">
        <f t="shared" ca="1" si="15"/>
        <v>45757</v>
      </c>
    </row>
    <row r="1705" spans="1:3" x14ac:dyDescent="0.3">
      <c r="A1705" s="42">
        <v>10000000619</v>
      </c>
      <c r="B1705" s="3" t="s">
        <v>975</v>
      </c>
      <c r="C1705" s="4">
        <f t="shared" ca="1" si="15"/>
        <v>45757</v>
      </c>
    </row>
    <row r="1706" spans="1:3" x14ac:dyDescent="0.3">
      <c r="A1706" s="42">
        <v>10000000152</v>
      </c>
      <c r="B1706" s="3" t="s">
        <v>927</v>
      </c>
      <c r="C1706" s="4">
        <f t="shared" ca="1" si="15"/>
        <v>45757</v>
      </c>
    </row>
    <row r="1707" spans="1:3" x14ac:dyDescent="0.3">
      <c r="A1707" s="42">
        <v>10000000163</v>
      </c>
      <c r="B1707" s="3" t="s">
        <v>877</v>
      </c>
      <c r="C1707" s="4">
        <f t="shared" ca="1" si="15"/>
        <v>45757</v>
      </c>
    </row>
    <row r="1708" spans="1:3" x14ac:dyDescent="0.3">
      <c r="A1708" s="42">
        <v>10000000407</v>
      </c>
      <c r="B1708" s="3" t="s">
        <v>902</v>
      </c>
      <c r="C1708" s="4">
        <f t="shared" ca="1" si="15"/>
        <v>45757</v>
      </c>
    </row>
    <row r="1709" spans="1:3" x14ac:dyDescent="0.3">
      <c r="A1709" s="42">
        <v>10000000659</v>
      </c>
      <c r="B1709" s="3" t="s">
        <v>956</v>
      </c>
      <c r="C1709" s="4">
        <f t="shared" ca="1" si="15"/>
        <v>45757</v>
      </c>
    </row>
    <row r="1710" spans="1:3" x14ac:dyDescent="0.3">
      <c r="A1710" s="42">
        <v>10000000127</v>
      </c>
      <c r="B1710" s="3" t="s">
        <v>959</v>
      </c>
      <c r="C1710" s="4">
        <f t="shared" ca="1" si="15"/>
        <v>45757</v>
      </c>
    </row>
    <row r="1711" spans="1:3" x14ac:dyDescent="0.3">
      <c r="A1711" s="42">
        <v>10000000453</v>
      </c>
      <c r="B1711" s="3" t="s">
        <v>822</v>
      </c>
      <c r="C1711" s="4">
        <f t="shared" ca="1" si="15"/>
        <v>45757</v>
      </c>
    </row>
    <row r="1712" spans="1:3" x14ac:dyDescent="0.3">
      <c r="A1712" s="42">
        <v>10000000612</v>
      </c>
      <c r="B1712" s="3" t="s">
        <v>1019</v>
      </c>
      <c r="C1712" s="4">
        <f t="shared" ref="C1712:C1841" ca="1" si="16">TODAY()-249</f>
        <v>45788</v>
      </c>
    </row>
    <row r="1713" spans="1:3" x14ac:dyDescent="0.3">
      <c r="A1713" s="42">
        <v>10000000386</v>
      </c>
      <c r="B1713" s="3" t="s">
        <v>980</v>
      </c>
      <c r="C1713" s="4">
        <f t="shared" ca="1" si="16"/>
        <v>45788</v>
      </c>
    </row>
    <row r="1714" spans="1:3" x14ac:dyDescent="0.3">
      <c r="A1714" s="42">
        <v>10000000010</v>
      </c>
      <c r="B1714" s="3" t="s">
        <v>920</v>
      </c>
      <c r="C1714" s="4">
        <f t="shared" ca="1" si="16"/>
        <v>45788</v>
      </c>
    </row>
    <row r="1715" spans="1:3" x14ac:dyDescent="0.3">
      <c r="A1715" s="42">
        <v>10000000361</v>
      </c>
      <c r="B1715" s="3" t="s">
        <v>977</v>
      </c>
      <c r="C1715" s="4">
        <f t="shared" ca="1" si="16"/>
        <v>45788</v>
      </c>
    </row>
    <row r="1716" spans="1:3" x14ac:dyDescent="0.3">
      <c r="A1716" s="42">
        <v>10000000202</v>
      </c>
      <c r="B1716" s="3" t="s">
        <v>837</v>
      </c>
      <c r="C1716" s="4">
        <f t="shared" ca="1" si="16"/>
        <v>45788</v>
      </c>
    </row>
    <row r="1717" spans="1:3" x14ac:dyDescent="0.3">
      <c r="A1717" s="42">
        <v>10000000619</v>
      </c>
      <c r="B1717" s="3" t="s">
        <v>975</v>
      </c>
      <c r="C1717" s="4">
        <f t="shared" ca="1" si="16"/>
        <v>45788</v>
      </c>
    </row>
    <row r="1718" spans="1:3" x14ac:dyDescent="0.3">
      <c r="A1718" s="42">
        <v>10000000221</v>
      </c>
      <c r="B1718" s="3" t="s">
        <v>917</v>
      </c>
      <c r="C1718" s="4">
        <f t="shared" ca="1" si="16"/>
        <v>45788</v>
      </c>
    </row>
    <row r="1719" spans="1:3" x14ac:dyDescent="0.3">
      <c r="A1719" s="42">
        <v>10000000526</v>
      </c>
      <c r="B1719" s="3" t="s">
        <v>985</v>
      </c>
      <c r="C1719" s="4">
        <f t="shared" ca="1" si="16"/>
        <v>45788</v>
      </c>
    </row>
    <row r="1720" spans="1:3" x14ac:dyDescent="0.3">
      <c r="A1720" s="42">
        <v>10000000024</v>
      </c>
      <c r="B1720" s="3" t="s">
        <v>891</v>
      </c>
      <c r="C1720" s="4">
        <f t="shared" ca="1" si="16"/>
        <v>45788</v>
      </c>
    </row>
    <row r="1721" spans="1:3" x14ac:dyDescent="0.3">
      <c r="A1721" s="42">
        <v>10000000210</v>
      </c>
      <c r="B1721" s="3" t="s">
        <v>920</v>
      </c>
      <c r="C1721" s="4">
        <f t="shared" ca="1" si="16"/>
        <v>45788</v>
      </c>
    </row>
    <row r="1722" spans="1:3" x14ac:dyDescent="0.3">
      <c r="A1722" s="42">
        <v>10000000580</v>
      </c>
      <c r="B1722" s="3" t="s">
        <v>991</v>
      </c>
      <c r="C1722" s="4">
        <f t="shared" ca="1" si="16"/>
        <v>45788</v>
      </c>
    </row>
    <row r="1723" spans="1:3" x14ac:dyDescent="0.3">
      <c r="A1723" s="42">
        <v>10000000271</v>
      </c>
      <c r="B1723" s="3" t="s">
        <v>882</v>
      </c>
      <c r="C1723" s="4">
        <f t="shared" ca="1" si="16"/>
        <v>45788</v>
      </c>
    </row>
    <row r="1724" spans="1:3" x14ac:dyDescent="0.3">
      <c r="A1724" s="42">
        <v>10000000298</v>
      </c>
      <c r="B1724" s="3" t="s">
        <v>1016</v>
      </c>
      <c r="C1724" s="4">
        <f t="shared" ca="1" si="16"/>
        <v>45788</v>
      </c>
    </row>
    <row r="1725" spans="1:3" x14ac:dyDescent="0.3">
      <c r="A1725" s="42">
        <v>10000000308</v>
      </c>
      <c r="B1725" s="3" t="s">
        <v>993</v>
      </c>
      <c r="C1725" s="4">
        <f t="shared" ca="1" si="16"/>
        <v>45788</v>
      </c>
    </row>
    <row r="1726" spans="1:3" x14ac:dyDescent="0.3">
      <c r="A1726" s="42">
        <v>10000000127</v>
      </c>
      <c r="B1726" s="3" t="s">
        <v>959</v>
      </c>
      <c r="C1726" s="4">
        <f t="shared" ca="1" si="16"/>
        <v>45788</v>
      </c>
    </row>
    <row r="1727" spans="1:3" x14ac:dyDescent="0.3">
      <c r="A1727" s="42">
        <v>10000000301</v>
      </c>
      <c r="B1727" s="3" t="s">
        <v>949</v>
      </c>
      <c r="C1727" s="4">
        <f t="shared" ca="1" si="16"/>
        <v>45788</v>
      </c>
    </row>
    <row r="1728" spans="1:3" x14ac:dyDescent="0.3">
      <c r="A1728" s="42">
        <v>10000000696</v>
      </c>
      <c r="B1728" s="3" t="s">
        <v>879</v>
      </c>
      <c r="C1728" s="4">
        <f t="shared" ca="1" si="16"/>
        <v>45788</v>
      </c>
    </row>
    <row r="1729" spans="1:3" x14ac:dyDescent="0.3">
      <c r="A1729" s="42">
        <v>10000000047</v>
      </c>
      <c r="B1729" s="3" t="s">
        <v>967</v>
      </c>
      <c r="C1729" s="4">
        <f t="shared" ca="1" si="16"/>
        <v>45788</v>
      </c>
    </row>
    <row r="1730" spans="1:3" x14ac:dyDescent="0.3">
      <c r="A1730" s="42">
        <v>10000000052</v>
      </c>
      <c r="B1730" s="3" t="s">
        <v>976</v>
      </c>
      <c r="C1730" s="4">
        <f t="shared" ca="1" si="16"/>
        <v>45788</v>
      </c>
    </row>
    <row r="1731" spans="1:3" x14ac:dyDescent="0.3">
      <c r="A1731" s="42">
        <v>10000000472</v>
      </c>
      <c r="B1731" s="3" t="s">
        <v>972</v>
      </c>
      <c r="C1731" s="4">
        <f t="shared" ca="1" si="16"/>
        <v>45788</v>
      </c>
    </row>
    <row r="1732" spans="1:3" x14ac:dyDescent="0.3">
      <c r="A1732" s="42">
        <v>10000000534</v>
      </c>
      <c r="B1732" s="3" t="s">
        <v>821</v>
      </c>
      <c r="C1732" s="4">
        <f t="shared" ca="1" si="16"/>
        <v>45788</v>
      </c>
    </row>
    <row r="1733" spans="1:3" x14ac:dyDescent="0.3">
      <c r="A1733" s="42">
        <v>10000000025</v>
      </c>
      <c r="B1733" s="3" t="s">
        <v>872</v>
      </c>
      <c r="C1733" s="4">
        <f t="shared" ca="1" si="16"/>
        <v>45788</v>
      </c>
    </row>
    <row r="1734" spans="1:3" x14ac:dyDescent="0.3">
      <c r="A1734" s="42">
        <v>10000000269</v>
      </c>
      <c r="B1734" s="3" t="s">
        <v>866</v>
      </c>
      <c r="C1734" s="4">
        <f t="shared" ca="1" si="16"/>
        <v>45788</v>
      </c>
    </row>
    <row r="1735" spans="1:3" x14ac:dyDescent="0.3">
      <c r="A1735" s="42">
        <v>10000000515</v>
      </c>
      <c r="B1735" s="3" t="s">
        <v>870</v>
      </c>
      <c r="C1735" s="4">
        <f t="shared" ca="1" si="16"/>
        <v>45788</v>
      </c>
    </row>
    <row r="1736" spans="1:3" x14ac:dyDescent="0.3">
      <c r="A1736" s="42">
        <v>10000000096</v>
      </c>
      <c r="B1736" s="3" t="s">
        <v>879</v>
      </c>
      <c r="C1736" s="4">
        <f t="shared" ca="1" si="16"/>
        <v>45788</v>
      </c>
    </row>
    <row r="1737" spans="1:3" x14ac:dyDescent="0.3">
      <c r="A1737" s="42">
        <v>10000000114</v>
      </c>
      <c r="B1737" s="3" t="s">
        <v>1000</v>
      </c>
      <c r="C1737" s="4">
        <f t="shared" ca="1" si="16"/>
        <v>45788</v>
      </c>
    </row>
    <row r="1738" spans="1:3" x14ac:dyDescent="0.3">
      <c r="A1738" s="42">
        <v>10000000311</v>
      </c>
      <c r="B1738" s="3" t="s">
        <v>1017</v>
      </c>
      <c r="C1738" s="4">
        <f t="shared" ca="1" si="16"/>
        <v>45788</v>
      </c>
    </row>
    <row r="1739" spans="1:3" x14ac:dyDescent="0.3">
      <c r="A1739" s="42">
        <v>10000000571</v>
      </c>
      <c r="B1739" s="3" t="s">
        <v>932</v>
      </c>
      <c r="C1739" s="4">
        <f t="shared" ca="1" si="16"/>
        <v>45788</v>
      </c>
    </row>
    <row r="1740" spans="1:3" x14ac:dyDescent="0.3">
      <c r="A1740" s="42">
        <v>10000000069</v>
      </c>
      <c r="B1740" s="3" t="s">
        <v>866</v>
      </c>
      <c r="C1740" s="4">
        <f t="shared" ca="1" si="16"/>
        <v>45788</v>
      </c>
    </row>
    <row r="1741" spans="1:3" x14ac:dyDescent="0.3">
      <c r="A1741" s="42">
        <v>10000000597</v>
      </c>
      <c r="B1741" s="3" t="s">
        <v>1001</v>
      </c>
      <c r="C1741" s="4">
        <f t="shared" ca="1" si="16"/>
        <v>45788</v>
      </c>
    </row>
    <row r="1742" spans="1:3" x14ac:dyDescent="0.3">
      <c r="A1742" s="42">
        <v>10000000604</v>
      </c>
      <c r="B1742" s="3" t="s">
        <v>925</v>
      </c>
      <c r="C1742" s="4">
        <f t="shared" ca="1" si="16"/>
        <v>45788</v>
      </c>
    </row>
    <row r="1743" spans="1:3" x14ac:dyDescent="0.3">
      <c r="A1743" s="42">
        <v>10000000096</v>
      </c>
      <c r="B1743" s="3" t="s">
        <v>879</v>
      </c>
      <c r="C1743" s="4">
        <f t="shared" ca="1" si="16"/>
        <v>45788</v>
      </c>
    </row>
    <row r="1744" spans="1:3" x14ac:dyDescent="0.3">
      <c r="A1744" s="42">
        <v>10000000532</v>
      </c>
      <c r="B1744" s="3" t="s">
        <v>974</v>
      </c>
      <c r="C1744" s="4">
        <f t="shared" ca="1" si="16"/>
        <v>45788</v>
      </c>
    </row>
    <row r="1745" spans="1:3" x14ac:dyDescent="0.3">
      <c r="A1745" s="42">
        <v>10000000332</v>
      </c>
      <c r="B1745" s="3" t="s">
        <v>974</v>
      </c>
      <c r="C1745" s="4">
        <f t="shared" ca="1" si="16"/>
        <v>45788</v>
      </c>
    </row>
    <row r="1746" spans="1:3" x14ac:dyDescent="0.3">
      <c r="A1746" s="42">
        <v>10000000339</v>
      </c>
      <c r="B1746" s="3" t="s">
        <v>995</v>
      </c>
      <c r="C1746" s="4">
        <f t="shared" ca="1" si="16"/>
        <v>45788</v>
      </c>
    </row>
    <row r="1747" spans="1:3" x14ac:dyDescent="0.3">
      <c r="A1747" s="42">
        <v>10000000057</v>
      </c>
      <c r="B1747" s="3" t="s">
        <v>966</v>
      </c>
      <c r="C1747" s="4">
        <f t="shared" ca="1" si="16"/>
        <v>45788</v>
      </c>
    </row>
    <row r="1748" spans="1:3" x14ac:dyDescent="0.3">
      <c r="A1748" s="42">
        <v>10000000104</v>
      </c>
      <c r="B1748" s="3" t="s">
        <v>1010</v>
      </c>
      <c r="C1748" s="4">
        <f t="shared" ca="1" si="16"/>
        <v>45788</v>
      </c>
    </row>
    <row r="1749" spans="1:3" x14ac:dyDescent="0.3">
      <c r="A1749" s="42">
        <v>10000000110</v>
      </c>
      <c r="B1749" s="3" t="s">
        <v>887</v>
      </c>
      <c r="C1749" s="4">
        <f t="shared" ca="1" si="16"/>
        <v>45788</v>
      </c>
    </row>
    <row r="1750" spans="1:3" x14ac:dyDescent="0.3">
      <c r="A1750" s="42">
        <v>10000000270</v>
      </c>
      <c r="B1750" s="3" t="s">
        <v>834</v>
      </c>
      <c r="C1750" s="4">
        <f t="shared" ca="1" si="16"/>
        <v>45788</v>
      </c>
    </row>
    <row r="1751" spans="1:3" x14ac:dyDescent="0.3">
      <c r="A1751" s="42">
        <v>10000000387</v>
      </c>
      <c r="B1751" s="3" t="s">
        <v>905</v>
      </c>
      <c r="C1751" s="4">
        <f t="shared" ca="1" si="16"/>
        <v>45788</v>
      </c>
    </row>
    <row r="1752" spans="1:3" x14ac:dyDescent="0.3">
      <c r="A1752" s="42">
        <v>10000000065</v>
      </c>
      <c r="B1752" s="3" t="s">
        <v>961</v>
      </c>
      <c r="C1752" s="4">
        <f t="shared" ca="1" si="16"/>
        <v>45788</v>
      </c>
    </row>
    <row r="1753" spans="1:3" x14ac:dyDescent="0.3">
      <c r="A1753" s="42">
        <v>10000000193</v>
      </c>
      <c r="B1753" s="3" t="s">
        <v>1018</v>
      </c>
      <c r="C1753" s="4">
        <f t="shared" ca="1" si="16"/>
        <v>45788</v>
      </c>
    </row>
    <row r="1754" spans="1:3" x14ac:dyDescent="0.3">
      <c r="A1754" s="42">
        <v>10000000260</v>
      </c>
      <c r="B1754" s="3" t="s">
        <v>922</v>
      </c>
      <c r="C1754" s="4">
        <f t="shared" ca="1" si="16"/>
        <v>45788</v>
      </c>
    </row>
    <row r="1755" spans="1:3" x14ac:dyDescent="0.3">
      <c r="A1755" s="42">
        <v>10000000219</v>
      </c>
      <c r="B1755" s="3" t="s">
        <v>975</v>
      </c>
      <c r="C1755" s="4">
        <f t="shared" ca="1" si="16"/>
        <v>45788</v>
      </c>
    </row>
    <row r="1756" spans="1:3" x14ac:dyDescent="0.3">
      <c r="A1756" s="42">
        <v>10000000374</v>
      </c>
      <c r="B1756" s="3" t="s">
        <v>845</v>
      </c>
      <c r="C1756" s="4">
        <f t="shared" ca="1" si="16"/>
        <v>45788</v>
      </c>
    </row>
    <row r="1757" spans="1:3" x14ac:dyDescent="0.3">
      <c r="A1757" s="42">
        <v>10000000613</v>
      </c>
      <c r="B1757" s="3" t="s">
        <v>915</v>
      </c>
      <c r="C1757" s="4">
        <f t="shared" ca="1" si="16"/>
        <v>45788</v>
      </c>
    </row>
    <row r="1758" spans="1:3" x14ac:dyDescent="0.3">
      <c r="A1758" s="42">
        <v>10000000350</v>
      </c>
      <c r="B1758" s="3" t="s">
        <v>900</v>
      </c>
      <c r="C1758" s="4">
        <f t="shared" ca="1" si="16"/>
        <v>45788</v>
      </c>
    </row>
    <row r="1759" spans="1:3" x14ac:dyDescent="0.3">
      <c r="A1759" s="42">
        <v>10000000636</v>
      </c>
      <c r="B1759" s="3" t="s">
        <v>873</v>
      </c>
      <c r="C1759" s="4">
        <f t="shared" ca="1" si="16"/>
        <v>45788</v>
      </c>
    </row>
    <row r="1760" spans="1:3" x14ac:dyDescent="0.3">
      <c r="A1760" s="42">
        <v>10000000149</v>
      </c>
      <c r="B1760" s="3" t="s">
        <v>1012</v>
      </c>
      <c r="C1760" s="4">
        <f t="shared" ca="1" si="16"/>
        <v>45788</v>
      </c>
    </row>
    <row r="1761" spans="1:3" x14ac:dyDescent="0.3">
      <c r="A1761" s="42">
        <v>10000000269</v>
      </c>
      <c r="B1761" s="3" t="s">
        <v>866</v>
      </c>
      <c r="C1761" s="4">
        <f t="shared" ca="1" si="16"/>
        <v>45788</v>
      </c>
    </row>
    <row r="1762" spans="1:3" x14ac:dyDescent="0.3">
      <c r="A1762" s="42">
        <v>10000000359</v>
      </c>
      <c r="B1762" s="3" t="s">
        <v>998</v>
      </c>
      <c r="C1762" s="4">
        <f t="shared" ca="1" si="16"/>
        <v>45788</v>
      </c>
    </row>
    <row r="1763" spans="1:3" x14ac:dyDescent="0.3">
      <c r="A1763" s="42">
        <v>10000000429</v>
      </c>
      <c r="B1763" s="3" t="s">
        <v>898</v>
      </c>
      <c r="C1763" s="4">
        <f t="shared" ca="1" si="16"/>
        <v>45788</v>
      </c>
    </row>
    <row r="1764" spans="1:3" x14ac:dyDescent="0.3">
      <c r="A1764" s="42">
        <v>10000000549</v>
      </c>
      <c r="B1764" s="3" t="s">
        <v>1012</v>
      </c>
      <c r="C1764" s="4">
        <f t="shared" ca="1" si="16"/>
        <v>45788</v>
      </c>
    </row>
    <row r="1765" spans="1:3" x14ac:dyDescent="0.3">
      <c r="A1765" s="42">
        <v>10000000178</v>
      </c>
      <c r="B1765" s="3" t="s">
        <v>890</v>
      </c>
      <c r="C1765" s="4">
        <f t="shared" ca="1" si="16"/>
        <v>45788</v>
      </c>
    </row>
    <row r="1766" spans="1:3" x14ac:dyDescent="0.3">
      <c r="A1766" s="42">
        <v>10000000216</v>
      </c>
      <c r="B1766" s="3" t="s">
        <v>874</v>
      </c>
      <c r="C1766" s="4">
        <f t="shared" ca="1" si="16"/>
        <v>45788</v>
      </c>
    </row>
    <row r="1767" spans="1:3" x14ac:dyDescent="0.3">
      <c r="A1767" s="42">
        <v>10000000132</v>
      </c>
      <c r="B1767" s="3" t="s">
        <v>974</v>
      </c>
      <c r="C1767" s="4">
        <f t="shared" ca="1" si="16"/>
        <v>45788</v>
      </c>
    </row>
    <row r="1768" spans="1:3" x14ac:dyDescent="0.3">
      <c r="A1768" s="42">
        <v>10000000159</v>
      </c>
      <c r="B1768" s="3" t="s">
        <v>998</v>
      </c>
      <c r="C1768" s="4">
        <f t="shared" ca="1" si="16"/>
        <v>45788</v>
      </c>
    </row>
    <row r="1769" spans="1:3" x14ac:dyDescent="0.3">
      <c r="A1769" s="42">
        <v>10000000224</v>
      </c>
      <c r="B1769" s="3" t="s">
        <v>891</v>
      </c>
      <c r="C1769" s="4">
        <f t="shared" ca="1" si="16"/>
        <v>45788</v>
      </c>
    </row>
    <row r="1770" spans="1:3" x14ac:dyDescent="0.3">
      <c r="A1770" s="42">
        <v>10000000586</v>
      </c>
      <c r="B1770" s="3" t="s">
        <v>980</v>
      </c>
      <c r="C1770" s="4">
        <f t="shared" ca="1" si="16"/>
        <v>45788</v>
      </c>
    </row>
    <row r="1771" spans="1:3" x14ac:dyDescent="0.3">
      <c r="A1771" s="42">
        <v>10000000655</v>
      </c>
      <c r="B1771" s="3" t="s">
        <v>888</v>
      </c>
      <c r="C1771" s="4">
        <f t="shared" ca="1" si="16"/>
        <v>45788</v>
      </c>
    </row>
    <row r="1772" spans="1:3" x14ac:dyDescent="0.3">
      <c r="A1772" s="42">
        <v>10000000667</v>
      </c>
      <c r="B1772" s="3" t="s">
        <v>820</v>
      </c>
      <c r="C1772" s="4">
        <f t="shared" ca="1" si="16"/>
        <v>45788</v>
      </c>
    </row>
    <row r="1773" spans="1:3" x14ac:dyDescent="0.3">
      <c r="A1773" s="42">
        <v>10000000546</v>
      </c>
      <c r="B1773" s="3" t="s">
        <v>826</v>
      </c>
      <c r="C1773" s="4">
        <f t="shared" ca="1" si="16"/>
        <v>45788</v>
      </c>
    </row>
    <row r="1774" spans="1:3" x14ac:dyDescent="0.3">
      <c r="A1774" s="42">
        <v>10000000648</v>
      </c>
      <c r="B1774" s="3" t="s">
        <v>856</v>
      </c>
      <c r="C1774" s="4">
        <f t="shared" ca="1" si="16"/>
        <v>45788</v>
      </c>
    </row>
    <row r="1775" spans="1:3" x14ac:dyDescent="0.3">
      <c r="A1775" s="42">
        <v>10000000146</v>
      </c>
      <c r="B1775" s="3" t="s">
        <v>826</v>
      </c>
      <c r="C1775" s="4">
        <f t="shared" ca="1" si="16"/>
        <v>45788</v>
      </c>
    </row>
    <row r="1776" spans="1:3" x14ac:dyDescent="0.3">
      <c r="A1776" s="42">
        <v>10000000272</v>
      </c>
      <c r="B1776" s="3" t="s">
        <v>972</v>
      </c>
      <c r="C1776" s="4">
        <f t="shared" ca="1" si="16"/>
        <v>45788</v>
      </c>
    </row>
    <row r="1777" spans="1:3" x14ac:dyDescent="0.3">
      <c r="A1777" s="42">
        <v>10000000309</v>
      </c>
      <c r="B1777" s="3" t="s">
        <v>839</v>
      </c>
      <c r="C1777" s="4">
        <f t="shared" ca="1" si="16"/>
        <v>45788</v>
      </c>
    </row>
    <row r="1778" spans="1:3" x14ac:dyDescent="0.3">
      <c r="A1778" s="42">
        <v>10000000457</v>
      </c>
      <c r="B1778" s="3" t="s">
        <v>966</v>
      </c>
      <c r="C1778" s="4">
        <f t="shared" ca="1" si="16"/>
        <v>45788</v>
      </c>
    </row>
    <row r="1779" spans="1:3" x14ac:dyDescent="0.3">
      <c r="A1779" s="42">
        <v>10000000212</v>
      </c>
      <c r="B1779" s="3" t="s">
        <v>1019</v>
      </c>
      <c r="C1779" s="4">
        <f t="shared" ca="1" si="16"/>
        <v>45788</v>
      </c>
    </row>
    <row r="1780" spans="1:3" x14ac:dyDescent="0.3">
      <c r="A1780" s="42">
        <v>10000000574</v>
      </c>
      <c r="B1780" s="3" t="s">
        <v>845</v>
      </c>
      <c r="C1780" s="4">
        <f t="shared" ca="1" si="16"/>
        <v>45788</v>
      </c>
    </row>
    <row r="1781" spans="1:3" x14ac:dyDescent="0.3">
      <c r="A1781" s="42">
        <v>10000000314</v>
      </c>
      <c r="B1781" s="3" t="s">
        <v>1000</v>
      </c>
      <c r="C1781" s="4">
        <f t="shared" ca="1" si="16"/>
        <v>45788</v>
      </c>
    </row>
    <row r="1782" spans="1:3" x14ac:dyDescent="0.3">
      <c r="A1782" s="42">
        <v>10000000668</v>
      </c>
      <c r="B1782" s="3" t="s">
        <v>916</v>
      </c>
      <c r="C1782" s="4">
        <f t="shared" ca="1" si="16"/>
        <v>45788</v>
      </c>
    </row>
    <row r="1783" spans="1:3" x14ac:dyDescent="0.3">
      <c r="A1783" s="42">
        <v>10000000183</v>
      </c>
      <c r="B1783" s="3" t="s">
        <v>942</v>
      </c>
      <c r="C1783" s="4">
        <f t="shared" ca="1" si="16"/>
        <v>45788</v>
      </c>
    </row>
    <row r="1784" spans="1:3" x14ac:dyDescent="0.3">
      <c r="A1784" s="42">
        <v>10000000555</v>
      </c>
      <c r="B1784" s="3" t="s">
        <v>983</v>
      </c>
      <c r="C1784" s="4">
        <f t="shared" ca="1" si="16"/>
        <v>45788</v>
      </c>
    </row>
    <row r="1785" spans="1:3" x14ac:dyDescent="0.3">
      <c r="A1785" s="42">
        <v>10000000019</v>
      </c>
      <c r="B1785" s="3" t="s">
        <v>975</v>
      </c>
      <c r="C1785" s="4">
        <f t="shared" ca="1" si="16"/>
        <v>45788</v>
      </c>
    </row>
    <row r="1786" spans="1:3" x14ac:dyDescent="0.3">
      <c r="A1786" s="42">
        <v>10000000081</v>
      </c>
      <c r="B1786" s="3" t="s">
        <v>964</v>
      </c>
      <c r="C1786" s="4">
        <f t="shared" ca="1" si="16"/>
        <v>45788</v>
      </c>
    </row>
    <row r="1787" spans="1:3" x14ac:dyDescent="0.3">
      <c r="A1787" s="42">
        <v>10000000293</v>
      </c>
      <c r="B1787" s="3" t="s">
        <v>969</v>
      </c>
      <c r="C1787" s="4">
        <f t="shared" ca="1" si="16"/>
        <v>45788</v>
      </c>
    </row>
    <row r="1788" spans="1:3" x14ac:dyDescent="0.3">
      <c r="A1788" s="42">
        <v>10000000675</v>
      </c>
      <c r="B1788" s="3" t="s">
        <v>931</v>
      </c>
      <c r="C1788" s="4">
        <f t="shared" ca="1" si="16"/>
        <v>45788</v>
      </c>
    </row>
    <row r="1789" spans="1:3" x14ac:dyDescent="0.3">
      <c r="A1789" s="42">
        <v>10000000287</v>
      </c>
      <c r="B1789" s="3" t="s">
        <v>904</v>
      </c>
      <c r="C1789" s="4">
        <f t="shared" ca="1" si="16"/>
        <v>45788</v>
      </c>
    </row>
    <row r="1790" spans="1:3" x14ac:dyDescent="0.3">
      <c r="A1790" s="42">
        <v>10000000330</v>
      </c>
      <c r="B1790" s="3" t="s">
        <v>835</v>
      </c>
      <c r="C1790" s="4">
        <f t="shared" ca="1" si="16"/>
        <v>45788</v>
      </c>
    </row>
    <row r="1791" spans="1:3" x14ac:dyDescent="0.3">
      <c r="A1791" s="42">
        <v>10000000213</v>
      </c>
      <c r="B1791" s="3" t="s">
        <v>915</v>
      </c>
      <c r="C1791" s="4">
        <f t="shared" ca="1" si="16"/>
        <v>45788</v>
      </c>
    </row>
    <row r="1792" spans="1:3" x14ac:dyDescent="0.3">
      <c r="A1792" s="42">
        <v>10000000563</v>
      </c>
      <c r="B1792" s="3" t="s">
        <v>877</v>
      </c>
      <c r="C1792" s="4">
        <f t="shared" ca="1" si="16"/>
        <v>45788</v>
      </c>
    </row>
    <row r="1793" spans="1:3" x14ac:dyDescent="0.3">
      <c r="A1793" s="42">
        <v>10000000616</v>
      </c>
      <c r="B1793" s="3" t="s">
        <v>874</v>
      </c>
      <c r="C1793" s="4">
        <f t="shared" ca="1" si="16"/>
        <v>45788</v>
      </c>
    </row>
    <row r="1794" spans="1:3" x14ac:dyDescent="0.3">
      <c r="A1794" s="42">
        <v>10000000110</v>
      </c>
      <c r="B1794" s="3" t="s">
        <v>887</v>
      </c>
      <c r="C1794" s="4">
        <f t="shared" ca="1" si="16"/>
        <v>45788</v>
      </c>
    </row>
    <row r="1795" spans="1:3" x14ac:dyDescent="0.3">
      <c r="A1795" s="42">
        <v>10000000131</v>
      </c>
      <c r="B1795" s="3" t="s">
        <v>945</v>
      </c>
      <c r="C1795" s="4">
        <f t="shared" ca="1" si="16"/>
        <v>45788</v>
      </c>
    </row>
    <row r="1796" spans="1:3" x14ac:dyDescent="0.3">
      <c r="A1796" s="42">
        <v>10000000679</v>
      </c>
      <c r="B1796" s="3" t="s">
        <v>901</v>
      </c>
      <c r="C1796" s="4">
        <f t="shared" ca="1" si="16"/>
        <v>45788</v>
      </c>
    </row>
    <row r="1797" spans="1:3" x14ac:dyDescent="0.3">
      <c r="A1797" s="42">
        <v>10000000312</v>
      </c>
      <c r="B1797" s="3" t="s">
        <v>938</v>
      </c>
      <c r="C1797" s="4">
        <f t="shared" ca="1" si="16"/>
        <v>45788</v>
      </c>
    </row>
    <row r="1798" spans="1:3" x14ac:dyDescent="0.3">
      <c r="A1798" s="42">
        <v>10000000664</v>
      </c>
      <c r="B1798" s="3" t="s">
        <v>858</v>
      </c>
      <c r="C1798" s="4">
        <f t="shared" ca="1" si="16"/>
        <v>45788</v>
      </c>
    </row>
    <row r="1799" spans="1:3" x14ac:dyDescent="0.3">
      <c r="A1799" s="42">
        <v>10000000206</v>
      </c>
      <c r="B1799" s="3" t="s">
        <v>953</v>
      </c>
      <c r="C1799" s="4">
        <f t="shared" ca="1" si="16"/>
        <v>45788</v>
      </c>
    </row>
    <row r="1800" spans="1:3" x14ac:dyDescent="0.3">
      <c r="A1800" s="42">
        <v>10000000041</v>
      </c>
      <c r="B1800" s="3" t="s">
        <v>1013</v>
      </c>
      <c r="C1800" s="4">
        <f t="shared" ca="1" si="16"/>
        <v>45788</v>
      </c>
    </row>
    <row r="1801" spans="1:3" x14ac:dyDescent="0.3">
      <c r="A1801" s="42">
        <v>10000000423</v>
      </c>
      <c r="B1801" s="3" t="s">
        <v>838</v>
      </c>
      <c r="C1801" s="4">
        <f t="shared" ca="1" si="16"/>
        <v>45788</v>
      </c>
    </row>
    <row r="1802" spans="1:3" x14ac:dyDescent="0.3">
      <c r="A1802" s="42">
        <v>10000000157</v>
      </c>
      <c r="B1802" s="3" t="s">
        <v>1002</v>
      </c>
      <c r="C1802" s="4">
        <f t="shared" ca="1" si="16"/>
        <v>45788</v>
      </c>
    </row>
    <row r="1803" spans="1:3" x14ac:dyDescent="0.3">
      <c r="A1803" s="42">
        <v>10000000595</v>
      </c>
      <c r="B1803" s="3" t="s">
        <v>894</v>
      </c>
      <c r="C1803" s="4">
        <f t="shared" ca="1" si="16"/>
        <v>45788</v>
      </c>
    </row>
    <row r="1804" spans="1:3" x14ac:dyDescent="0.3">
      <c r="A1804" s="42">
        <v>10000000662</v>
      </c>
      <c r="B1804" s="3" t="s">
        <v>863</v>
      </c>
      <c r="C1804" s="4">
        <f t="shared" ca="1" si="16"/>
        <v>45788</v>
      </c>
    </row>
    <row r="1805" spans="1:3" x14ac:dyDescent="0.3">
      <c r="A1805" s="42">
        <v>10000000073</v>
      </c>
      <c r="B1805" s="3" t="s">
        <v>941</v>
      </c>
      <c r="C1805" s="4">
        <f t="shared" ca="1" si="16"/>
        <v>45788</v>
      </c>
    </row>
    <row r="1806" spans="1:3" x14ac:dyDescent="0.3">
      <c r="A1806" s="42">
        <v>10000000517</v>
      </c>
      <c r="B1806" s="3" t="s">
        <v>918</v>
      </c>
      <c r="C1806" s="4">
        <f t="shared" ca="1" si="16"/>
        <v>45788</v>
      </c>
    </row>
    <row r="1807" spans="1:3" x14ac:dyDescent="0.3">
      <c r="A1807" s="42">
        <v>10000000537</v>
      </c>
      <c r="B1807" s="3" t="s">
        <v>923</v>
      </c>
      <c r="C1807" s="4">
        <f t="shared" ca="1" si="16"/>
        <v>45788</v>
      </c>
    </row>
    <row r="1808" spans="1:3" x14ac:dyDescent="0.3">
      <c r="A1808" s="42">
        <v>10000000521</v>
      </c>
      <c r="B1808" s="3" t="s">
        <v>884</v>
      </c>
      <c r="C1808" s="4">
        <f t="shared" ca="1" si="16"/>
        <v>45788</v>
      </c>
    </row>
    <row r="1809" spans="1:3" x14ac:dyDescent="0.3">
      <c r="A1809" s="42">
        <v>10000000589</v>
      </c>
      <c r="B1809" s="3" t="s">
        <v>841</v>
      </c>
      <c r="C1809" s="4">
        <f t="shared" ca="1" si="16"/>
        <v>45788</v>
      </c>
    </row>
    <row r="1810" spans="1:3" x14ac:dyDescent="0.3">
      <c r="A1810" s="42">
        <v>10000000367</v>
      </c>
      <c r="B1810" s="3" t="s">
        <v>984</v>
      </c>
      <c r="C1810" s="4">
        <f t="shared" ca="1" si="16"/>
        <v>45788</v>
      </c>
    </row>
    <row r="1811" spans="1:3" x14ac:dyDescent="0.3">
      <c r="A1811" s="42">
        <v>10000000517</v>
      </c>
      <c r="B1811" s="3" t="s">
        <v>918</v>
      </c>
      <c r="C1811" s="4">
        <f t="shared" ca="1" si="16"/>
        <v>45788</v>
      </c>
    </row>
    <row r="1812" spans="1:3" x14ac:dyDescent="0.3">
      <c r="A1812" s="42">
        <v>10000000202</v>
      </c>
      <c r="B1812" s="3" t="s">
        <v>837</v>
      </c>
      <c r="C1812" s="4">
        <f t="shared" ca="1" si="16"/>
        <v>45788</v>
      </c>
    </row>
    <row r="1813" spans="1:3" x14ac:dyDescent="0.3">
      <c r="A1813" s="42">
        <v>10000000473</v>
      </c>
      <c r="B1813" s="3" t="s">
        <v>941</v>
      </c>
      <c r="C1813" s="4">
        <f t="shared" ca="1" si="16"/>
        <v>45788</v>
      </c>
    </row>
    <row r="1814" spans="1:3" x14ac:dyDescent="0.3">
      <c r="A1814" s="42">
        <v>10000000684</v>
      </c>
      <c r="B1814" s="3" t="s">
        <v>970</v>
      </c>
      <c r="C1814" s="4">
        <f t="shared" ca="1" si="16"/>
        <v>45788</v>
      </c>
    </row>
    <row r="1815" spans="1:3" x14ac:dyDescent="0.3">
      <c r="A1815" s="42">
        <v>10000000642</v>
      </c>
      <c r="B1815" s="3" t="s">
        <v>849</v>
      </c>
      <c r="C1815" s="4">
        <f t="shared" ca="1" si="16"/>
        <v>45788</v>
      </c>
    </row>
    <row r="1816" spans="1:3" x14ac:dyDescent="0.3">
      <c r="A1816" s="42">
        <v>10000000685</v>
      </c>
      <c r="B1816" s="3" t="s">
        <v>962</v>
      </c>
      <c r="C1816" s="4">
        <f t="shared" ca="1" si="16"/>
        <v>45788</v>
      </c>
    </row>
    <row r="1817" spans="1:3" x14ac:dyDescent="0.3">
      <c r="A1817" s="42">
        <v>10000000430</v>
      </c>
      <c r="B1817" s="3" t="s">
        <v>990</v>
      </c>
      <c r="C1817" s="4">
        <f t="shared" ca="1" si="16"/>
        <v>45788</v>
      </c>
    </row>
    <row r="1818" spans="1:3" x14ac:dyDescent="0.3">
      <c r="A1818" s="42">
        <v>10000000215</v>
      </c>
      <c r="B1818" s="3" t="s">
        <v>913</v>
      </c>
      <c r="C1818" s="4">
        <f t="shared" ca="1" si="16"/>
        <v>45788</v>
      </c>
    </row>
    <row r="1819" spans="1:3" x14ac:dyDescent="0.3">
      <c r="A1819" s="42">
        <v>10000000666</v>
      </c>
      <c r="B1819" s="3" t="s">
        <v>895</v>
      </c>
      <c r="C1819" s="4">
        <f t="shared" ca="1" si="16"/>
        <v>45788</v>
      </c>
    </row>
    <row r="1820" spans="1:3" x14ac:dyDescent="0.3">
      <c r="A1820" s="42">
        <v>10000000221</v>
      </c>
      <c r="B1820" s="3" t="s">
        <v>917</v>
      </c>
      <c r="C1820" s="4">
        <f t="shared" ca="1" si="16"/>
        <v>45788</v>
      </c>
    </row>
    <row r="1821" spans="1:3" x14ac:dyDescent="0.3">
      <c r="A1821" s="42">
        <v>10000000207</v>
      </c>
      <c r="B1821" s="3" t="s">
        <v>902</v>
      </c>
      <c r="C1821" s="4">
        <f t="shared" ca="1" si="16"/>
        <v>45788</v>
      </c>
    </row>
    <row r="1822" spans="1:3" x14ac:dyDescent="0.3">
      <c r="A1822" s="42">
        <v>10000000349</v>
      </c>
      <c r="B1822" s="3" t="s">
        <v>1012</v>
      </c>
      <c r="C1822" s="4">
        <f t="shared" ca="1" si="16"/>
        <v>45788</v>
      </c>
    </row>
    <row r="1823" spans="1:3" x14ac:dyDescent="0.3">
      <c r="A1823" s="42">
        <v>10000000080</v>
      </c>
      <c r="B1823" s="3" t="s">
        <v>844</v>
      </c>
      <c r="C1823" s="4">
        <f t="shared" ca="1" si="16"/>
        <v>45788</v>
      </c>
    </row>
    <row r="1824" spans="1:3" x14ac:dyDescent="0.3">
      <c r="A1824" s="42">
        <v>10000000498</v>
      </c>
      <c r="B1824" s="3" t="s">
        <v>1016</v>
      </c>
      <c r="C1824" s="4">
        <f t="shared" ca="1" si="16"/>
        <v>45788</v>
      </c>
    </row>
    <row r="1825" spans="1:3" x14ac:dyDescent="0.3">
      <c r="A1825" s="42">
        <v>10000000351</v>
      </c>
      <c r="B1825" s="3" t="s">
        <v>862</v>
      </c>
      <c r="C1825" s="4">
        <f t="shared" ca="1" si="16"/>
        <v>45788</v>
      </c>
    </row>
    <row r="1826" spans="1:3" x14ac:dyDescent="0.3">
      <c r="A1826" s="42">
        <v>10000000397</v>
      </c>
      <c r="B1826" s="3" t="s">
        <v>1001</v>
      </c>
      <c r="C1826" s="4">
        <f t="shared" ca="1" si="16"/>
        <v>45788</v>
      </c>
    </row>
    <row r="1827" spans="1:3" x14ac:dyDescent="0.3">
      <c r="A1827" s="42">
        <v>10000000525</v>
      </c>
      <c r="B1827" s="3" t="s">
        <v>823</v>
      </c>
      <c r="C1827" s="4">
        <f t="shared" ca="1" si="16"/>
        <v>45788</v>
      </c>
    </row>
    <row r="1828" spans="1:3" x14ac:dyDescent="0.3">
      <c r="A1828" s="42">
        <v>10000000255</v>
      </c>
      <c r="B1828" s="3" t="s">
        <v>888</v>
      </c>
      <c r="C1828" s="4">
        <f t="shared" ca="1" si="16"/>
        <v>45788</v>
      </c>
    </row>
    <row r="1829" spans="1:3" x14ac:dyDescent="0.3">
      <c r="A1829" s="42">
        <v>10000000395</v>
      </c>
      <c r="B1829" s="3" t="s">
        <v>894</v>
      </c>
      <c r="C1829" s="4">
        <f t="shared" ca="1" si="16"/>
        <v>45788</v>
      </c>
    </row>
    <row r="1830" spans="1:3" x14ac:dyDescent="0.3">
      <c r="A1830" s="42">
        <v>10000000053</v>
      </c>
      <c r="B1830" s="3" t="s">
        <v>822</v>
      </c>
      <c r="C1830" s="4">
        <f t="shared" ca="1" si="16"/>
        <v>45788</v>
      </c>
    </row>
    <row r="1831" spans="1:3" x14ac:dyDescent="0.3">
      <c r="A1831" s="42">
        <v>10000000383</v>
      </c>
      <c r="B1831" s="3" t="s">
        <v>942</v>
      </c>
      <c r="C1831" s="4">
        <f t="shared" ca="1" si="16"/>
        <v>45788</v>
      </c>
    </row>
    <row r="1832" spans="1:3" x14ac:dyDescent="0.3">
      <c r="A1832" s="42">
        <v>10000000225</v>
      </c>
      <c r="B1832" s="3" t="s">
        <v>872</v>
      </c>
      <c r="C1832" s="4">
        <f t="shared" ca="1" si="16"/>
        <v>45788</v>
      </c>
    </row>
    <row r="1833" spans="1:3" x14ac:dyDescent="0.3">
      <c r="A1833" s="42">
        <v>10000000304</v>
      </c>
      <c r="B1833" s="3" t="s">
        <v>1010</v>
      </c>
      <c r="C1833" s="4">
        <f t="shared" ca="1" si="16"/>
        <v>45788</v>
      </c>
    </row>
    <row r="1834" spans="1:3" x14ac:dyDescent="0.3">
      <c r="A1834" s="42">
        <v>10000000028</v>
      </c>
      <c r="B1834" s="3" t="s">
        <v>960</v>
      </c>
      <c r="C1834" s="4">
        <f t="shared" ca="1" si="16"/>
        <v>45788</v>
      </c>
    </row>
    <row r="1835" spans="1:3" x14ac:dyDescent="0.3">
      <c r="A1835" s="42">
        <v>10000000370</v>
      </c>
      <c r="B1835" s="3" t="s">
        <v>937</v>
      </c>
      <c r="C1835" s="4">
        <f t="shared" ca="1" si="16"/>
        <v>45788</v>
      </c>
    </row>
    <row r="1836" spans="1:3" x14ac:dyDescent="0.3">
      <c r="A1836" s="42">
        <v>10000000393</v>
      </c>
      <c r="B1836" s="3" t="s">
        <v>1018</v>
      </c>
      <c r="C1836" s="4">
        <f t="shared" ca="1" si="16"/>
        <v>45788</v>
      </c>
    </row>
    <row r="1837" spans="1:3" x14ac:dyDescent="0.3">
      <c r="A1837" s="42">
        <v>10000000394</v>
      </c>
      <c r="B1837" s="3" t="s">
        <v>846</v>
      </c>
      <c r="C1837" s="4">
        <f t="shared" ca="1" si="16"/>
        <v>45788</v>
      </c>
    </row>
    <row r="1838" spans="1:3" x14ac:dyDescent="0.3">
      <c r="A1838" s="42">
        <v>10000000086</v>
      </c>
      <c r="B1838" s="3" t="s">
        <v>875</v>
      </c>
      <c r="C1838" s="4">
        <f t="shared" ca="1" si="16"/>
        <v>45788</v>
      </c>
    </row>
    <row r="1839" spans="1:3" x14ac:dyDescent="0.3">
      <c r="A1839" s="42">
        <v>10000000088</v>
      </c>
      <c r="B1839" s="3" t="s">
        <v>986</v>
      </c>
      <c r="C1839" s="4">
        <f t="shared" ca="1" si="16"/>
        <v>45788</v>
      </c>
    </row>
    <row r="1840" spans="1:3" x14ac:dyDescent="0.3">
      <c r="A1840" s="42">
        <v>10000000124</v>
      </c>
      <c r="B1840" s="3" t="s">
        <v>897</v>
      </c>
      <c r="C1840" s="4">
        <f t="shared" ca="1" si="16"/>
        <v>45788</v>
      </c>
    </row>
    <row r="1841" spans="1:3" x14ac:dyDescent="0.3">
      <c r="A1841" s="42">
        <v>10000000451</v>
      </c>
      <c r="B1841" s="3" t="s">
        <v>973</v>
      </c>
      <c r="C1841" s="4">
        <f t="shared" ca="1" si="16"/>
        <v>45788</v>
      </c>
    </row>
    <row r="1842" spans="1:3" x14ac:dyDescent="0.3">
      <c r="A1842" s="42">
        <v>10000000002</v>
      </c>
      <c r="B1842" s="3" t="s">
        <v>837</v>
      </c>
      <c r="C1842" s="4">
        <f t="shared" ref="C1842:C1970" ca="1" si="17">TODAY()-218</f>
        <v>45819</v>
      </c>
    </row>
    <row r="1843" spans="1:3" x14ac:dyDescent="0.3">
      <c r="A1843" s="42">
        <v>10000000175</v>
      </c>
      <c r="B1843" s="3" t="s">
        <v>943</v>
      </c>
      <c r="C1843" s="4">
        <f t="shared" ca="1" si="17"/>
        <v>45819</v>
      </c>
    </row>
    <row r="1844" spans="1:3" x14ac:dyDescent="0.3">
      <c r="A1844" s="42">
        <v>10000000177</v>
      </c>
      <c r="B1844" s="3" t="s">
        <v>1004</v>
      </c>
      <c r="C1844" s="4">
        <f t="shared" ca="1" si="17"/>
        <v>45819</v>
      </c>
    </row>
    <row r="1845" spans="1:3" x14ac:dyDescent="0.3">
      <c r="A1845" s="42">
        <v>10000000044</v>
      </c>
      <c r="B1845" s="3" t="s">
        <v>868</v>
      </c>
      <c r="C1845" s="4">
        <f t="shared" ca="1" si="17"/>
        <v>45819</v>
      </c>
    </row>
    <row r="1846" spans="1:3" x14ac:dyDescent="0.3">
      <c r="A1846" s="42">
        <v>10000000357</v>
      </c>
      <c r="B1846" s="3" t="s">
        <v>1002</v>
      </c>
      <c r="C1846" s="4">
        <f t="shared" ca="1" si="17"/>
        <v>45819</v>
      </c>
    </row>
    <row r="1847" spans="1:3" x14ac:dyDescent="0.3">
      <c r="A1847" s="42">
        <v>10000000488</v>
      </c>
      <c r="B1847" s="3" t="s">
        <v>986</v>
      </c>
      <c r="C1847" s="4">
        <f t="shared" ca="1" si="17"/>
        <v>45819</v>
      </c>
    </row>
    <row r="1848" spans="1:3" x14ac:dyDescent="0.3">
      <c r="A1848" s="42">
        <v>10000000572</v>
      </c>
      <c r="B1848" s="3" t="s">
        <v>889</v>
      </c>
      <c r="C1848" s="4">
        <f t="shared" ca="1" si="17"/>
        <v>45819</v>
      </c>
    </row>
    <row r="1849" spans="1:3" x14ac:dyDescent="0.3">
      <c r="A1849" s="42">
        <v>10000000115</v>
      </c>
      <c r="B1849" s="3" t="s">
        <v>870</v>
      </c>
      <c r="C1849" s="4">
        <f t="shared" ca="1" si="17"/>
        <v>45819</v>
      </c>
    </row>
    <row r="1850" spans="1:3" x14ac:dyDescent="0.3">
      <c r="A1850" s="42">
        <v>10000000168</v>
      </c>
      <c r="B1850" s="3" t="s">
        <v>903</v>
      </c>
      <c r="C1850" s="4">
        <f t="shared" ca="1" si="17"/>
        <v>45819</v>
      </c>
    </row>
    <row r="1851" spans="1:3" x14ac:dyDescent="0.3">
      <c r="A1851" s="42">
        <v>10000000454</v>
      </c>
      <c r="B1851" s="3" t="s">
        <v>893</v>
      </c>
      <c r="C1851" s="4">
        <f t="shared" ca="1" si="17"/>
        <v>45819</v>
      </c>
    </row>
    <row r="1852" spans="1:3" x14ac:dyDescent="0.3">
      <c r="A1852" s="42">
        <v>10000000321</v>
      </c>
      <c r="B1852" s="3" t="s">
        <v>884</v>
      </c>
      <c r="C1852" s="4">
        <f t="shared" ca="1" si="17"/>
        <v>45819</v>
      </c>
    </row>
    <row r="1853" spans="1:3" x14ac:dyDescent="0.3">
      <c r="A1853" s="42">
        <v>10000000484</v>
      </c>
      <c r="B1853" s="3" t="s">
        <v>970</v>
      </c>
      <c r="C1853" s="4">
        <f t="shared" ca="1" si="17"/>
        <v>45819</v>
      </c>
    </row>
    <row r="1854" spans="1:3" x14ac:dyDescent="0.3">
      <c r="A1854" s="42">
        <v>10000000634</v>
      </c>
      <c r="B1854" s="3" t="s">
        <v>910</v>
      </c>
      <c r="C1854" s="4">
        <f t="shared" ca="1" si="17"/>
        <v>45819</v>
      </c>
    </row>
    <row r="1855" spans="1:3" x14ac:dyDescent="0.3">
      <c r="A1855" s="42">
        <v>10000000659</v>
      </c>
      <c r="B1855" s="3" t="s">
        <v>956</v>
      </c>
      <c r="C1855" s="4">
        <f t="shared" ca="1" si="17"/>
        <v>45819</v>
      </c>
    </row>
    <row r="1856" spans="1:3" x14ac:dyDescent="0.3">
      <c r="A1856" s="42">
        <v>10000000148</v>
      </c>
      <c r="B1856" s="3" t="s">
        <v>829</v>
      </c>
      <c r="C1856" s="4">
        <f t="shared" ca="1" si="17"/>
        <v>45819</v>
      </c>
    </row>
    <row r="1857" spans="1:3" x14ac:dyDescent="0.3">
      <c r="A1857" s="42">
        <v>10000000650</v>
      </c>
      <c r="B1857" s="3" t="s">
        <v>928</v>
      </c>
      <c r="C1857" s="4">
        <f t="shared" ca="1" si="17"/>
        <v>45819</v>
      </c>
    </row>
    <row r="1858" spans="1:3" x14ac:dyDescent="0.3">
      <c r="A1858" s="42">
        <v>10000000030</v>
      </c>
      <c r="B1858" s="3" t="s">
        <v>990</v>
      </c>
      <c r="C1858" s="4">
        <f t="shared" ca="1" si="17"/>
        <v>45819</v>
      </c>
    </row>
    <row r="1859" spans="1:3" x14ac:dyDescent="0.3">
      <c r="A1859" s="42">
        <v>10000000318</v>
      </c>
      <c r="B1859" s="3" t="s">
        <v>1007</v>
      </c>
      <c r="C1859" s="4">
        <f t="shared" ca="1" si="17"/>
        <v>45819</v>
      </c>
    </row>
    <row r="1860" spans="1:3" x14ac:dyDescent="0.3">
      <c r="A1860" s="42">
        <v>10000000485</v>
      </c>
      <c r="B1860" s="3" t="s">
        <v>962</v>
      </c>
      <c r="C1860" s="4">
        <f t="shared" ca="1" si="17"/>
        <v>45819</v>
      </c>
    </row>
    <row r="1861" spans="1:3" x14ac:dyDescent="0.3">
      <c r="A1861" s="42">
        <v>10000000067</v>
      </c>
      <c r="B1861" s="3" t="s">
        <v>820</v>
      </c>
      <c r="C1861" s="4">
        <f t="shared" ca="1" si="17"/>
        <v>45819</v>
      </c>
    </row>
    <row r="1862" spans="1:3" x14ac:dyDescent="0.3">
      <c r="A1862" s="42">
        <v>10000000009</v>
      </c>
      <c r="B1862" s="3" t="s">
        <v>919</v>
      </c>
      <c r="C1862" s="4">
        <f t="shared" ca="1" si="17"/>
        <v>45819</v>
      </c>
    </row>
    <row r="1863" spans="1:3" x14ac:dyDescent="0.3">
      <c r="A1863" s="42">
        <v>10000000480</v>
      </c>
      <c r="B1863" s="3" t="s">
        <v>844</v>
      </c>
      <c r="C1863" s="4">
        <f t="shared" ca="1" si="17"/>
        <v>45819</v>
      </c>
    </row>
    <row r="1864" spans="1:3" x14ac:dyDescent="0.3">
      <c r="A1864" s="42">
        <v>10000000593</v>
      </c>
      <c r="B1864" s="3" t="s">
        <v>1018</v>
      </c>
      <c r="C1864" s="4">
        <f t="shared" ca="1" si="17"/>
        <v>45819</v>
      </c>
    </row>
    <row r="1865" spans="1:3" x14ac:dyDescent="0.3">
      <c r="A1865" s="42">
        <v>10000000054</v>
      </c>
      <c r="B1865" s="3" t="s">
        <v>893</v>
      </c>
      <c r="C1865" s="4">
        <f t="shared" ca="1" si="17"/>
        <v>45819</v>
      </c>
    </row>
    <row r="1866" spans="1:3" x14ac:dyDescent="0.3">
      <c r="A1866" s="42">
        <v>10000000564</v>
      </c>
      <c r="B1866" s="3" t="s">
        <v>869</v>
      </c>
      <c r="C1866" s="4">
        <f t="shared" ca="1" si="17"/>
        <v>45819</v>
      </c>
    </row>
    <row r="1867" spans="1:3" x14ac:dyDescent="0.3">
      <c r="A1867" s="42">
        <v>10000000189</v>
      </c>
      <c r="B1867" s="3" t="s">
        <v>841</v>
      </c>
      <c r="C1867" s="4">
        <f t="shared" ca="1" si="17"/>
        <v>45819</v>
      </c>
    </row>
    <row r="1868" spans="1:3" x14ac:dyDescent="0.3">
      <c r="A1868" s="42">
        <v>10000000490</v>
      </c>
      <c r="B1868" s="3" t="s">
        <v>848</v>
      </c>
      <c r="C1868" s="4">
        <f t="shared" ca="1" si="17"/>
        <v>45819</v>
      </c>
    </row>
    <row r="1869" spans="1:3" x14ac:dyDescent="0.3">
      <c r="A1869" s="42">
        <v>10000000516</v>
      </c>
      <c r="B1869" s="3" t="s">
        <v>847</v>
      </c>
      <c r="C1869" s="4">
        <f t="shared" ca="1" si="17"/>
        <v>45819</v>
      </c>
    </row>
    <row r="1870" spans="1:3" x14ac:dyDescent="0.3">
      <c r="A1870" s="42">
        <v>10000000539</v>
      </c>
      <c r="B1870" s="3" t="s">
        <v>995</v>
      </c>
      <c r="C1870" s="4">
        <f t="shared" ca="1" si="17"/>
        <v>45819</v>
      </c>
    </row>
    <row r="1871" spans="1:3" x14ac:dyDescent="0.3">
      <c r="A1871" s="42">
        <v>10000000066</v>
      </c>
      <c r="B1871" s="3" t="s">
        <v>895</v>
      </c>
      <c r="C1871" s="4">
        <f t="shared" ca="1" si="17"/>
        <v>45819</v>
      </c>
    </row>
    <row r="1872" spans="1:3" x14ac:dyDescent="0.3">
      <c r="A1872" s="42">
        <v>10000000022</v>
      </c>
      <c r="B1872" s="3" t="s">
        <v>871</v>
      </c>
      <c r="C1872" s="4">
        <f t="shared" ca="1" si="17"/>
        <v>45819</v>
      </c>
    </row>
    <row r="1873" spans="1:3" x14ac:dyDescent="0.3">
      <c r="A1873" s="42">
        <v>10000000620</v>
      </c>
      <c r="B1873" s="3" t="s">
        <v>851</v>
      </c>
      <c r="C1873" s="4">
        <f t="shared" ca="1" si="17"/>
        <v>45819</v>
      </c>
    </row>
    <row r="1874" spans="1:3" x14ac:dyDescent="0.3">
      <c r="A1874" s="42">
        <v>10000000160</v>
      </c>
      <c r="B1874" s="3" t="s">
        <v>1009</v>
      </c>
      <c r="C1874" s="4">
        <f t="shared" ca="1" si="17"/>
        <v>45819</v>
      </c>
    </row>
    <row r="1875" spans="1:3" x14ac:dyDescent="0.3">
      <c r="A1875" s="42">
        <v>10000000525</v>
      </c>
      <c r="B1875" s="3" t="s">
        <v>823</v>
      </c>
      <c r="C1875" s="4">
        <f t="shared" ca="1" si="17"/>
        <v>45819</v>
      </c>
    </row>
    <row r="1876" spans="1:3" x14ac:dyDescent="0.3">
      <c r="A1876" s="42">
        <v>10000000092</v>
      </c>
      <c r="B1876" s="3" t="s">
        <v>865</v>
      </c>
      <c r="C1876" s="4">
        <f t="shared" ca="1" si="17"/>
        <v>45819</v>
      </c>
    </row>
    <row r="1877" spans="1:3" x14ac:dyDescent="0.3">
      <c r="A1877" s="42">
        <v>10000000094</v>
      </c>
      <c r="B1877" s="3" t="s">
        <v>948</v>
      </c>
      <c r="C1877" s="4">
        <f t="shared" ca="1" si="17"/>
        <v>45819</v>
      </c>
    </row>
    <row r="1878" spans="1:3" x14ac:dyDescent="0.3">
      <c r="A1878" s="42">
        <v>10000000400</v>
      </c>
      <c r="B1878" s="3" t="s">
        <v>997</v>
      </c>
      <c r="C1878" s="4">
        <f t="shared" ca="1" si="17"/>
        <v>45819</v>
      </c>
    </row>
    <row r="1879" spans="1:3" x14ac:dyDescent="0.3">
      <c r="A1879" s="42">
        <v>10000000402</v>
      </c>
      <c r="B1879" s="3" t="s">
        <v>837</v>
      </c>
      <c r="C1879" s="4">
        <f t="shared" ca="1" si="17"/>
        <v>45819</v>
      </c>
    </row>
    <row r="1880" spans="1:3" x14ac:dyDescent="0.3">
      <c r="A1880" s="42">
        <v>10000000023</v>
      </c>
      <c r="B1880" s="3" t="s">
        <v>838</v>
      </c>
      <c r="C1880" s="4">
        <f t="shared" ca="1" si="17"/>
        <v>45819</v>
      </c>
    </row>
    <row r="1881" spans="1:3" x14ac:dyDescent="0.3">
      <c r="A1881" s="42">
        <v>10000000112</v>
      </c>
      <c r="B1881" s="3" t="s">
        <v>938</v>
      </c>
      <c r="C1881" s="4">
        <f t="shared" ca="1" si="17"/>
        <v>45819</v>
      </c>
    </row>
    <row r="1882" spans="1:3" x14ac:dyDescent="0.3">
      <c r="A1882" s="42">
        <v>10000000114</v>
      </c>
      <c r="B1882" s="3" t="s">
        <v>1000</v>
      </c>
      <c r="C1882" s="4">
        <f t="shared" ca="1" si="17"/>
        <v>45819</v>
      </c>
    </row>
    <row r="1883" spans="1:3" x14ac:dyDescent="0.3">
      <c r="A1883" s="42">
        <v>10000000522</v>
      </c>
      <c r="B1883" s="3" t="s">
        <v>824</v>
      </c>
      <c r="C1883" s="4">
        <f t="shared" ca="1" si="17"/>
        <v>45819</v>
      </c>
    </row>
    <row r="1884" spans="1:3" x14ac:dyDescent="0.3">
      <c r="A1884" s="42">
        <v>10000000336</v>
      </c>
      <c r="B1884" s="3" t="s">
        <v>965</v>
      </c>
      <c r="C1884" s="4">
        <f t="shared" ca="1" si="17"/>
        <v>45819</v>
      </c>
    </row>
    <row r="1885" spans="1:3" x14ac:dyDescent="0.3">
      <c r="A1885" s="42">
        <v>10000000100</v>
      </c>
      <c r="B1885" s="3" t="s">
        <v>836</v>
      </c>
      <c r="C1885" s="4">
        <f t="shared" ca="1" si="17"/>
        <v>45819</v>
      </c>
    </row>
    <row r="1886" spans="1:3" x14ac:dyDescent="0.3">
      <c r="A1886" s="42">
        <v>10000000121</v>
      </c>
      <c r="B1886" s="3" t="s">
        <v>884</v>
      </c>
      <c r="C1886" s="4">
        <f t="shared" ca="1" si="17"/>
        <v>45819</v>
      </c>
    </row>
    <row r="1887" spans="1:3" x14ac:dyDescent="0.3">
      <c r="A1887" s="42">
        <v>10000000072</v>
      </c>
      <c r="B1887" s="3" t="s">
        <v>972</v>
      </c>
      <c r="C1887" s="4">
        <f t="shared" ca="1" si="17"/>
        <v>45819</v>
      </c>
    </row>
    <row r="1888" spans="1:3" x14ac:dyDescent="0.3">
      <c r="A1888" s="42">
        <v>10000000204</v>
      </c>
      <c r="B1888" s="3" t="s">
        <v>925</v>
      </c>
      <c r="C1888" s="4">
        <f t="shared" ca="1" si="17"/>
        <v>45819</v>
      </c>
    </row>
    <row r="1889" spans="1:3" x14ac:dyDescent="0.3">
      <c r="A1889" s="42">
        <v>10000000311</v>
      </c>
      <c r="B1889" s="3" t="s">
        <v>1017</v>
      </c>
      <c r="C1889" s="4">
        <f t="shared" ca="1" si="17"/>
        <v>45819</v>
      </c>
    </row>
    <row r="1890" spans="1:3" x14ac:dyDescent="0.3">
      <c r="A1890" s="42">
        <v>10000000448</v>
      </c>
      <c r="B1890" s="3" t="s">
        <v>856</v>
      </c>
      <c r="C1890" s="4">
        <f t="shared" ca="1" si="17"/>
        <v>45819</v>
      </c>
    </row>
    <row r="1891" spans="1:3" x14ac:dyDescent="0.3">
      <c r="A1891" s="42">
        <v>10000000143</v>
      </c>
      <c r="B1891" s="3" t="s">
        <v>1014</v>
      </c>
      <c r="C1891" s="4">
        <f t="shared" ca="1" si="17"/>
        <v>45819</v>
      </c>
    </row>
    <row r="1892" spans="1:3" x14ac:dyDescent="0.3">
      <c r="A1892" s="42">
        <v>10000000500</v>
      </c>
      <c r="B1892" s="3" t="s">
        <v>836</v>
      </c>
      <c r="C1892" s="4">
        <f t="shared" ca="1" si="17"/>
        <v>45819</v>
      </c>
    </row>
    <row r="1893" spans="1:3" x14ac:dyDescent="0.3">
      <c r="A1893" s="42">
        <v>10000000271</v>
      </c>
      <c r="B1893" s="3" t="s">
        <v>882</v>
      </c>
      <c r="C1893" s="4">
        <f t="shared" ca="1" si="17"/>
        <v>45819</v>
      </c>
    </row>
    <row r="1894" spans="1:3" x14ac:dyDescent="0.3">
      <c r="A1894" s="42">
        <v>10000000347</v>
      </c>
      <c r="B1894" s="3" t="s">
        <v>982</v>
      </c>
      <c r="C1894" s="4">
        <f t="shared" ca="1" si="17"/>
        <v>45819</v>
      </c>
    </row>
    <row r="1895" spans="1:3" x14ac:dyDescent="0.3">
      <c r="A1895" s="42">
        <v>10000000327</v>
      </c>
      <c r="B1895" s="3" t="s">
        <v>959</v>
      </c>
      <c r="C1895" s="4">
        <f t="shared" ca="1" si="17"/>
        <v>45819</v>
      </c>
    </row>
    <row r="1896" spans="1:3" x14ac:dyDescent="0.3">
      <c r="A1896" s="42">
        <v>10000000694</v>
      </c>
      <c r="B1896" s="3" t="s">
        <v>948</v>
      </c>
      <c r="C1896" s="4">
        <f t="shared" ca="1" si="17"/>
        <v>45819</v>
      </c>
    </row>
    <row r="1897" spans="1:3" x14ac:dyDescent="0.3">
      <c r="A1897" s="42">
        <v>10000000417</v>
      </c>
      <c r="B1897" s="3" t="s">
        <v>832</v>
      </c>
      <c r="C1897" s="4">
        <f t="shared" ca="1" si="17"/>
        <v>45819</v>
      </c>
    </row>
    <row r="1898" spans="1:3" x14ac:dyDescent="0.3">
      <c r="A1898" s="42">
        <v>10000000122</v>
      </c>
      <c r="B1898" s="3" t="s">
        <v>824</v>
      </c>
      <c r="C1898" s="4">
        <f t="shared" ca="1" si="17"/>
        <v>45819</v>
      </c>
    </row>
    <row r="1899" spans="1:3" x14ac:dyDescent="0.3">
      <c r="A1899" s="42">
        <v>10000000605</v>
      </c>
      <c r="B1899" s="3" t="s">
        <v>855</v>
      </c>
      <c r="C1899" s="4">
        <f t="shared" ca="1" si="17"/>
        <v>45819</v>
      </c>
    </row>
    <row r="1900" spans="1:3" x14ac:dyDescent="0.3">
      <c r="A1900" s="42">
        <v>10000000061</v>
      </c>
      <c r="B1900" s="3" t="s">
        <v>850</v>
      </c>
      <c r="C1900" s="4">
        <f t="shared" ca="1" si="17"/>
        <v>45819</v>
      </c>
    </row>
    <row r="1901" spans="1:3" x14ac:dyDescent="0.3">
      <c r="A1901" s="42">
        <v>10000000114</v>
      </c>
      <c r="B1901" s="3" t="s">
        <v>1000</v>
      </c>
      <c r="C1901" s="4">
        <f t="shared" ca="1" si="17"/>
        <v>45819</v>
      </c>
    </row>
    <row r="1902" spans="1:3" x14ac:dyDescent="0.3">
      <c r="A1902" s="42">
        <v>10000000412</v>
      </c>
      <c r="B1902" s="3" t="s">
        <v>1019</v>
      </c>
      <c r="C1902" s="4">
        <f t="shared" ca="1" si="17"/>
        <v>45819</v>
      </c>
    </row>
    <row r="1903" spans="1:3" x14ac:dyDescent="0.3">
      <c r="A1903" s="42">
        <v>10000000693</v>
      </c>
      <c r="B1903" s="3" t="s">
        <v>969</v>
      </c>
      <c r="C1903" s="4">
        <f t="shared" ca="1" si="17"/>
        <v>45819</v>
      </c>
    </row>
    <row r="1904" spans="1:3" x14ac:dyDescent="0.3">
      <c r="A1904" s="42">
        <v>10000000239</v>
      </c>
      <c r="B1904" s="3" t="s">
        <v>852</v>
      </c>
      <c r="C1904" s="4">
        <f t="shared" ca="1" si="17"/>
        <v>45819</v>
      </c>
    </row>
    <row r="1905" spans="1:3" x14ac:dyDescent="0.3">
      <c r="A1905" s="42">
        <v>10000000481</v>
      </c>
      <c r="B1905" s="3" t="s">
        <v>964</v>
      </c>
      <c r="C1905" s="4">
        <f t="shared" ca="1" si="17"/>
        <v>45819</v>
      </c>
    </row>
    <row r="1906" spans="1:3" x14ac:dyDescent="0.3">
      <c r="A1906" s="42">
        <v>10000000226</v>
      </c>
      <c r="B1906" s="3" t="s">
        <v>880</v>
      </c>
      <c r="C1906" s="4">
        <f t="shared" ca="1" si="17"/>
        <v>45819</v>
      </c>
    </row>
    <row r="1907" spans="1:3" x14ac:dyDescent="0.3">
      <c r="A1907" s="42">
        <v>10000000480</v>
      </c>
      <c r="B1907" s="3" t="s">
        <v>844</v>
      </c>
      <c r="C1907" s="4">
        <f t="shared" ca="1" si="17"/>
        <v>45819</v>
      </c>
    </row>
    <row r="1908" spans="1:3" x14ac:dyDescent="0.3">
      <c r="A1908" s="42">
        <v>10000000199</v>
      </c>
      <c r="B1908" s="3" t="s">
        <v>936</v>
      </c>
      <c r="C1908" s="4">
        <f t="shared" ca="1" si="17"/>
        <v>45819</v>
      </c>
    </row>
    <row r="1909" spans="1:3" x14ac:dyDescent="0.3">
      <c r="A1909" s="42">
        <v>10000000245</v>
      </c>
      <c r="B1909" s="3" t="s">
        <v>843</v>
      </c>
      <c r="C1909" s="4">
        <f t="shared" ca="1" si="17"/>
        <v>45819</v>
      </c>
    </row>
    <row r="1910" spans="1:3" x14ac:dyDescent="0.3">
      <c r="A1910" s="42">
        <v>10000000358</v>
      </c>
      <c r="B1910" s="3" t="s">
        <v>994</v>
      </c>
      <c r="C1910" s="4">
        <f t="shared" ca="1" si="17"/>
        <v>45819</v>
      </c>
    </row>
    <row r="1911" spans="1:3" x14ac:dyDescent="0.3">
      <c r="A1911" s="42">
        <v>10000000106</v>
      </c>
      <c r="B1911" s="3" t="s">
        <v>992</v>
      </c>
      <c r="C1911" s="4">
        <f t="shared" ca="1" si="17"/>
        <v>45819</v>
      </c>
    </row>
    <row r="1912" spans="1:3" x14ac:dyDescent="0.3">
      <c r="A1912" s="42">
        <v>10000000236</v>
      </c>
      <c r="B1912" s="3" t="s">
        <v>873</v>
      </c>
      <c r="C1912" s="4">
        <f t="shared" ca="1" si="17"/>
        <v>45819</v>
      </c>
    </row>
    <row r="1913" spans="1:3" x14ac:dyDescent="0.3">
      <c r="A1913" s="42">
        <v>10000000344</v>
      </c>
      <c r="B1913" s="3" t="s">
        <v>854</v>
      </c>
      <c r="C1913" s="4">
        <f t="shared" ca="1" si="17"/>
        <v>45819</v>
      </c>
    </row>
    <row r="1914" spans="1:3" x14ac:dyDescent="0.3">
      <c r="A1914" s="42">
        <v>10000000644</v>
      </c>
      <c r="B1914" s="3" t="s">
        <v>868</v>
      </c>
      <c r="C1914" s="4">
        <f t="shared" ca="1" si="17"/>
        <v>45819</v>
      </c>
    </row>
    <row r="1915" spans="1:3" x14ac:dyDescent="0.3">
      <c r="A1915" s="42">
        <v>10000000178</v>
      </c>
      <c r="B1915" s="3" t="s">
        <v>890</v>
      </c>
      <c r="C1915" s="4">
        <f t="shared" ca="1" si="17"/>
        <v>45819</v>
      </c>
    </row>
    <row r="1916" spans="1:3" x14ac:dyDescent="0.3">
      <c r="A1916" s="42">
        <v>10000000413</v>
      </c>
      <c r="B1916" s="3" t="s">
        <v>915</v>
      </c>
      <c r="C1916" s="4">
        <f t="shared" ca="1" si="17"/>
        <v>45819</v>
      </c>
    </row>
    <row r="1917" spans="1:3" x14ac:dyDescent="0.3">
      <c r="A1917" s="42">
        <v>10000000265</v>
      </c>
      <c r="B1917" s="3" t="s">
        <v>961</v>
      </c>
      <c r="C1917" s="4">
        <f t="shared" ca="1" si="17"/>
        <v>45819</v>
      </c>
    </row>
    <row r="1918" spans="1:3" x14ac:dyDescent="0.3">
      <c r="A1918" s="42">
        <v>10000000381</v>
      </c>
      <c r="B1918" s="3" t="s">
        <v>831</v>
      </c>
      <c r="C1918" s="4">
        <f t="shared" ca="1" si="17"/>
        <v>45819</v>
      </c>
    </row>
    <row r="1919" spans="1:3" x14ac:dyDescent="0.3">
      <c r="A1919" s="42">
        <v>10000000082</v>
      </c>
      <c r="B1919" s="3" t="s">
        <v>861</v>
      </c>
      <c r="C1919" s="4">
        <f t="shared" ca="1" si="17"/>
        <v>45819</v>
      </c>
    </row>
    <row r="1920" spans="1:3" x14ac:dyDescent="0.3">
      <c r="A1920" s="42">
        <v>10000000211</v>
      </c>
      <c r="B1920" s="3" t="s">
        <v>1005</v>
      </c>
      <c r="C1920" s="4">
        <f t="shared" ca="1" si="17"/>
        <v>45819</v>
      </c>
    </row>
    <row r="1921" spans="1:3" x14ac:dyDescent="0.3">
      <c r="A1921" s="42">
        <v>10000000241</v>
      </c>
      <c r="B1921" s="3" t="s">
        <v>1013</v>
      </c>
      <c r="C1921" s="4">
        <f t="shared" ca="1" si="17"/>
        <v>45819</v>
      </c>
    </row>
    <row r="1922" spans="1:3" x14ac:dyDescent="0.3">
      <c r="A1922" s="42">
        <v>10000000282</v>
      </c>
      <c r="B1922" s="3" t="s">
        <v>861</v>
      </c>
      <c r="C1922" s="4">
        <f t="shared" ca="1" si="17"/>
        <v>45819</v>
      </c>
    </row>
    <row r="1923" spans="1:3" x14ac:dyDescent="0.3">
      <c r="A1923" s="42">
        <v>10000000233</v>
      </c>
      <c r="B1923" s="3" t="s">
        <v>876</v>
      </c>
      <c r="C1923" s="4">
        <f t="shared" ca="1" si="17"/>
        <v>45819</v>
      </c>
    </row>
    <row r="1924" spans="1:3" x14ac:dyDescent="0.3">
      <c r="A1924" s="42">
        <v>10000000146</v>
      </c>
      <c r="B1924" s="3" t="s">
        <v>826</v>
      </c>
      <c r="C1924" s="4">
        <f t="shared" ca="1" si="17"/>
        <v>45819</v>
      </c>
    </row>
    <row r="1925" spans="1:3" x14ac:dyDescent="0.3">
      <c r="A1925" s="42">
        <v>10000000435</v>
      </c>
      <c r="B1925" s="3" t="s">
        <v>886</v>
      </c>
      <c r="C1925" s="4">
        <f t="shared" ca="1" si="17"/>
        <v>45819</v>
      </c>
    </row>
    <row r="1926" spans="1:3" x14ac:dyDescent="0.3">
      <c r="A1926" s="42">
        <v>10000000084</v>
      </c>
      <c r="B1926" s="3" t="s">
        <v>970</v>
      </c>
      <c r="C1926" s="4">
        <f t="shared" ca="1" si="17"/>
        <v>45819</v>
      </c>
    </row>
    <row r="1927" spans="1:3" x14ac:dyDescent="0.3">
      <c r="A1927" s="42">
        <v>10000000384</v>
      </c>
      <c r="B1927" s="3" t="s">
        <v>830</v>
      </c>
      <c r="C1927" s="4">
        <f t="shared" ca="1" si="17"/>
        <v>45819</v>
      </c>
    </row>
    <row r="1928" spans="1:3" x14ac:dyDescent="0.3">
      <c r="A1928" s="42">
        <v>10000000430</v>
      </c>
      <c r="B1928" s="3" t="s">
        <v>990</v>
      </c>
      <c r="C1928" s="4">
        <f t="shared" ca="1" si="17"/>
        <v>45819</v>
      </c>
    </row>
    <row r="1929" spans="1:3" x14ac:dyDescent="0.3">
      <c r="A1929" s="42">
        <v>10000000243</v>
      </c>
      <c r="B1929" s="3" t="s">
        <v>944</v>
      </c>
      <c r="C1929" s="4">
        <f t="shared" ca="1" si="17"/>
        <v>45819</v>
      </c>
    </row>
    <row r="1930" spans="1:3" x14ac:dyDescent="0.3">
      <c r="A1930" s="42">
        <v>10000000602</v>
      </c>
      <c r="B1930" s="3" t="s">
        <v>837</v>
      </c>
      <c r="C1930" s="4">
        <f t="shared" ca="1" si="17"/>
        <v>45819</v>
      </c>
    </row>
    <row r="1931" spans="1:3" x14ac:dyDescent="0.3">
      <c r="A1931" s="42">
        <v>10000000561</v>
      </c>
      <c r="B1931" s="3" t="s">
        <v>977</v>
      </c>
      <c r="C1931" s="4">
        <f t="shared" ca="1" si="17"/>
        <v>45819</v>
      </c>
    </row>
    <row r="1932" spans="1:3" x14ac:dyDescent="0.3">
      <c r="A1932" s="42">
        <v>10000000341</v>
      </c>
      <c r="B1932" s="3" t="s">
        <v>859</v>
      </c>
      <c r="C1932" s="4">
        <f t="shared" ca="1" si="17"/>
        <v>45819</v>
      </c>
    </row>
    <row r="1933" spans="1:3" x14ac:dyDescent="0.3">
      <c r="A1933" s="42">
        <v>10000000546</v>
      </c>
      <c r="B1933" s="3" t="s">
        <v>826</v>
      </c>
      <c r="C1933" s="4">
        <f t="shared" ca="1" si="17"/>
        <v>45819</v>
      </c>
    </row>
    <row r="1934" spans="1:3" x14ac:dyDescent="0.3">
      <c r="A1934" s="42">
        <v>10000000611</v>
      </c>
      <c r="B1934" s="3" t="s">
        <v>1005</v>
      </c>
      <c r="C1934" s="4">
        <f t="shared" ca="1" si="17"/>
        <v>45819</v>
      </c>
    </row>
    <row r="1935" spans="1:3" x14ac:dyDescent="0.3">
      <c r="A1935" s="42">
        <v>10000000118</v>
      </c>
      <c r="B1935" s="3" t="s">
        <v>1007</v>
      </c>
      <c r="C1935" s="4">
        <f t="shared" ca="1" si="17"/>
        <v>45819</v>
      </c>
    </row>
    <row r="1936" spans="1:3" x14ac:dyDescent="0.3">
      <c r="A1936" s="42">
        <v>10000000117</v>
      </c>
      <c r="B1936" s="3" t="s">
        <v>918</v>
      </c>
      <c r="C1936" s="4">
        <f t="shared" ca="1" si="17"/>
        <v>45819</v>
      </c>
    </row>
    <row r="1937" spans="1:3" x14ac:dyDescent="0.3">
      <c r="A1937" s="42">
        <v>10000000007</v>
      </c>
      <c r="B1937" s="3" t="s">
        <v>902</v>
      </c>
      <c r="C1937" s="4">
        <f t="shared" ca="1" si="17"/>
        <v>45819</v>
      </c>
    </row>
    <row r="1938" spans="1:3" x14ac:dyDescent="0.3">
      <c r="A1938" s="42">
        <v>10000000565</v>
      </c>
      <c r="B1938" s="3" t="s">
        <v>914</v>
      </c>
      <c r="C1938" s="4">
        <f t="shared" ca="1" si="17"/>
        <v>45819</v>
      </c>
    </row>
    <row r="1939" spans="1:3" x14ac:dyDescent="0.3">
      <c r="A1939" s="42">
        <v>10000000687</v>
      </c>
      <c r="B1939" s="3" t="s">
        <v>904</v>
      </c>
      <c r="C1939" s="4">
        <f t="shared" ca="1" si="17"/>
        <v>45819</v>
      </c>
    </row>
    <row r="1940" spans="1:3" x14ac:dyDescent="0.3">
      <c r="A1940" s="42">
        <v>10000000224</v>
      </c>
      <c r="B1940" s="3" t="s">
        <v>891</v>
      </c>
      <c r="C1940" s="4">
        <f t="shared" ca="1" si="17"/>
        <v>45819</v>
      </c>
    </row>
    <row r="1941" spans="1:3" x14ac:dyDescent="0.3">
      <c r="A1941" s="42">
        <v>10000000320</v>
      </c>
      <c r="B1941" s="3" t="s">
        <v>979</v>
      </c>
      <c r="C1941" s="4">
        <f t="shared" ca="1" si="17"/>
        <v>45819</v>
      </c>
    </row>
    <row r="1942" spans="1:3" x14ac:dyDescent="0.3">
      <c r="A1942" s="42">
        <v>10000000064</v>
      </c>
      <c r="B1942" s="3" t="s">
        <v>858</v>
      </c>
      <c r="C1942" s="4">
        <f t="shared" ca="1" si="17"/>
        <v>45819</v>
      </c>
    </row>
    <row r="1943" spans="1:3" x14ac:dyDescent="0.3">
      <c r="A1943" s="42">
        <v>10000000431</v>
      </c>
      <c r="B1943" s="3" t="s">
        <v>947</v>
      </c>
      <c r="C1943" s="4">
        <f t="shared" ca="1" si="17"/>
        <v>45819</v>
      </c>
    </row>
    <row r="1944" spans="1:3" x14ac:dyDescent="0.3">
      <c r="A1944" s="42">
        <v>10000000184</v>
      </c>
      <c r="B1944" s="3" t="s">
        <v>830</v>
      </c>
      <c r="C1944" s="4">
        <f t="shared" ca="1" si="17"/>
        <v>45819</v>
      </c>
    </row>
    <row r="1945" spans="1:3" x14ac:dyDescent="0.3">
      <c r="A1945" s="42">
        <v>10000000220</v>
      </c>
      <c r="B1945" s="3" t="s">
        <v>851</v>
      </c>
      <c r="C1945" s="4">
        <f t="shared" ca="1" si="17"/>
        <v>45819</v>
      </c>
    </row>
    <row r="1946" spans="1:3" x14ac:dyDescent="0.3">
      <c r="A1946" s="42">
        <v>10000000165</v>
      </c>
      <c r="B1946" s="3" t="s">
        <v>914</v>
      </c>
      <c r="C1946" s="4">
        <f t="shared" ca="1" si="17"/>
        <v>45819</v>
      </c>
    </row>
    <row r="1947" spans="1:3" x14ac:dyDescent="0.3">
      <c r="A1947" s="42">
        <v>10000000296</v>
      </c>
      <c r="B1947" s="3" t="s">
        <v>879</v>
      </c>
      <c r="C1947" s="4">
        <f t="shared" ca="1" si="17"/>
        <v>45819</v>
      </c>
    </row>
    <row r="1948" spans="1:3" x14ac:dyDescent="0.3">
      <c r="A1948" s="42">
        <v>10000000161</v>
      </c>
      <c r="B1948" s="3" t="s">
        <v>977</v>
      </c>
      <c r="C1948" s="4">
        <f t="shared" ca="1" si="17"/>
        <v>45819</v>
      </c>
    </row>
    <row r="1949" spans="1:3" x14ac:dyDescent="0.3">
      <c r="A1949" s="42">
        <v>10000000042</v>
      </c>
      <c r="B1949" s="3" t="s">
        <v>849</v>
      </c>
      <c r="C1949" s="4">
        <f t="shared" ca="1" si="17"/>
        <v>45819</v>
      </c>
    </row>
    <row r="1950" spans="1:3" x14ac:dyDescent="0.3">
      <c r="A1950" s="42">
        <v>10000000209</v>
      </c>
      <c r="B1950" s="3" t="s">
        <v>919</v>
      </c>
      <c r="C1950" s="4">
        <f t="shared" ca="1" si="17"/>
        <v>45819</v>
      </c>
    </row>
    <row r="1951" spans="1:3" x14ac:dyDescent="0.3">
      <c r="A1951" s="42">
        <v>10000000028</v>
      </c>
      <c r="B1951" s="3" t="s">
        <v>960</v>
      </c>
      <c r="C1951" s="4">
        <f t="shared" ca="1" si="17"/>
        <v>45819</v>
      </c>
    </row>
    <row r="1952" spans="1:3" x14ac:dyDescent="0.3">
      <c r="A1952" s="42">
        <v>10000000046</v>
      </c>
      <c r="B1952" s="3" t="s">
        <v>930</v>
      </c>
      <c r="C1952" s="4">
        <f t="shared" ca="1" si="17"/>
        <v>45819</v>
      </c>
    </row>
    <row r="1953" spans="1:3" x14ac:dyDescent="0.3">
      <c r="A1953" s="42">
        <v>10000000164</v>
      </c>
      <c r="B1953" s="3" t="s">
        <v>869</v>
      </c>
      <c r="C1953" s="4">
        <f t="shared" ca="1" si="17"/>
        <v>45819</v>
      </c>
    </row>
    <row r="1954" spans="1:3" x14ac:dyDescent="0.3">
      <c r="A1954" s="42">
        <v>10000000360</v>
      </c>
      <c r="B1954" s="3" t="s">
        <v>1009</v>
      </c>
      <c r="C1954" s="4">
        <f t="shared" ca="1" si="17"/>
        <v>45819</v>
      </c>
    </row>
    <row r="1955" spans="1:3" x14ac:dyDescent="0.3">
      <c r="A1955" s="42">
        <v>10000000550</v>
      </c>
      <c r="B1955" s="3" t="s">
        <v>900</v>
      </c>
      <c r="C1955" s="4">
        <f t="shared" ca="1" si="17"/>
        <v>45819</v>
      </c>
    </row>
    <row r="1956" spans="1:3" x14ac:dyDescent="0.3">
      <c r="A1956" s="42">
        <v>10000000014</v>
      </c>
      <c r="B1956" s="3" t="s">
        <v>857</v>
      </c>
      <c r="C1956" s="4">
        <f t="shared" ca="1" si="17"/>
        <v>45819</v>
      </c>
    </row>
    <row r="1957" spans="1:3" x14ac:dyDescent="0.3">
      <c r="A1957" s="42">
        <v>10000000490</v>
      </c>
      <c r="B1957" s="3" t="s">
        <v>848</v>
      </c>
      <c r="C1957" s="4">
        <f t="shared" ca="1" si="17"/>
        <v>45819</v>
      </c>
    </row>
    <row r="1958" spans="1:3" x14ac:dyDescent="0.3">
      <c r="A1958" s="42">
        <v>10000000601</v>
      </c>
      <c r="B1958" s="3" t="s">
        <v>1015</v>
      </c>
      <c r="C1958" s="4">
        <f t="shared" ca="1" si="17"/>
        <v>45819</v>
      </c>
    </row>
    <row r="1959" spans="1:3" x14ac:dyDescent="0.3">
      <c r="A1959" s="42">
        <v>10000000538</v>
      </c>
      <c r="B1959" s="3" t="s">
        <v>950</v>
      </c>
      <c r="C1959" s="4">
        <f t="shared" ca="1" si="17"/>
        <v>45819</v>
      </c>
    </row>
    <row r="1960" spans="1:3" x14ac:dyDescent="0.3">
      <c r="A1960" s="42">
        <v>10000000228</v>
      </c>
      <c r="B1960" s="3" t="s">
        <v>960</v>
      </c>
      <c r="C1960" s="4">
        <f t="shared" ca="1" si="17"/>
        <v>45819</v>
      </c>
    </row>
    <row r="1961" spans="1:3" x14ac:dyDescent="0.3">
      <c r="A1961" s="42">
        <v>10000000287</v>
      </c>
      <c r="B1961" s="3" t="s">
        <v>904</v>
      </c>
      <c r="C1961" s="4">
        <f t="shared" ca="1" si="17"/>
        <v>45819</v>
      </c>
    </row>
    <row r="1962" spans="1:3" x14ac:dyDescent="0.3">
      <c r="A1962" s="42">
        <v>10000000562</v>
      </c>
      <c r="B1962" s="3" t="s">
        <v>926</v>
      </c>
      <c r="C1962" s="4">
        <f t="shared" ca="1" si="17"/>
        <v>45819</v>
      </c>
    </row>
    <row r="1963" spans="1:3" x14ac:dyDescent="0.3">
      <c r="A1963" s="42">
        <v>10000000119</v>
      </c>
      <c r="B1963" s="3" t="s">
        <v>1003</v>
      </c>
      <c r="C1963" s="4">
        <f t="shared" ca="1" si="17"/>
        <v>45819</v>
      </c>
    </row>
    <row r="1964" spans="1:3" x14ac:dyDescent="0.3">
      <c r="A1964" s="42">
        <v>10000000598</v>
      </c>
      <c r="B1964" s="3" t="s">
        <v>939</v>
      </c>
      <c r="C1964" s="4">
        <f t="shared" ca="1" si="17"/>
        <v>45819</v>
      </c>
    </row>
    <row r="1965" spans="1:3" x14ac:dyDescent="0.3">
      <c r="A1965" s="42">
        <v>10000000369</v>
      </c>
      <c r="B1965" s="3" t="s">
        <v>946</v>
      </c>
      <c r="C1965" s="4">
        <f t="shared" ca="1" si="17"/>
        <v>45819</v>
      </c>
    </row>
    <row r="1966" spans="1:3" x14ac:dyDescent="0.3">
      <c r="A1966" s="42">
        <v>10000000006</v>
      </c>
      <c r="B1966" s="3" t="s">
        <v>953</v>
      </c>
      <c r="C1966" s="4">
        <f t="shared" ca="1" si="17"/>
        <v>45819</v>
      </c>
    </row>
    <row r="1967" spans="1:3" x14ac:dyDescent="0.3">
      <c r="A1967" s="42">
        <v>10000000584</v>
      </c>
      <c r="B1967" s="3" t="s">
        <v>830</v>
      </c>
      <c r="C1967" s="4">
        <f t="shared" ca="1" si="17"/>
        <v>45819</v>
      </c>
    </row>
    <row r="1968" spans="1:3" x14ac:dyDescent="0.3">
      <c r="A1968" s="42">
        <v>10000000043</v>
      </c>
      <c r="B1968" s="3" t="s">
        <v>944</v>
      </c>
      <c r="C1968" s="4">
        <f t="shared" ca="1" si="17"/>
        <v>45819</v>
      </c>
    </row>
    <row r="1969" spans="1:3" x14ac:dyDescent="0.3">
      <c r="A1969" s="42">
        <v>10000000247</v>
      </c>
      <c r="B1969" s="3" t="s">
        <v>967</v>
      </c>
      <c r="C1969" s="4">
        <f t="shared" ca="1" si="17"/>
        <v>45819</v>
      </c>
    </row>
    <row r="1970" spans="1:3" x14ac:dyDescent="0.3">
      <c r="A1970" s="42">
        <v>10000000402</v>
      </c>
      <c r="B1970" s="3" t="s">
        <v>837</v>
      </c>
      <c r="C1970" s="4">
        <f t="shared" ca="1" si="17"/>
        <v>45819</v>
      </c>
    </row>
    <row r="1971" spans="1:3" x14ac:dyDescent="0.3">
      <c r="A1971" s="42">
        <v>10000000335</v>
      </c>
      <c r="B1971" s="3" t="s">
        <v>1006</v>
      </c>
      <c r="C1971" s="4">
        <f t="shared" ref="C1971:C2101" ca="1" si="18">TODAY()-188</f>
        <v>45849</v>
      </c>
    </row>
    <row r="1972" spans="1:3" x14ac:dyDescent="0.3">
      <c r="A1972" s="42">
        <v>10000000432</v>
      </c>
      <c r="B1972" s="3" t="s">
        <v>896</v>
      </c>
      <c r="C1972" s="4">
        <f t="shared" ca="1" si="18"/>
        <v>45849</v>
      </c>
    </row>
    <row r="1973" spans="1:3" x14ac:dyDescent="0.3">
      <c r="A1973" s="42">
        <v>10000000474</v>
      </c>
      <c r="B1973" s="3" t="s">
        <v>981</v>
      </c>
      <c r="C1973" s="4">
        <f t="shared" ca="1" si="18"/>
        <v>45849</v>
      </c>
    </row>
    <row r="1974" spans="1:3" x14ac:dyDescent="0.3">
      <c r="A1974" s="42">
        <v>10000000240</v>
      </c>
      <c r="B1974" s="3" t="s">
        <v>878</v>
      </c>
      <c r="C1974" s="4">
        <f t="shared" ca="1" si="18"/>
        <v>45849</v>
      </c>
    </row>
    <row r="1975" spans="1:3" x14ac:dyDescent="0.3">
      <c r="A1975" s="42">
        <v>10000000696</v>
      </c>
      <c r="B1975" s="3" t="s">
        <v>879</v>
      </c>
      <c r="C1975" s="4">
        <f t="shared" ca="1" si="18"/>
        <v>45849</v>
      </c>
    </row>
    <row r="1976" spans="1:3" x14ac:dyDescent="0.3">
      <c r="A1976" s="42">
        <v>10000000183</v>
      </c>
      <c r="B1976" s="3" t="s">
        <v>942</v>
      </c>
      <c r="C1976" s="4">
        <f t="shared" ca="1" si="18"/>
        <v>45849</v>
      </c>
    </row>
    <row r="1977" spans="1:3" x14ac:dyDescent="0.3">
      <c r="A1977" s="42">
        <v>10000000607</v>
      </c>
      <c r="B1977" s="3" t="s">
        <v>902</v>
      </c>
      <c r="C1977" s="4">
        <f t="shared" ca="1" si="18"/>
        <v>45849</v>
      </c>
    </row>
    <row r="1978" spans="1:3" x14ac:dyDescent="0.3">
      <c r="A1978" s="42">
        <v>10000000039</v>
      </c>
      <c r="B1978" s="3" t="s">
        <v>852</v>
      </c>
      <c r="C1978" s="4">
        <f t="shared" ca="1" si="18"/>
        <v>45849</v>
      </c>
    </row>
    <row r="1979" spans="1:3" x14ac:dyDescent="0.3">
      <c r="A1979" s="42">
        <v>10000000184</v>
      </c>
      <c r="B1979" s="3" t="s">
        <v>830</v>
      </c>
      <c r="C1979" s="4">
        <f t="shared" ca="1" si="18"/>
        <v>45849</v>
      </c>
    </row>
    <row r="1980" spans="1:3" x14ac:dyDescent="0.3">
      <c r="A1980" s="42">
        <v>10000000375</v>
      </c>
      <c r="B1980" s="3" t="s">
        <v>943</v>
      </c>
      <c r="C1980" s="4">
        <f t="shared" ca="1" si="18"/>
        <v>45849</v>
      </c>
    </row>
    <row r="1981" spans="1:3" x14ac:dyDescent="0.3">
      <c r="A1981" s="42">
        <v>10000000288</v>
      </c>
      <c r="B1981" s="3" t="s">
        <v>986</v>
      </c>
      <c r="C1981" s="4">
        <f t="shared" ca="1" si="18"/>
        <v>45849</v>
      </c>
    </row>
    <row r="1982" spans="1:3" x14ac:dyDescent="0.3">
      <c r="A1982" s="42">
        <v>10000000492</v>
      </c>
      <c r="B1982" s="3" t="s">
        <v>865</v>
      </c>
      <c r="C1982" s="4">
        <f t="shared" ca="1" si="18"/>
        <v>45849</v>
      </c>
    </row>
    <row r="1983" spans="1:3" x14ac:dyDescent="0.3">
      <c r="A1983" s="42">
        <v>10000000009</v>
      </c>
      <c r="B1983" s="3" t="s">
        <v>919</v>
      </c>
      <c r="C1983" s="4">
        <f t="shared" ca="1" si="18"/>
        <v>45849</v>
      </c>
    </row>
    <row r="1984" spans="1:3" x14ac:dyDescent="0.3">
      <c r="A1984" s="42">
        <v>10000000550</v>
      </c>
      <c r="B1984" s="3" t="s">
        <v>900</v>
      </c>
      <c r="C1984" s="4">
        <f t="shared" ca="1" si="18"/>
        <v>45849</v>
      </c>
    </row>
    <row r="1985" spans="1:3" x14ac:dyDescent="0.3">
      <c r="A1985" s="42">
        <v>10000000171</v>
      </c>
      <c r="B1985" s="3" t="s">
        <v>932</v>
      </c>
      <c r="C1985" s="4">
        <f t="shared" ca="1" si="18"/>
        <v>45849</v>
      </c>
    </row>
    <row r="1986" spans="1:3" x14ac:dyDescent="0.3">
      <c r="A1986" s="42">
        <v>10000000569</v>
      </c>
      <c r="B1986" s="3" t="s">
        <v>946</v>
      </c>
      <c r="C1986" s="4">
        <f t="shared" ca="1" si="18"/>
        <v>45849</v>
      </c>
    </row>
    <row r="1987" spans="1:3" x14ac:dyDescent="0.3">
      <c r="A1987" s="42">
        <v>10000000377</v>
      </c>
      <c r="B1987" s="3" t="s">
        <v>1004</v>
      </c>
      <c r="C1987" s="4">
        <f t="shared" ca="1" si="18"/>
        <v>45849</v>
      </c>
    </row>
    <row r="1988" spans="1:3" x14ac:dyDescent="0.3">
      <c r="A1988" s="42">
        <v>10000000352</v>
      </c>
      <c r="B1988" s="3" t="s">
        <v>927</v>
      </c>
      <c r="C1988" s="4">
        <f t="shared" ca="1" si="18"/>
        <v>45849</v>
      </c>
    </row>
    <row r="1989" spans="1:3" x14ac:dyDescent="0.3">
      <c r="A1989" s="42">
        <v>10000000252</v>
      </c>
      <c r="B1989" s="3" t="s">
        <v>976</v>
      </c>
      <c r="C1989" s="4">
        <f t="shared" ca="1" si="18"/>
        <v>45849</v>
      </c>
    </row>
    <row r="1990" spans="1:3" x14ac:dyDescent="0.3">
      <c r="A1990" s="42">
        <v>10000000380</v>
      </c>
      <c r="B1990" s="3" t="s">
        <v>991</v>
      </c>
      <c r="C1990" s="4">
        <f t="shared" ca="1" si="18"/>
        <v>45849</v>
      </c>
    </row>
    <row r="1991" spans="1:3" x14ac:dyDescent="0.3">
      <c r="A1991" s="42">
        <v>10000000182</v>
      </c>
      <c r="B1991" s="3" t="s">
        <v>955</v>
      </c>
      <c r="C1991" s="4">
        <f t="shared" ca="1" si="18"/>
        <v>45849</v>
      </c>
    </row>
    <row r="1992" spans="1:3" x14ac:dyDescent="0.3">
      <c r="A1992" s="42">
        <v>10000000645</v>
      </c>
      <c r="B1992" s="3" t="s">
        <v>843</v>
      </c>
      <c r="C1992" s="4">
        <f t="shared" ca="1" si="18"/>
        <v>45849</v>
      </c>
    </row>
    <row r="1993" spans="1:3" x14ac:dyDescent="0.3">
      <c r="A1993" s="42">
        <v>10000000618</v>
      </c>
      <c r="B1993" s="3" t="s">
        <v>833</v>
      </c>
      <c r="C1993" s="4">
        <f t="shared" ca="1" si="18"/>
        <v>45849</v>
      </c>
    </row>
    <row r="1994" spans="1:3" x14ac:dyDescent="0.3">
      <c r="A1994" s="42">
        <v>10000000628</v>
      </c>
      <c r="B1994" s="3" t="s">
        <v>960</v>
      </c>
      <c r="C1994" s="4">
        <f t="shared" ca="1" si="18"/>
        <v>45849</v>
      </c>
    </row>
    <row r="1995" spans="1:3" x14ac:dyDescent="0.3">
      <c r="A1995" s="42">
        <v>10000000373</v>
      </c>
      <c r="B1995" s="3" t="s">
        <v>924</v>
      </c>
      <c r="C1995" s="4">
        <f t="shared" ca="1" si="18"/>
        <v>45849</v>
      </c>
    </row>
    <row r="1996" spans="1:3" x14ac:dyDescent="0.3">
      <c r="A1996" s="42">
        <v>10000000170</v>
      </c>
      <c r="B1996" s="3" t="s">
        <v>937</v>
      </c>
      <c r="C1996" s="4">
        <f t="shared" ca="1" si="18"/>
        <v>45849</v>
      </c>
    </row>
    <row r="1997" spans="1:3" x14ac:dyDescent="0.3">
      <c r="A1997" s="42">
        <v>10000000326</v>
      </c>
      <c r="B1997" s="3" t="s">
        <v>985</v>
      </c>
      <c r="C1997" s="4">
        <f t="shared" ca="1" si="18"/>
        <v>45849</v>
      </c>
    </row>
    <row r="1998" spans="1:3" x14ac:dyDescent="0.3">
      <c r="A1998" s="42">
        <v>10000000012</v>
      </c>
      <c r="B1998" s="3" t="s">
        <v>1019</v>
      </c>
      <c r="C1998" s="4">
        <f t="shared" ca="1" si="18"/>
        <v>45849</v>
      </c>
    </row>
    <row r="1999" spans="1:3" x14ac:dyDescent="0.3">
      <c r="A1999" s="42">
        <v>10000000038</v>
      </c>
      <c r="B1999" s="3" t="s">
        <v>867</v>
      </c>
      <c r="C1999" s="4">
        <f t="shared" ca="1" si="18"/>
        <v>45849</v>
      </c>
    </row>
    <row r="2000" spans="1:3" x14ac:dyDescent="0.3">
      <c r="A2000" s="42">
        <v>10000000364</v>
      </c>
      <c r="B2000" s="3" t="s">
        <v>869</v>
      </c>
      <c r="C2000" s="4">
        <f t="shared" ca="1" si="18"/>
        <v>45849</v>
      </c>
    </row>
    <row r="2001" spans="1:3" x14ac:dyDescent="0.3">
      <c r="A2001" s="42">
        <v>10000000253</v>
      </c>
      <c r="B2001" s="3" t="s">
        <v>822</v>
      </c>
      <c r="C2001" s="4">
        <f t="shared" ca="1" si="18"/>
        <v>45849</v>
      </c>
    </row>
    <row r="2002" spans="1:3" x14ac:dyDescent="0.3">
      <c r="A2002" s="42">
        <v>10000000398</v>
      </c>
      <c r="B2002" s="3" t="s">
        <v>939</v>
      </c>
      <c r="C2002" s="4">
        <f t="shared" ca="1" si="18"/>
        <v>45849</v>
      </c>
    </row>
    <row r="2003" spans="1:3" x14ac:dyDescent="0.3">
      <c r="A2003" s="42">
        <v>10000000158</v>
      </c>
      <c r="B2003" s="3" t="s">
        <v>994</v>
      </c>
      <c r="C2003" s="4">
        <f t="shared" ca="1" si="18"/>
        <v>45849</v>
      </c>
    </row>
    <row r="2004" spans="1:3" x14ac:dyDescent="0.3">
      <c r="A2004" s="42">
        <v>10000000230</v>
      </c>
      <c r="B2004" s="3" t="s">
        <v>990</v>
      </c>
      <c r="C2004" s="4">
        <f t="shared" ca="1" si="18"/>
        <v>45849</v>
      </c>
    </row>
    <row r="2005" spans="1:3" x14ac:dyDescent="0.3">
      <c r="A2005" s="42">
        <v>10000000172</v>
      </c>
      <c r="B2005" s="3" t="s">
        <v>889</v>
      </c>
      <c r="C2005" s="4">
        <f t="shared" ca="1" si="18"/>
        <v>45849</v>
      </c>
    </row>
    <row r="2006" spans="1:3" x14ac:dyDescent="0.3">
      <c r="A2006" s="42">
        <v>10000000218</v>
      </c>
      <c r="B2006" s="3" t="s">
        <v>833</v>
      </c>
      <c r="C2006" s="4">
        <f t="shared" ca="1" si="18"/>
        <v>45849</v>
      </c>
    </row>
    <row r="2007" spans="1:3" x14ac:dyDescent="0.3">
      <c r="A2007" s="42">
        <v>10000000042</v>
      </c>
      <c r="B2007" s="3" t="s">
        <v>849</v>
      </c>
      <c r="C2007" s="4">
        <f t="shared" ca="1" si="18"/>
        <v>45849</v>
      </c>
    </row>
    <row r="2008" spans="1:3" x14ac:dyDescent="0.3">
      <c r="A2008" s="42">
        <v>10000000548</v>
      </c>
      <c r="B2008" s="3" t="s">
        <v>829</v>
      </c>
      <c r="C2008" s="4">
        <f t="shared" ca="1" si="18"/>
        <v>45849</v>
      </c>
    </row>
    <row r="2009" spans="1:3" x14ac:dyDescent="0.3">
      <c r="A2009" s="42">
        <v>10000000387</v>
      </c>
      <c r="B2009" s="3" t="s">
        <v>905</v>
      </c>
      <c r="C2009" s="4">
        <f t="shared" ca="1" si="18"/>
        <v>45849</v>
      </c>
    </row>
    <row r="2010" spans="1:3" x14ac:dyDescent="0.3">
      <c r="A2010" s="42">
        <v>10000000230</v>
      </c>
      <c r="B2010" s="3" t="s">
        <v>990</v>
      </c>
      <c r="C2010" s="4">
        <f t="shared" ca="1" si="18"/>
        <v>45849</v>
      </c>
    </row>
    <row r="2011" spans="1:3" x14ac:dyDescent="0.3">
      <c r="A2011" s="42">
        <v>10000000626</v>
      </c>
      <c r="B2011" s="3" t="s">
        <v>880</v>
      </c>
      <c r="C2011" s="4">
        <f t="shared" ca="1" si="18"/>
        <v>45849</v>
      </c>
    </row>
    <row r="2012" spans="1:3" x14ac:dyDescent="0.3">
      <c r="A2012" s="42">
        <v>10000000155</v>
      </c>
      <c r="B2012" s="3" t="s">
        <v>983</v>
      </c>
      <c r="C2012" s="4">
        <f t="shared" ca="1" si="18"/>
        <v>45849</v>
      </c>
    </row>
    <row r="2013" spans="1:3" x14ac:dyDescent="0.3">
      <c r="A2013" s="42">
        <v>10000000376</v>
      </c>
      <c r="B2013" s="3" t="s">
        <v>978</v>
      </c>
      <c r="C2013" s="4">
        <f t="shared" ca="1" si="18"/>
        <v>45849</v>
      </c>
    </row>
    <row r="2014" spans="1:3" x14ac:dyDescent="0.3">
      <c r="A2014" s="42">
        <v>10000000206</v>
      </c>
      <c r="B2014" s="3" t="s">
        <v>953</v>
      </c>
      <c r="C2014" s="4">
        <f t="shared" ca="1" si="18"/>
        <v>45849</v>
      </c>
    </row>
    <row r="2015" spans="1:3" x14ac:dyDescent="0.3">
      <c r="A2015" s="42">
        <v>10000000531</v>
      </c>
      <c r="B2015" s="3" t="s">
        <v>945</v>
      </c>
      <c r="C2015" s="4">
        <f t="shared" ca="1" si="18"/>
        <v>45849</v>
      </c>
    </row>
    <row r="2016" spans="1:3" x14ac:dyDescent="0.3">
      <c r="A2016" s="42">
        <v>10000000457</v>
      </c>
      <c r="B2016" s="3" t="s">
        <v>966</v>
      </c>
      <c r="C2016" s="4">
        <f t="shared" ca="1" si="18"/>
        <v>45849</v>
      </c>
    </row>
    <row r="2017" spans="1:3" x14ac:dyDescent="0.3">
      <c r="A2017" s="42">
        <v>10000000468</v>
      </c>
      <c r="B2017" s="3" t="s">
        <v>916</v>
      </c>
      <c r="C2017" s="4">
        <f t="shared" ca="1" si="18"/>
        <v>45849</v>
      </c>
    </row>
    <row r="2018" spans="1:3" x14ac:dyDescent="0.3">
      <c r="A2018" s="42">
        <v>10000000262</v>
      </c>
      <c r="B2018" s="3" t="s">
        <v>863</v>
      </c>
      <c r="C2018" s="4">
        <f t="shared" ca="1" si="18"/>
        <v>45849</v>
      </c>
    </row>
    <row r="2019" spans="1:3" x14ac:dyDescent="0.3">
      <c r="A2019" s="42">
        <v>10000000169</v>
      </c>
      <c r="B2019" s="3" t="s">
        <v>946</v>
      </c>
      <c r="C2019" s="4">
        <f t="shared" ca="1" si="18"/>
        <v>45849</v>
      </c>
    </row>
    <row r="2020" spans="1:3" x14ac:dyDescent="0.3">
      <c r="A2020" s="42">
        <v>10000000347</v>
      </c>
      <c r="B2020" s="3" t="s">
        <v>982</v>
      </c>
      <c r="C2020" s="4">
        <f t="shared" ca="1" si="18"/>
        <v>45849</v>
      </c>
    </row>
    <row r="2021" spans="1:3" x14ac:dyDescent="0.3">
      <c r="A2021" s="42">
        <v>10000000410</v>
      </c>
      <c r="B2021" s="3" t="s">
        <v>920</v>
      </c>
      <c r="C2021" s="4">
        <f t="shared" ca="1" si="18"/>
        <v>45849</v>
      </c>
    </row>
    <row r="2022" spans="1:3" x14ac:dyDescent="0.3">
      <c r="A2022" s="42">
        <v>10000000362</v>
      </c>
      <c r="B2022" s="3" t="s">
        <v>926</v>
      </c>
      <c r="C2022" s="4">
        <f t="shared" ca="1" si="18"/>
        <v>45849</v>
      </c>
    </row>
    <row r="2023" spans="1:3" x14ac:dyDescent="0.3">
      <c r="A2023" s="42">
        <v>10000000417</v>
      </c>
      <c r="B2023" s="3" t="s">
        <v>832</v>
      </c>
      <c r="C2023" s="4">
        <f t="shared" ca="1" si="18"/>
        <v>45849</v>
      </c>
    </row>
    <row r="2024" spans="1:3" x14ac:dyDescent="0.3">
      <c r="A2024" s="42">
        <v>10000000353</v>
      </c>
      <c r="B2024" s="3" t="s">
        <v>825</v>
      </c>
      <c r="C2024" s="4">
        <f t="shared" ca="1" si="18"/>
        <v>45849</v>
      </c>
    </row>
    <row r="2025" spans="1:3" x14ac:dyDescent="0.3">
      <c r="A2025" s="42">
        <v>10000000412</v>
      </c>
      <c r="B2025" s="3" t="s">
        <v>1019</v>
      </c>
      <c r="C2025" s="4">
        <f t="shared" ca="1" si="18"/>
        <v>45849</v>
      </c>
    </row>
    <row r="2026" spans="1:3" x14ac:dyDescent="0.3">
      <c r="A2026" s="42">
        <v>10000000524</v>
      </c>
      <c r="B2026" s="3" t="s">
        <v>897</v>
      </c>
      <c r="C2026" s="4">
        <f t="shared" ca="1" si="18"/>
        <v>45849</v>
      </c>
    </row>
    <row r="2027" spans="1:3" x14ac:dyDescent="0.3">
      <c r="A2027" s="42">
        <v>10000000089</v>
      </c>
      <c r="B2027" s="3" t="s">
        <v>827</v>
      </c>
      <c r="C2027" s="4">
        <f t="shared" ca="1" si="18"/>
        <v>45849</v>
      </c>
    </row>
    <row r="2028" spans="1:3" x14ac:dyDescent="0.3">
      <c r="A2028" s="42">
        <v>10000000481</v>
      </c>
      <c r="B2028" s="3" t="s">
        <v>964</v>
      </c>
      <c r="C2028" s="4">
        <f t="shared" ca="1" si="18"/>
        <v>45849</v>
      </c>
    </row>
    <row r="2029" spans="1:3" x14ac:dyDescent="0.3">
      <c r="A2029" s="42">
        <v>10000000226</v>
      </c>
      <c r="B2029" s="3" t="s">
        <v>880</v>
      </c>
      <c r="C2029" s="4">
        <f t="shared" ca="1" si="18"/>
        <v>45849</v>
      </c>
    </row>
    <row r="2030" spans="1:3" x14ac:dyDescent="0.3">
      <c r="A2030" s="42">
        <v>10000000237</v>
      </c>
      <c r="B2030" s="3" t="s">
        <v>885</v>
      </c>
      <c r="C2030" s="4">
        <f t="shared" ca="1" si="18"/>
        <v>45849</v>
      </c>
    </row>
    <row r="2031" spans="1:3" x14ac:dyDescent="0.3">
      <c r="A2031" s="42">
        <v>10000000325</v>
      </c>
      <c r="B2031" s="3" t="s">
        <v>823</v>
      </c>
      <c r="C2031" s="4">
        <f t="shared" ca="1" si="18"/>
        <v>45849</v>
      </c>
    </row>
    <row r="2032" spans="1:3" x14ac:dyDescent="0.3">
      <c r="A2032" s="42">
        <v>10000000381</v>
      </c>
      <c r="B2032" s="3" t="s">
        <v>831</v>
      </c>
      <c r="C2032" s="4">
        <f t="shared" ca="1" si="18"/>
        <v>45849</v>
      </c>
    </row>
    <row r="2033" spans="1:3" x14ac:dyDescent="0.3">
      <c r="A2033" s="42">
        <v>10000000646</v>
      </c>
      <c r="B2033" s="3" t="s">
        <v>930</v>
      </c>
      <c r="C2033" s="4">
        <f t="shared" ca="1" si="18"/>
        <v>45849</v>
      </c>
    </row>
    <row r="2034" spans="1:3" x14ac:dyDescent="0.3">
      <c r="A2034" s="42">
        <v>10000000235</v>
      </c>
      <c r="B2034" s="3" t="s">
        <v>886</v>
      </c>
      <c r="C2034" s="4">
        <f t="shared" ca="1" si="18"/>
        <v>45849</v>
      </c>
    </row>
    <row r="2035" spans="1:3" x14ac:dyDescent="0.3">
      <c r="A2035" s="42">
        <v>10000000024</v>
      </c>
      <c r="B2035" s="3" t="s">
        <v>891</v>
      </c>
      <c r="C2035" s="4">
        <f t="shared" ca="1" si="18"/>
        <v>45849</v>
      </c>
    </row>
    <row r="2036" spans="1:3" x14ac:dyDescent="0.3">
      <c r="A2036" s="42">
        <v>10000000671</v>
      </c>
      <c r="B2036" s="3" t="s">
        <v>882</v>
      </c>
      <c r="C2036" s="4">
        <f t="shared" ca="1" si="18"/>
        <v>45849</v>
      </c>
    </row>
    <row r="2037" spans="1:3" x14ac:dyDescent="0.3">
      <c r="A2037" s="42">
        <v>10000000384</v>
      </c>
      <c r="B2037" s="3" t="s">
        <v>830</v>
      </c>
      <c r="C2037" s="4">
        <f t="shared" ca="1" si="18"/>
        <v>45849</v>
      </c>
    </row>
    <row r="2038" spans="1:3" x14ac:dyDescent="0.3">
      <c r="A2038" s="42">
        <v>10000000109</v>
      </c>
      <c r="B2038" s="3" t="s">
        <v>839</v>
      </c>
      <c r="C2038" s="4">
        <f t="shared" ca="1" si="18"/>
        <v>45849</v>
      </c>
    </row>
    <row r="2039" spans="1:3" x14ac:dyDescent="0.3">
      <c r="A2039" s="42">
        <v>10000000172</v>
      </c>
      <c r="B2039" s="3" t="s">
        <v>889</v>
      </c>
      <c r="C2039" s="4">
        <f t="shared" ca="1" si="18"/>
        <v>45849</v>
      </c>
    </row>
    <row r="2040" spans="1:3" x14ac:dyDescent="0.3">
      <c r="A2040" s="42">
        <v>10000000497</v>
      </c>
      <c r="B2040" s="3" t="s">
        <v>892</v>
      </c>
      <c r="C2040" s="4">
        <f t="shared" ca="1" si="18"/>
        <v>45849</v>
      </c>
    </row>
    <row r="2041" spans="1:3" x14ac:dyDescent="0.3">
      <c r="A2041" s="42">
        <v>10000000593</v>
      </c>
      <c r="B2041" s="3" t="s">
        <v>1018</v>
      </c>
      <c r="C2041" s="4">
        <f t="shared" ca="1" si="18"/>
        <v>45849</v>
      </c>
    </row>
    <row r="2042" spans="1:3" x14ac:dyDescent="0.3">
      <c r="A2042" s="42">
        <v>10000000145</v>
      </c>
      <c r="B2042" s="3" t="s">
        <v>842</v>
      </c>
      <c r="C2042" s="4">
        <f t="shared" ca="1" si="18"/>
        <v>45849</v>
      </c>
    </row>
    <row r="2043" spans="1:3" x14ac:dyDescent="0.3">
      <c r="A2043" s="42">
        <v>10000000158</v>
      </c>
      <c r="B2043" s="3" t="s">
        <v>994</v>
      </c>
      <c r="C2043" s="4">
        <f t="shared" ca="1" si="18"/>
        <v>45849</v>
      </c>
    </row>
    <row r="2044" spans="1:3" x14ac:dyDescent="0.3">
      <c r="A2044" s="42">
        <v>10000000483</v>
      </c>
      <c r="B2044" s="3" t="s">
        <v>958</v>
      </c>
      <c r="C2044" s="4">
        <f t="shared" ca="1" si="18"/>
        <v>45849</v>
      </c>
    </row>
    <row r="2045" spans="1:3" x14ac:dyDescent="0.3">
      <c r="A2045" s="42">
        <v>10000000033</v>
      </c>
      <c r="B2045" s="3" t="s">
        <v>876</v>
      </c>
      <c r="C2045" s="4">
        <f t="shared" ca="1" si="18"/>
        <v>45849</v>
      </c>
    </row>
    <row r="2046" spans="1:3" x14ac:dyDescent="0.3">
      <c r="A2046" s="42">
        <v>10000000650</v>
      </c>
      <c r="B2046" s="3" t="s">
        <v>928</v>
      </c>
      <c r="C2046" s="4">
        <f t="shared" ca="1" si="18"/>
        <v>45849</v>
      </c>
    </row>
    <row r="2047" spans="1:3" x14ac:dyDescent="0.3">
      <c r="A2047" s="42">
        <v>10000000154</v>
      </c>
      <c r="B2047" s="3" t="s">
        <v>840</v>
      </c>
      <c r="C2047" s="4">
        <f t="shared" ca="1" si="18"/>
        <v>45849</v>
      </c>
    </row>
    <row r="2048" spans="1:3" x14ac:dyDescent="0.3">
      <c r="A2048" s="42">
        <v>10000000300</v>
      </c>
      <c r="B2048" s="3" t="s">
        <v>836</v>
      </c>
      <c r="C2048" s="4">
        <f t="shared" ca="1" si="18"/>
        <v>45849</v>
      </c>
    </row>
    <row r="2049" spans="1:3" x14ac:dyDescent="0.3">
      <c r="A2049" s="42">
        <v>10000000665</v>
      </c>
      <c r="B2049" s="3" t="s">
        <v>961</v>
      </c>
      <c r="C2049" s="4">
        <f t="shared" ca="1" si="18"/>
        <v>45849</v>
      </c>
    </row>
    <row r="2050" spans="1:3" x14ac:dyDescent="0.3">
      <c r="A2050" s="42">
        <v>10000000111</v>
      </c>
      <c r="B2050" s="3" t="s">
        <v>1017</v>
      </c>
      <c r="C2050" s="4">
        <f t="shared" ca="1" si="18"/>
        <v>45849</v>
      </c>
    </row>
    <row r="2051" spans="1:3" x14ac:dyDescent="0.3">
      <c r="A2051" s="42">
        <v>10000000237</v>
      </c>
      <c r="B2051" s="3" t="s">
        <v>885</v>
      </c>
      <c r="C2051" s="4">
        <f t="shared" ca="1" si="18"/>
        <v>45849</v>
      </c>
    </row>
    <row r="2052" spans="1:3" x14ac:dyDescent="0.3">
      <c r="A2052" s="42">
        <v>10000000399</v>
      </c>
      <c r="B2052" s="3" t="s">
        <v>936</v>
      </c>
      <c r="C2052" s="4">
        <f t="shared" ca="1" si="18"/>
        <v>45849</v>
      </c>
    </row>
    <row r="2053" spans="1:3" x14ac:dyDescent="0.3">
      <c r="A2053" s="42">
        <v>10000000647</v>
      </c>
      <c r="B2053" s="3" t="s">
        <v>967</v>
      </c>
      <c r="C2053" s="4">
        <f t="shared" ca="1" si="18"/>
        <v>45849</v>
      </c>
    </row>
    <row r="2054" spans="1:3" x14ac:dyDescent="0.3">
      <c r="A2054" s="42">
        <v>10000000672</v>
      </c>
      <c r="B2054" s="3" t="s">
        <v>972</v>
      </c>
      <c r="C2054" s="4">
        <f t="shared" ca="1" si="18"/>
        <v>45849</v>
      </c>
    </row>
    <row r="2055" spans="1:3" x14ac:dyDescent="0.3">
      <c r="A2055" s="42">
        <v>10000000443</v>
      </c>
      <c r="B2055" s="3" t="s">
        <v>944</v>
      </c>
      <c r="C2055" s="4">
        <f t="shared" ca="1" si="18"/>
        <v>45849</v>
      </c>
    </row>
    <row r="2056" spans="1:3" x14ac:dyDescent="0.3">
      <c r="A2056" s="42">
        <v>10000000066</v>
      </c>
      <c r="B2056" s="3" t="s">
        <v>895</v>
      </c>
      <c r="C2056" s="4">
        <f t="shared" ca="1" si="18"/>
        <v>45849</v>
      </c>
    </row>
    <row r="2057" spans="1:3" x14ac:dyDescent="0.3">
      <c r="A2057" s="42">
        <v>10000000484</v>
      </c>
      <c r="B2057" s="3" t="s">
        <v>970</v>
      </c>
      <c r="C2057" s="4">
        <f t="shared" ca="1" si="18"/>
        <v>45849</v>
      </c>
    </row>
    <row r="2058" spans="1:3" x14ac:dyDescent="0.3">
      <c r="A2058" s="42">
        <v>10000000608</v>
      </c>
      <c r="B2058" s="3" t="s">
        <v>933</v>
      </c>
      <c r="C2058" s="4">
        <f t="shared" ca="1" si="18"/>
        <v>45849</v>
      </c>
    </row>
    <row r="2059" spans="1:3" x14ac:dyDescent="0.3">
      <c r="A2059" s="42">
        <v>10000000636</v>
      </c>
      <c r="B2059" s="3" t="s">
        <v>873</v>
      </c>
      <c r="C2059" s="4">
        <f t="shared" ca="1" si="18"/>
        <v>45849</v>
      </c>
    </row>
    <row r="2060" spans="1:3" x14ac:dyDescent="0.3">
      <c r="A2060" s="42">
        <v>10000000446</v>
      </c>
      <c r="B2060" s="3" t="s">
        <v>930</v>
      </c>
      <c r="C2060" s="4">
        <f t="shared" ca="1" si="18"/>
        <v>45849</v>
      </c>
    </row>
    <row r="2061" spans="1:3" x14ac:dyDescent="0.3">
      <c r="A2061" s="42">
        <v>10000000118</v>
      </c>
      <c r="B2061" s="3" t="s">
        <v>1007</v>
      </c>
      <c r="C2061" s="4">
        <f t="shared" ca="1" si="18"/>
        <v>45849</v>
      </c>
    </row>
    <row r="2062" spans="1:3" x14ac:dyDescent="0.3">
      <c r="A2062" s="42">
        <v>10000000188</v>
      </c>
      <c r="B2062" s="3" t="s">
        <v>954</v>
      </c>
      <c r="C2062" s="4">
        <f t="shared" ca="1" si="18"/>
        <v>45849</v>
      </c>
    </row>
    <row r="2063" spans="1:3" x14ac:dyDescent="0.3">
      <c r="A2063" s="42">
        <v>10000000689</v>
      </c>
      <c r="B2063" s="3" t="s">
        <v>827</v>
      </c>
      <c r="C2063" s="4">
        <f t="shared" ca="1" si="18"/>
        <v>45849</v>
      </c>
    </row>
    <row r="2064" spans="1:3" x14ac:dyDescent="0.3">
      <c r="A2064" s="42">
        <v>10000000277</v>
      </c>
      <c r="B2064" s="3" t="s">
        <v>971</v>
      </c>
      <c r="C2064" s="4">
        <f t="shared" ca="1" si="18"/>
        <v>45849</v>
      </c>
    </row>
    <row r="2065" spans="1:3" x14ac:dyDescent="0.3">
      <c r="A2065" s="42">
        <v>10000000594</v>
      </c>
      <c r="B2065" s="3" t="s">
        <v>846</v>
      </c>
      <c r="C2065" s="4">
        <f t="shared" ca="1" si="18"/>
        <v>45849</v>
      </c>
    </row>
    <row r="2066" spans="1:3" x14ac:dyDescent="0.3">
      <c r="A2066" s="42">
        <v>10000000630</v>
      </c>
      <c r="B2066" s="3" t="s">
        <v>990</v>
      </c>
      <c r="C2066" s="4">
        <f t="shared" ca="1" si="18"/>
        <v>45849</v>
      </c>
    </row>
    <row r="2067" spans="1:3" x14ac:dyDescent="0.3">
      <c r="A2067" s="42">
        <v>10000000399</v>
      </c>
      <c r="B2067" s="3" t="s">
        <v>936</v>
      </c>
      <c r="C2067" s="4">
        <f t="shared" ca="1" si="18"/>
        <v>45849</v>
      </c>
    </row>
    <row r="2068" spans="1:3" x14ac:dyDescent="0.3">
      <c r="A2068" s="42">
        <v>10000000149</v>
      </c>
      <c r="B2068" s="3" t="s">
        <v>1012</v>
      </c>
      <c r="C2068" s="4">
        <f t="shared" ca="1" si="18"/>
        <v>45849</v>
      </c>
    </row>
    <row r="2069" spans="1:3" x14ac:dyDescent="0.3">
      <c r="A2069" s="42">
        <v>10000000324</v>
      </c>
      <c r="B2069" s="3" t="s">
        <v>897</v>
      </c>
      <c r="C2069" s="4">
        <f t="shared" ca="1" si="18"/>
        <v>45849</v>
      </c>
    </row>
    <row r="2070" spans="1:3" x14ac:dyDescent="0.3">
      <c r="A2070" s="42">
        <v>10000000286</v>
      </c>
      <c r="B2070" s="3" t="s">
        <v>875</v>
      </c>
      <c r="C2070" s="4">
        <f t="shared" ca="1" si="18"/>
        <v>45849</v>
      </c>
    </row>
    <row r="2071" spans="1:3" x14ac:dyDescent="0.3">
      <c r="A2071" s="42">
        <v>10000000298</v>
      </c>
      <c r="B2071" s="3" t="s">
        <v>1016</v>
      </c>
      <c r="C2071" s="4">
        <f t="shared" ca="1" si="18"/>
        <v>45849</v>
      </c>
    </row>
    <row r="2072" spans="1:3" x14ac:dyDescent="0.3">
      <c r="A2072" s="42">
        <v>10000000243</v>
      </c>
      <c r="B2072" s="3" t="s">
        <v>944</v>
      </c>
      <c r="C2072" s="4">
        <f t="shared" ca="1" si="18"/>
        <v>45849</v>
      </c>
    </row>
    <row r="2073" spans="1:3" x14ac:dyDescent="0.3">
      <c r="A2073" s="42">
        <v>10000000426</v>
      </c>
      <c r="B2073" s="3" t="s">
        <v>880</v>
      </c>
      <c r="C2073" s="4">
        <f t="shared" ca="1" si="18"/>
        <v>45849</v>
      </c>
    </row>
    <row r="2074" spans="1:3" x14ac:dyDescent="0.3">
      <c r="A2074" s="42">
        <v>10000000635</v>
      </c>
      <c r="B2074" s="3" t="s">
        <v>886</v>
      </c>
      <c r="C2074" s="4">
        <f t="shared" ca="1" si="18"/>
        <v>45849</v>
      </c>
    </row>
    <row r="2075" spans="1:3" x14ac:dyDescent="0.3">
      <c r="A2075" s="42">
        <v>10000000661</v>
      </c>
      <c r="B2075" s="3" t="s">
        <v>850</v>
      </c>
      <c r="C2075" s="4">
        <f t="shared" ca="1" si="18"/>
        <v>45849</v>
      </c>
    </row>
    <row r="2076" spans="1:3" x14ac:dyDescent="0.3">
      <c r="A2076" s="42">
        <v>10000000674</v>
      </c>
      <c r="B2076" s="3" t="s">
        <v>981</v>
      </c>
      <c r="C2076" s="4">
        <f t="shared" ca="1" si="18"/>
        <v>45849</v>
      </c>
    </row>
    <row r="2077" spans="1:3" x14ac:dyDescent="0.3">
      <c r="A2077" s="42">
        <v>10000000243</v>
      </c>
      <c r="B2077" s="3" t="s">
        <v>944</v>
      </c>
      <c r="C2077" s="4">
        <f t="shared" ca="1" si="18"/>
        <v>45849</v>
      </c>
    </row>
    <row r="2078" spans="1:3" x14ac:dyDescent="0.3">
      <c r="A2078" s="42">
        <v>10000000499</v>
      </c>
      <c r="B2078" s="3" t="s">
        <v>1011</v>
      </c>
      <c r="C2078" s="4">
        <f t="shared" ca="1" si="18"/>
        <v>45849</v>
      </c>
    </row>
    <row r="2079" spans="1:3" x14ac:dyDescent="0.3">
      <c r="A2079" s="42">
        <v>10000000288</v>
      </c>
      <c r="B2079" s="3" t="s">
        <v>986</v>
      </c>
      <c r="C2079" s="4">
        <f t="shared" ca="1" si="18"/>
        <v>45849</v>
      </c>
    </row>
    <row r="2080" spans="1:3" x14ac:dyDescent="0.3">
      <c r="A2080" s="42">
        <v>10000000497</v>
      </c>
      <c r="B2080" s="3" t="s">
        <v>892</v>
      </c>
      <c r="C2080" s="4">
        <f t="shared" ca="1" si="18"/>
        <v>45849</v>
      </c>
    </row>
    <row r="2081" spans="1:3" x14ac:dyDescent="0.3">
      <c r="A2081" s="42">
        <v>10000000528</v>
      </c>
      <c r="B2081" s="3" t="s">
        <v>999</v>
      </c>
      <c r="C2081" s="4">
        <f t="shared" ca="1" si="18"/>
        <v>45849</v>
      </c>
    </row>
    <row r="2082" spans="1:3" x14ac:dyDescent="0.3">
      <c r="A2082" s="42">
        <v>10000000216</v>
      </c>
      <c r="B2082" s="3" t="s">
        <v>874</v>
      </c>
      <c r="C2082" s="4">
        <f t="shared" ca="1" si="18"/>
        <v>45849</v>
      </c>
    </row>
    <row r="2083" spans="1:3" x14ac:dyDescent="0.3">
      <c r="A2083" s="42">
        <v>10000000367</v>
      </c>
      <c r="B2083" s="3" t="s">
        <v>984</v>
      </c>
      <c r="C2083" s="4">
        <f t="shared" ca="1" si="18"/>
        <v>45849</v>
      </c>
    </row>
    <row r="2084" spans="1:3" x14ac:dyDescent="0.3">
      <c r="A2084" s="42">
        <v>10000000410</v>
      </c>
      <c r="B2084" s="3" t="s">
        <v>920</v>
      </c>
      <c r="C2084" s="4">
        <f t="shared" ca="1" si="18"/>
        <v>45849</v>
      </c>
    </row>
    <row r="2085" spans="1:3" x14ac:dyDescent="0.3">
      <c r="A2085" s="42">
        <v>10000000128</v>
      </c>
      <c r="B2085" s="3" t="s">
        <v>999</v>
      </c>
      <c r="C2085" s="4">
        <f t="shared" ca="1" si="18"/>
        <v>45849</v>
      </c>
    </row>
    <row r="2086" spans="1:3" x14ac:dyDescent="0.3">
      <c r="A2086" s="42">
        <v>10000000178</v>
      </c>
      <c r="B2086" s="3" t="s">
        <v>890</v>
      </c>
      <c r="C2086" s="4">
        <f t="shared" ca="1" si="18"/>
        <v>45849</v>
      </c>
    </row>
    <row r="2087" spans="1:3" x14ac:dyDescent="0.3">
      <c r="A2087" s="42">
        <v>10000000131</v>
      </c>
      <c r="B2087" s="3" t="s">
        <v>945</v>
      </c>
      <c r="C2087" s="4">
        <f t="shared" ca="1" si="18"/>
        <v>45849</v>
      </c>
    </row>
    <row r="2088" spans="1:3" x14ac:dyDescent="0.3">
      <c r="A2088" s="42">
        <v>10000000334</v>
      </c>
      <c r="B2088" s="3" t="s">
        <v>821</v>
      </c>
      <c r="C2088" s="4">
        <f t="shared" ca="1" si="18"/>
        <v>45849</v>
      </c>
    </row>
    <row r="2089" spans="1:3" x14ac:dyDescent="0.3">
      <c r="A2089" s="42">
        <v>10000000493</v>
      </c>
      <c r="B2089" s="3" t="s">
        <v>969</v>
      </c>
      <c r="C2089" s="4">
        <f t="shared" ca="1" si="18"/>
        <v>45849</v>
      </c>
    </row>
    <row r="2090" spans="1:3" x14ac:dyDescent="0.3">
      <c r="A2090" s="42">
        <v>10000000561</v>
      </c>
      <c r="B2090" s="3" t="s">
        <v>977</v>
      </c>
      <c r="C2090" s="4">
        <f t="shared" ca="1" si="18"/>
        <v>45849</v>
      </c>
    </row>
    <row r="2091" spans="1:3" x14ac:dyDescent="0.3">
      <c r="A2091" s="42">
        <v>10000000560</v>
      </c>
      <c r="B2091" s="3" t="s">
        <v>1009</v>
      </c>
      <c r="C2091" s="4">
        <f t="shared" ca="1" si="18"/>
        <v>45849</v>
      </c>
    </row>
    <row r="2092" spans="1:3" x14ac:dyDescent="0.3">
      <c r="A2092" s="42">
        <v>10000000035</v>
      </c>
      <c r="B2092" s="3" t="s">
        <v>886</v>
      </c>
      <c r="C2092" s="4">
        <f t="shared" ca="1" si="18"/>
        <v>45849</v>
      </c>
    </row>
    <row r="2093" spans="1:3" x14ac:dyDescent="0.3">
      <c r="A2093" s="42">
        <v>10000000304</v>
      </c>
      <c r="B2093" s="3" t="s">
        <v>1010</v>
      </c>
      <c r="C2093" s="4">
        <f t="shared" ca="1" si="18"/>
        <v>45849</v>
      </c>
    </row>
    <row r="2094" spans="1:3" x14ac:dyDescent="0.3">
      <c r="A2094" s="42">
        <v>10000000416</v>
      </c>
      <c r="B2094" s="3" t="s">
        <v>874</v>
      </c>
      <c r="C2094" s="4">
        <f t="shared" ca="1" si="18"/>
        <v>45849</v>
      </c>
    </row>
    <row r="2095" spans="1:3" x14ac:dyDescent="0.3">
      <c r="A2095" s="42">
        <v>10000000554</v>
      </c>
      <c r="B2095" s="3" t="s">
        <v>840</v>
      </c>
      <c r="C2095" s="4">
        <f t="shared" ca="1" si="18"/>
        <v>45849</v>
      </c>
    </row>
    <row r="2096" spans="1:3" x14ac:dyDescent="0.3">
      <c r="A2096" s="42">
        <v>10000000018</v>
      </c>
      <c r="B2096" s="3" t="s">
        <v>833</v>
      </c>
      <c r="C2096" s="4">
        <f t="shared" ca="1" si="18"/>
        <v>45849</v>
      </c>
    </row>
    <row r="2097" spans="1:3" x14ac:dyDescent="0.3">
      <c r="A2097" s="42">
        <v>10000000425</v>
      </c>
      <c r="B2097" s="3" t="s">
        <v>872</v>
      </c>
      <c r="C2097" s="4">
        <f t="shared" ca="1" si="18"/>
        <v>45849</v>
      </c>
    </row>
    <row r="2098" spans="1:3" x14ac:dyDescent="0.3">
      <c r="A2098" s="42">
        <v>10000000692</v>
      </c>
      <c r="B2098" s="3" t="s">
        <v>865</v>
      </c>
      <c r="C2098" s="4">
        <f t="shared" ca="1" si="18"/>
        <v>45849</v>
      </c>
    </row>
    <row r="2099" spans="1:3" x14ac:dyDescent="0.3">
      <c r="A2099" s="42">
        <v>10000000061</v>
      </c>
      <c r="B2099" s="3" t="s">
        <v>850</v>
      </c>
      <c r="C2099" s="4">
        <f t="shared" ca="1" si="18"/>
        <v>45849</v>
      </c>
    </row>
    <row r="2100" spans="1:3" x14ac:dyDescent="0.3">
      <c r="A2100" s="42">
        <v>10000000139</v>
      </c>
      <c r="B2100" s="3" t="s">
        <v>995</v>
      </c>
      <c r="C2100" s="4">
        <f t="shared" ca="1" si="18"/>
        <v>45849</v>
      </c>
    </row>
    <row r="2101" spans="1:3" x14ac:dyDescent="0.3">
      <c r="A2101" s="42">
        <v>10000000184</v>
      </c>
      <c r="B2101" s="3" t="s">
        <v>830</v>
      </c>
      <c r="C2101" s="4">
        <f t="shared" ca="1" si="18"/>
        <v>45849</v>
      </c>
    </row>
    <row r="2102" spans="1:3" x14ac:dyDescent="0.3">
      <c r="A2102" s="42">
        <v>10000000341</v>
      </c>
      <c r="B2102" s="3" t="s">
        <v>859</v>
      </c>
      <c r="C2102" s="4">
        <f t="shared" ref="C2102:C2236" ca="1" si="19">TODAY()-157</f>
        <v>45880</v>
      </c>
    </row>
    <row r="2103" spans="1:3" x14ac:dyDescent="0.3">
      <c r="A2103" s="42">
        <v>10000000414</v>
      </c>
      <c r="B2103" s="3" t="s">
        <v>857</v>
      </c>
      <c r="C2103" s="4">
        <f t="shared" ca="1" si="19"/>
        <v>45880</v>
      </c>
    </row>
    <row r="2104" spans="1:3" x14ac:dyDescent="0.3">
      <c r="A2104" s="42">
        <v>10000000585</v>
      </c>
      <c r="B2104" s="3" t="s">
        <v>989</v>
      </c>
      <c r="C2104" s="4">
        <f t="shared" ca="1" si="19"/>
        <v>45880</v>
      </c>
    </row>
    <row r="2105" spans="1:3" x14ac:dyDescent="0.3">
      <c r="A2105" s="42">
        <v>10000000536</v>
      </c>
      <c r="B2105" s="3" t="s">
        <v>965</v>
      </c>
      <c r="C2105" s="4">
        <f t="shared" ca="1" si="19"/>
        <v>45880</v>
      </c>
    </row>
    <row r="2106" spans="1:3" x14ac:dyDescent="0.3">
      <c r="A2106" s="42">
        <v>10000000021</v>
      </c>
      <c r="B2106" s="3" t="s">
        <v>917</v>
      </c>
      <c r="C2106" s="4">
        <f t="shared" ca="1" si="19"/>
        <v>45880</v>
      </c>
    </row>
    <row r="2107" spans="1:3" x14ac:dyDescent="0.3">
      <c r="A2107" s="42">
        <v>10000000059</v>
      </c>
      <c r="B2107" s="3" t="s">
        <v>956</v>
      </c>
      <c r="C2107" s="4">
        <f t="shared" ca="1" si="19"/>
        <v>45880</v>
      </c>
    </row>
    <row r="2108" spans="1:3" x14ac:dyDescent="0.3">
      <c r="A2108" s="42">
        <v>10000000335</v>
      </c>
      <c r="B2108" s="3" t="s">
        <v>1006</v>
      </c>
      <c r="C2108" s="4">
        <f t="shared" ca="1" si="19"/>
        <v>45880</v>
      </c>
    </row>
    <row r="2109" spans="1:3" x14ac:dyDescent="0.3">
      <c r="A2109" s="42">
        <v>10000000401</v>
      </c>
      <c r="B2109" s="3" t="s">
        <v>1015</v>
      </c>
      <c r="C2109" s="4">
        <f t="shared" ca="1" si="19"/>
        <v>45880</v>
      </c>
    </row>
    <row r="2110" spans="1:3" x14ac:dyDescent="0.3">
      <c r="A2110" s="42">
        <v>10000000356</v>
      </c>
      <c r="B2110" s="3" t="s">
        <v>912</v>
      </c>
      <c r="C2110" s="4">
        <f t="shared" ca="1" si="19"/>
        <v>45880</v>
      </c>
    </row>
    <row r="2111" spans="1:3" x14ac:dyDescent="0.3">
      <c r="A2111" s="42">
        <v>10000000581</v>
      </c>
      <c r="B2111" s="3" t="s">
        <v>831</v>
      </c>
      <c r="C2111" s="4">
        <f t="shared" ca="1" si="19"/>
        <v>45880</v>
      </c>
    </row>
    <row r="2112" spans="1:3" x14ac:dyDescent="0.3">
      <c r="A2112" s="42">
        <v>10000000671</v>
      </c>
      <c r="B2112" s="3" t="s">
        <v>882</v>
      </c>
      <c r="C2112" s="4">
        <f t="shared" ca="1" si="19"/>
        <v>45880</v>
      </c>
    </row>
    <row r="2113" spans="1:3" x14ac:dyDescent="0.3">
      <c r="A2113" s="42">
        <v>10000000206</v>
      </c>
      <c r="B2113" s="3" t="s">
        <v>953</v>
      </c>
      <c r="C2113" s="4">
        <f t="shared" ca="1" si="19"/>
        <v>45880</v>
      </c>
    </row>
    <row r="2114" spans="1:3" x14ac:dyDescent="0.3">
      <c r="A2114" s="42">
        <v>10000000007</v>
      </c>
      <c r="B2114" s="3" t="s">
        <v>902</v>
      </c>
      <c r="C2114" s="4">
        <f t="shared" ca="1" si="19"/>
        <v>45880</v>
      </c>
    </row>
    <row r="2115" spans="1:3" x14ac:dyDescent="0.3">
      <c r="A2115" s="42">
        <v>10000000264</v>
      </c>
      <c r="B2115" s="3" t="s">
        <v>858</v>
      </c>
      <c r="C2115" s="4">
        <f t="shared" ca="1" si="19"/>
        <v>45880</v>
      </c>
    </row>
    <row r="2116" spans="1:3" x14ac:dyDescent="0.3">
      <c r="A2116" s="42">
        <v>10000000342</v>
      </c>
      <c r="B2116" s="3" t="s">
        <v>929</v>
      </c>
      <c r="C2116" s="4">
        <f t="shared" ca="1" si="19"/>
        <v>45880</v>
      </c>
    </row>
    <row r="2117" spans="1:3" x14ac:dyDescent="0.3">
      <c r="A2117" s="42">
        <v>10000000007</v>
      </c>
      <c r="B2117" s="3" t="s">
        <v>902</v>
      </c>
      <c r="C2117" s="4">
        <f t="shared" ca="1" si="19"/>
        <v>45880</v>
      </c>
    </row>
    <row r="2118" spans="1:3" x14ac:dyDescent="0.3">
      <c r="A2118" s="42">
        <v>10000000117</v>
      </c>
      <c r="B2118" s="3" t="s">
        <v>918</v>
      </c>
      <c r="C2118" s="4">
        <f t="shared" ca="1" si="19"/>
        <v>45880</v>
      </c>
    </row>
    <row r="2119" spans="1:3" x14ac:dyDescent="0.3">
      <c r="A2119" s="42">
        <v>10000000210</v>
      </c>
      <c r="B2119" s="3" t="s">
        <v>920</v>
      </c>
      <c r="C2119" s="4">
        <f t="shared" ca="1" si="19"/>
        <v>45880</v>
      </c>
    </row>
    <row r="2120" spans="1:3" x14ac:dyDescent="0.3">
      <c r="A2120" s="42">
        <v>10000000522</v>
      </c>
      <c r="B2120" s="3" t="s">
        <v>824</v>
      </c>
      <c r="C2120" s="4">
        <f t="shared" ca="1" si="19"/>
        <v>45880</v>
      </c>
    </row>
    <row r="2121" spans="1:3" x14ac:dyDescent="0.3">
      <c r="A2121" s="42">
        <v>10000000589</v>
      </c>
      <c r="B2121" s="3" t="s">
        <v>841</v>
      </c>
      <c r="C2121" s="4">
        <f t="shared" ca="1" si="19"/>
        <v>45880</v>
      </c>
    </row>
    <row r="2122" spans="1:3" x14ac:dyDescent="0.3">
      <c r="A2122" s="42">
        <v>10000000570</v>
      </c>
      <c r="B2122" s="3" t="s">
        <v>937</v>
      </c>
      <c r="C2122" s="4">
        <f t="shared" ca="1" si="19"/>
        <v>45880</v>
      </c>
    </row>
    <row r="2123" spans="1:3" x14ac:dyDescent="0.3">
      <c r="A2123" s="42">
        <v>10000000496</v>
      </c>
      <c r="B2123" s="3" t="s">
        <v>879</v>
      </c>
      <c r="C2123" s="4">
        <f t="shared" ca="1" si="19"/>
        <v>45880</v>
      </c>
    </row>
    <row r="2124" spans="1:3" x14ac:dyDescent="0.3">
      <c r="A2124" s="42">
        <v>10000000113</v>
      </c>
      <c r="B2124" s="3" t="s">
        <v>883</v>
      </c>
      <c r="C2124" s="4">
        <f t="shared" ca="1" si="19"/>
        <v>45880</v>
      </c>
    </row>
    <row r="2125" spans="1:3" x14ac:dyDescent="0.3">
      <c r="A2125" s="42">
        <v>10000000357</v>
      </c>
      <c r="B2125" s="3" t="s">
        <v>1002</v>
      </c>
      <c r="C2125" s="4">
        <f t="shared" ca="1" si="19"/>
        <v>45880</v>
      </c>
    </row>
    <row r="2126" spans="1:3" x14ac:dyDescent="0.3">
      <c r="A2126" s="42">
        <v>10000000227</v>
      </c>
      <c r="B2126" s="3" t="s">
        <v>828</v>
      </c>
      <c r="C2126" s="4">
        <f t="shared" ca="1" si="19"/>
        <v>45880</v>
      </c>
    </row>
    <row r="2127" spans="1:3" x14ac:dyDescent="0.3">
      <c r="A2127" s="42">
        <v>10000000592</v>
      </c>
      <c r="B2127" s="3" t="s">
        <v>934</v>
      </c>
      <c r="C2127" s="4">
        <f t="shared" ca="1" si="19"/>
        <v>45880</v>
      </c>
    </row>
    <row r="2128" spans="1:3" x14ac:dyDescent="0.3">
      <c r="A2128" s="42">
        <v>10000000301</v>
      </c>
      <c r="B2128" s="3" t="s">
        <v>949</v>
      </c>
      <c r="C2128" s="4">
        <f t="shared" ca="1" si="19"/>
        <v>45880</v>
      </c>
    </row>
    <row r="2129" spans="1:3" x14ac:dyDescent="0.3">
      <c r="A2129" s="42">
        <v>10000000217</v>
      </c>
      <c r="B2129" s="3" t="s">
        <v>832</v>
      </c>
      <c r="C2129" s="4">
        <f t="shared" ca="1" si="19"/>
        <v>45880</v>
      </c>
    </row>
    <row r="2130" spans="1:3" x14ac:dyDescent="0.3">
      <c r="A2130" s="42">
        <v>10000000371</v>
      </c>
      <c r="B2130" s="3" t="s">
        <v>932</v>
      </c>
      <c r="C2130" s="4">
        <f t="shared" ca="1" si="19"/>
        <v>45880</v>
      </c>
    </row>
    <row r="2131" spans="1:3" x14ac:dyDescent="0.3">
      <c r="A2131" s="42">
        <v>10000000523</v>
      </c>
      <c r="B2131" s="3" t="s">
        <v>988</v>
      </c>
      <c r="C2131" s="4">
        <f t="shared" ca="1" si="19"/>
        <v>45880</v>
      </c>
    </row>
    <row r="2132" spans="1:3" x14ac:dyDescent="0.3">
      <c r="A2132" s="42">
        <v>10000000332</v>
      </c>
      <c r="B2132" s="3" t="s">
        <v>974</v>
      </c>
      <c r="C2132" s="4">
        <f t="shared" ca="1" si="19"/>
        <v>45880</v>
      </c>
    </row>
    <row r="2133" spans="1:3" x14ac:dyDescent="0.3">
      <c r="A2133" s="42">
        <v>10000000355</v>
      </c>
      <c r="B2133" s="3" t="s">
        <v>983</v>
      </c>
      <c r="C2133" s="4">
        <f t="shared" ca="1" si="19"/>
        <v>45880</v>
      </c>
    </row>
    <row r="2134" spans="1:3" x14ac:dyDescent="0.3">
      <c r="A2134" s="42">
        <v>10000000483</v>
      </c>
      <c r="B2134" s="3" t="s">
        <v>958</v>
      </c>
      <c r="C2134" s="4">
        <f t="shared" ca="1" si="19"/>
        <v>45880</v>
      </c>
    </row>
    <row r="2135" spans="1:3" x14ac:dyDescent="0.3">
      <c r="A2135" s="42">
        <v>10000000404</v>
      </c>
      <c r="B2135" s="3" t="s">
        <v>925</v>
      </c>
      <c r="C2135" s="4">
        <f t="shared" ca="1" si="19"/>
        <v>45880</v>
      </c>
    </row>
    <row r="2136" spans="1:3" x14ac:dyDescent="0.3">
      <c r="A2136" s="42">
        <v>10000000486</v>
      </c>
      <c r="B2136" s="3" t="s">
        <v>875</v>
      </c>
      <c r="C2136" s="4">
        <f t="shared" ca="1" si="19"/>
        <v>45880</v>
      </c>
    </row>
    <row r="2137" spans="1:3" x14ac:dyDescent="0.3">
      <c r="A2137" s="42">
        <v>10000000604</v>
      </c>
      <c r="B2137" s="3" t="s">
        <v>925</v>
      </c>
      <c r="C2137" s="4">
        <f t="shared" ca="1" si="19"/>
        <v>45880</v>
      </c>
    </row>
    <row r="2138" spans="1:3" x14ac:dyDescent="0.3">
      <c r="A2138" s="42">
        <v>10000000066</v>
      </c>
      <c r="B2138" s="3" t="s">
        <v>895</v>
      </c>
      <c r="C2138" s="4">
        <f t="shared" ca="1" si="19"/>
        <v>45880</v>
      </c>
    </row>
    <row r="2139" spans="1:3" x14ac:dyDescent="0.3">
      <c r="A2139" s="42">
        <v>10000000195</v>
      </c>
      <c r="B2139" s="3" t="s">
        <v>894</v>
      </c>
      <c r="C2139" s="4">
        <f t="shared" ca="1" si="19"/>
        <v>45880</v>
      </c>
    </row>
    <row r="2140" spans="1:3" x14ac:dyDescent="0.3">
      <c r="A2140" s="42">
        <v>10000000526</v>
      </c>
      <c r="B2140" s="3" t="s">
        <v>985</v>
      </c>
      <c r="C2140" s="4">
        <f t="shared" ca="1" si="19"/>
        <v>45880</v>
      </c>
    </row>
    <row r="2141" spans="1:3" x14ac:dyDescent="0.3">
      <c r="A2141" s="42">
        <v>10000000448</v>
      </c>
      <c r="B2141" s="3" t="s">
        <v>856</v>
      </c>
      <c r="C2141" s="4">
        <f t="shared" ca="1" si="19"/>
        <v>45880</v>
      </c>
    </row>
    <row r="2142" spans="1:3" x14ac:dyDescent="0.3">
      <c r="A2142" s="42">
        <v>10000000368</v>
      </c>
      <c r="B2142" s="3" t="s">
        <v>903</v>
      </c>
      <c r="C2142" s="4">
        <f t="shared" ca="1" si="19"/>
        <v>45880</v>
      </c>
    </row>
    <row r="2143" spans="1:3" x14ac:dyDescent="0.3">
      <c r="A2143" s="42">
        <v>10000000397</v>
      </c>
      <c r="B2143" s="3" t="s">
        <v>1001</v>
      </c>
      <c r="C2143" s="4">
        <f t="shared" ca="1" si="19"/>
        <v>45880</v>
      </c>
    </row>
    <row r="2144" spans="1:3" x14ac:dyDescent="0.3">
      <c r="A2144" s="42">
        <v>10000000173</v>
      </c>
      <c r="B2144" s="3" t="s">
        <v>924</v>
      </c>
      <c r="C2144" s="4">
        <f t="shared" ca="1" si="19"/>
        <v>45880</v>
      </c>
    </row>
    <row r="2145" spans="1:3" x14ac:dyDescent="0.3">
      <c r="A2145" s="42">
        <v>10000000223</v>
      </c>
      <c r="B2145" s="3" t="s">
        <v>838</v>
      </c>
      <c r="C2145" s="4">
        <f t="shared" ca="1" si="19"/>
        <v>45880</v>
      </c>
    </row>
    <row r="2146" spans="1:3" x14ac:dyDescent="0.3">
      <c r="A2146" s="42">
        <v>10000000348</v>
      </c>
      <c r="B2146" s="3" t="s">
        <v>829</v>
      </c>
      <c r="C2146" s="4">
        <f t="shared" ca="1" si="19"/>
        <v>45880</v>
      </c>
    </row>
    <row r="2147" spans="1:3" x14ac:dyDescent="0.3">
      <c r="A2147" s="42">
        <v>10000000268</v>
      </c>
      <c r="B2147" s="3" t="s">
        <v>916</v>
      </c>
      <c r="C2147" s="4">
        <f t="shared" ca="1" si="19"/>
        <v>45880</v>
      </c>
    </row>
    <row r="2148" spans="1:3" x14ac:dyDescent="0.3">
      <c r="A2148" s="42">
        <v>10000000196</v>
      </c>
      <c r="B2148" s="3" t="s">
        <v>881</v>
      </c>
      <c r="C2148" s="4">
        <f t="shared" ca="1" si="19"/>
        <v>45880</v>
      </c>
    </row>
    <row r="2149" spans="1:3" x14ac:dyDescent="0.3">
      <c r="A2149" s="42">
        <v>10000000257</v>
      </c>
      <c r="B2149" s="3" t="s">
        <v>966</v>
      </c>
      <c r="C2149" s="4">
        <f t="shared" ca="1" si="19"/>
        <v>45880</v>
      </c>
    </row>
    <row r="2150" spans="1:3" x14ac:dyDescent="0.3">
      <c r="A2150" s="42">
        <v>10000000638</v>
      </c>
      <c r="B2150" s="3" t="s">
        <v>867</v>
      </c>
      <c r="C2150" s="4">
        <f t="shared" ca="1" si="19"/>
        <v>45880</v>
      </c>
    </row>
    <row r="2151" spans="1:3" x14ac:dyDescent="0.3">
      <c r="A2151" s="42">
        <v>10000000531</v>
      </c>
      <c r="B2151" s="3" t="s">
        <v>945</v>
      </c>
      <c r="C2151" s="4">
        <f t="shared" ca="1" si="19"/>
        <v>45880</v>
      </c>
    </row>
    <row r="2152" spans="1:3" x14ac:dyDescent="0.3">
      <c r="A2152" s="42">
        <v>10000000132</v>
      </c>
      <c r="B2152" s="3" t="s">
        <v>974</v>
      </c>
      <c r="C2152" s="4">
        <f t="shared" ca="1" si="19"/>
        <v>45880</v>
      </c>
    </row>
    <row r="2153" spans="1:3" x14ac:dyDescent="0.3">
      <c r="A2153" s="42">
        <v>10000000394</v>
      </c>
      <c r="B2153" s="3" t="s">
        <v>846</v>
      </c>
      <c r="C2153" s="4">
        <f t="shared" ca="1" si="19"/>
        <v>45880</v>
      </c>
    </row>
    <row r="2154" spans="1:3" x14ac:dyDescent="0.3">
      <c r="A2154" s="42">
        <v>10000000410</v>
      </c>
      <c r="B2154" s="3" t="s">
        <v>920</v>
      </c>
      <c r="C2154" s="4">
        <f t="shared" ca="1" si="19"/>
        <v>45880</v>
      </c>
    </row>
    <row r="2155" spans="1:3" x14ac:dyDescent="0.3">
      <c r="A2155" s="42">
        <v>10000000533</v>
      </c>
      <c r="B2155" s="3" t="s">
        <v>963</v>
      </c>
      <c r="C2155" s="4">
        <f t="shared" ca="1" si="19"/>
        <v>45880</v>
      </c>
    </row>
    <row r="2156" spans="1:3" x14ac:dyDescent="0.3">
      <c r="A2156" s="42">
        <v>10000000070</v>
      </c>
      <c r="B2156" s="3" t="s">
        <v>834</v>
      </c>
      <c r="C2156" s="4">
        <f t="shared" ca="1" si="19"/>
        <v>45880</v>
      </c>
    </row>
    <row r="2157" spans="1:3" x14ac:dyDescent="0.3">
      <c r="A2157" s="42">
        <v>10000000368</v>
      </c>
      <c r="B2157" s="3" t="s">
        <v>903</v>
      </c>
      <c r="C2157" s="4">
        <f t="shared" ca="1" si="19"/>
        <v>45880</v>
      </c>
    </row>
    <row r="2158" spans="1:3" x14ac:dyDescent="0.3">
      <c r="A2158" s="42">
        <v>10000000255</v>
      </c>
      <c r="B2158" s="3" t="s">
        <v>888</v>
      </c>
      <c r="C2158" s="4">
        <f t="shared" ca="1" si="19"/>
        <v>45880</v>
      </c>
    </row>
    <row r="2159" spans="1:3" x14ac:dyDescent="0.3">
      <c r="A2159" s="42">
        <v>10000000574</v>
      </c>
      <c r="B2159" s="3" t="s">
        <v>845</v>
      </c>
      <c r="C2159" s="4">
        <f t="shared" ca="1" si="19"/>
        <v>45880</v>
      </c>
    </row>
    <row r="2160" spans="1:3" x14ac:dyDescent="0.3">
      <c r="A2160" s="42">
        <v>10000000093</v>
      </c>
      <c r="B2160" s="3" t="s">
        <v>969</v>
      </c>
      <c r="C2160" s="4">
        <f t="shared" ca="1" si="19"/>
        <v>45880</v>
      </c>
    </row>
    <row r="2161" spans="1:3" x14ac:dyDescent="0.3">
      <c r="A2161" s="42">
        <v>10000000129</v>
      </c>
      <c r="B2161" s="3" t="s">
        <v>909</v>
      </c>
      <c r="C2161" s="4">
        <f t="shared" ca="1" si="19"/>
        <v>45880</v>
      </c>
    </row>
    <row r="2162" spans="1:3" x14ac:dyDescent="0.3">
      <c r="A2162" s="42">
        <v>10000000183</v>
      </c>
      <c r="B2162" s="3" t="s">
        <v>942</v>
      </c>
      <c r="C2162" s="4">
        <f t="shared" ca="1" si="19"/>
        <v>45880</v>
      </c>
    </row>
    <row r="2163" spans="1:3" x14ac:dyDescent="0.3">
      <c r="A2163" s="42">
        <v>10000000186</v>
      </c>
      <c r="B2163" s="3" t="s">
        <v>980</v>
      </c>
      <c r="C2163" s="4">
        <f t="shared" ca="1" si="19"/>
        <v>45880</v>
      </c>
    </row>
    <row r="2164" spans="1:3" x14ac:dyDescent="0.3">
      <c r="A2164" s="42">
        <v>10000000283</v>
      </c>
      <c r="B2164" s="3" t="s">
        <v>958</v>
      </c>
      <c r="C2164" s="4">
        <f t="shared" ca="1" si="19"/>
        <v>45880</v>
      </c>
    </row>
    <row r="2165" spans="1:3" x14ac:dyDescent="0.3">
      <c r="A2165" s="42">
        <v>10000000428</v>
      </c>
      <c r="B2165" s="3" t="s">
        <v>960</v>
      </c>
      <c r="C2165" s="4">
        <f t="shared" ca="1" si="19"/>
        <v>45880</v>
      </c>
    </row>
    <row r="2166" spans="1:3" x14ac:dyDescent="0.3">
      <c r="A2166" s="42">
        <v>10000000043</v>
      </c>
      <c r="B2166" s="3" t="s">
        <v>944</v>
      </c>
      <c r="C2166" s="4">
        <f t="shared" ca="1" si="19"/>
        <v>45880</v>
      </c>
    </row>
    <row r="2167" spans="1:3" x14ac:dyDescent="0.3">
      <c r="A2167" s="42">
        <v>10000000656</v>
      </c>
      <c r="B2167" s="3" t="s">
        <v>940</v>
      </c>
      <c r="C2167" s="4">
        <f t="shared" ca="1" si="19"/>
        <v>45880</v>
      </c>
    </row>
    <row r="2168" spans="1:3" x14ac:dyDescent="0.3">
      <c r="A2168" s="42">
        <v>10000000363</v>
      </c>
      <c r="B2168" s="3" t="s">
        <v>877</v>
      </c>
      <c r="C2168" s="4">
        <f t="shared" ca="1" si="19"/>
        <v>45880</v>
      </c>
    </row>
    <row r="2169" spans="1:3" x14ac:dyDescent="0.3">
      <c r="A2169" s="42">
        <v>10000000379</v>
      </c>
      <c r="B2169" s="3" t="s">
        <v>907</v>
      </c>
      <c r="C2169" s="4">
        <f t="shared" ca="1" si="19"/>
        <v>45880</v>
      </c>
    </row>
    <row r="2170" spans="1:3" x14ac:dyDescent="0.3">
      <c r="A2170" s="42">
        <v>10000000383</v>
      </c>
      <c r="B2170" s="3" t="s">
        <v>942</v>
      </c>
      <c r="C2170" s="4">
        <f t="shared" ca="1" si="19"/>
        <v>45880</v>
      </c>
    </row>
    <row r="2171" spans="1:3" x14ac:dyDescent="0.3">
      <c r="A2171" s="42">
        <v>10000000398</v>
      </c>
      <c r="B2171" s="3" t="s">
        <v>939</v>
      </c>
      <c r="C2171" s="4">
        <f t="shared" ca="1" si="19"/>
        <v>45880</v>
      </c>
    </row>
    <row r="2172" spans="1:3" x14ac:dyDescent="0.3">
      <c r="A2172" s="42">
        <v>10000000573</v>
      </c>
      <c r="B2172" s="3" t="s">
        <v>924</v>
      </c>
      <c r="C2172" s="4">
        <f t="shared" ca="1" si="19"/>
        <v>45880</v>
      </c>
    </row>
    <row r="2173" spans="1:3" x14ac:dyDescent="0.3">
      <c r="A2173" s="42">
        <v>10000000259</v>
      </c>
      <c r="B2173" s="3" t="s">
        <v>956</v>
      </c>
      <c r="C2173" s="4">
        <f t="shared" ca="1" si="19"/>
        <v>45880</v>
      </c>
    </row>
    <row r="2174" spans="1:3" x14ac:dyDescent="0.3">
      <c r="A2174" s="42">
        <v>10000000307</v>
      </c>
      <c r="B2174" s="3" t="s">
        <v>906</v>
      </c>
      <c r="C2174" s="4">
        <f t="shared" ca="1" si="19"/>
        <v>45880</v>
      </c>
    </row>
    <row r="2175" spans="1:3" x14ac:dyDescent="0.3">
      <c r="A2175" s="42">
        <v>10000000464</v>
      </c>
      <c r="B2175" s="3" t="s">
        <v>858</v>
      </c>
      <c r="C2175" s="4">
        <f t="shared" ca="1" si="19"/>
        <v>45880</v>
      </c>
    </row>
    <row r="2176" spans="1:3" x14ac:dyDescent="0.3">
      <c r="A2176" s="42">
        <v>10000000016</v>
      </c>
      <c r="B2176" s="3" t="s">
        <v>874</v>
      </c>
      <c r="C2176" s="4">
        <f t="shared" ca="1" si="19"/>
        <v>45880</v>
      </c>
    </row>
    <row r="2177" spans="1:3" x14ac:dyDescent="0.3">
      <c r="A2177" s="42">
        <v>10000000098</v>
      </c>
      <c r="B2177" s="3" t="s">
        <v>1016</v>
      </c>
      <c r="C2177" s="4">
        <f t="shared" ca="1" si="19"/>
        <v>45880</v>
      </c>
    </row>
    <row r="2178" spans="1:3" x14ac:dyDescent="0.3">
      <c r="A2178" s="42">
        <v>10000000283</v>
      </c>
      <c r="B2178" s="3" t="s">
        <v>958</v>
      </c>
      <c r="C2178" s="4">
        <f t="shared" ca="1" si="19"/>
        <v>45880</v>
      </c>
    </row>
    <row r="2179" spans="1:3" x14ac:dyDescent="0.3">
      <c r="A2179" s="42">
        <v>10000000544</v>
      </c>
      <c r="B2179" s="3" t="s">
        <v>854</v>
      </c>
      <c r="C2179" s="4">
        <f t="shared" ca="1" si="19"/>
        <v>45880</v>
      </c>
    </row>
    <row r="2180" spans="1:3" x14ac:dyDescent="0.3">
      <c r="A2180" s="42">
        <v>10000000519</v>
      </c>
      <c r="B2180" s="3" t="s">
        <v>1003</v>
      </c>
      <c r="C2180" s="4">
        <f t="shared" ca="1" si="19"/>
        <v>45880</v>
      </c>
    </row>
    <row r="2181" spans="1:3" x14ac:dyDescent="0.3">
      <c r="A2181" s="42">
        <v>10000000558</v>
      </c>
      <c r="B2181" s="3" t="s">
        <v>994</v>
      </c>
      <c r="C2181" s="4">
        <f t="shared" ca="1" si="19"/>
        <v>45880</v>
      </c>
    </row>
    <row r="2182" spans="1:3" x14ac:dyDescent="0.3">
      <c r="A2182" s="42">
        <v>10000000608</v>
      </c>
      <c r="B2182" s="3" t="s">
        <v>933</v>
      </c>
      <c r="C2182" s="4">
        <f t="shared" ca="1" si="19"/>
        <v>45880</v>
      </c>
    </row>
    <row r="2183" spans="1:3" x14ac:dyDescent="0.3">
      <c r="A2183" s="42">
        <v>10000000037</v>
      </c>
      <c r="B2183" s="3" t="s">
        <v>885</v>
      </c>
      <c r="C2183" s="4">
        <f t="shared" ca="1" si="19"/>
        <v>45880</v>
      </c>
    </row>
    <row r="2184" spans="1:3" x14ac:dyDescent="0.3">
      <c r="A2184" s="42">
        <v>10000000435</v>
      </c>
      <c r="B2184" s="3" t="s">
        <v>886</v>
      </c>
      <c r="C2184" s="4">
        <f t="shared" ca="1" si="19"/>
        <v>45880</v>
      </c>
    </row>
    <row r="2185" spans="1:3" x14ac:dyDescent="0.3">
      <c r="A2185" s="42">
        <v>10000000039</v>
      </c>
      <c r="B2185" s="3" t="s">
        <v>852</v>
      </c>
      <c r="C2185" s="4">
        <f t="shared" ca="1" si="19"/>
        <v>45880</v>
      </c>
    </row>
    <row r="2186" spans="1:3" x14ac:dyDescent="0.3">
      <c r="A2186" s="42">
        <v>10000000543</v>
      </c>
      <c r="B2186" s="3" t="s">
        <v>1014</v>
      </c>
      <c r="C2186" s="4">
        <f t="shared" ca="1" si="19"/>
        <v>45880</v>
      </c>
    </row>
    <row r="2187" spans="1:3" x14ac:dyDescent="0.3">
      <c r="A2187" s="42">
        <v>10000000159</v>
      </c>
      <c r="B2187" s="3" t="s">
        <v>998</v>
      </c>
      <c r="C2187" s="4">
        <f t="shared" ca="1" si="19"/>
        <v>45880</v>
      </c>
    </row>
    <row r="2188" spans="1:3" x14ac:dyDescent="0.3">
      <c r="A2188" s="42">
        <v>10000000090</v>
      </c>
      <c r="B2188" s="3" t="s">
        <v>848</v>
      </c>
      <c r="C2188" s="4">
        <f t="shared" ca="1" si="19"/>
        <v>45880</v>
      </c>
    </row>
    <row r="2189" spans="1:3" x14ac:dyDescent="0.3">
      <c r="A2189" s="42">
        <v>10000000188</v>
      </c>
      <c r="B2189" s="3" t="s">
        <v>954</v>
      </c>
      <c r="C2189" s="4">
        <f t="shared" ca="1" si="19"/>
        <v>45880</v>
      </c>
    </row>
    <row r="2190" spans="1:3" x14ac:dyDescent="0.3">
      <c r="A2190" s="42">
        <v>10000000346</v>
      </c>
      <c r="B2190" s="3" t="s">
        <v>826</v>
      </c>
      <c r="C2190" s="4">
        <f t="shared" ca="1" si="19"/>
        <v>45880</v>
      </c>
    </row>
    <row r="2191" spans="1:3" x14ac:dyDescent="0.3">
      <c r="A2191" s="42">
        <v>10000000389</v>
      </c>
      <c r="B2191" s="3" t="s">
        <v>841</v>
      </c>
      <c r="C2191" s="4">
        <f t="shared" ca="1" si="19"/>
        <v>45880</v>
      </c>
    </row>
    <row r="2192" spans="1:3" x14ac:dyDescent="0.3">
      <c r="A2192" s="42">
        <v>10000000556</v>
      </c>
      <c r="B2192" s="3" t="s">
        <v>912</v>
      </c>
      <c r="C2192" s="4">
        <f t="shared" ca="1" si="19"/>
        <v>45880</v>
      </c>
    </row>
    <row r="2193" spans="1:3" x14ac:dyDescent="0.3">
      <c r="A2193" s="42">
        <v>10000000121</v>
      </c>
      <c r="B2193" s="3" t="s">
        <v>884</v>
      </c>
      <c r="C2193" s="4">
        <f t="shared" ca="1" si="19"/>
        <v>45880</v>
      </c>
    </row>
    <row r="2194" spans="1:3" x14ac:dyDescent="0.3">
      <c r="A2194" s="42">
        <v>10000000315</v>
      </c>
      <c r="B2194" s="3" t="s">
        <v>870</v>
      </c>
      <c r="C2194" s="4">
        <f t="shared" ca="1" si="19"/>
        <v>45880</v>
      </c>
    </row>
    <row r="2195" spans="1:3" x14ac:dyDescent="0.3">
      <c r="A2195" s="42">
        <v>10000000492</v>
      </c>
      <c r="B2195" s="3" t="s">
        <v>865</v>
      </c>
      <c r="C2195" s="4">
        <f t="shared" ca="1" si="19"/>
        <v>45880</v>
      </c>
    </row>
    <row r="2196" spans="1:3" x14ac:dyDescent="0.3">
      <c r="A2196" s="42">
        <v>10000000020</v>
      </c>
      <c r="B2196" s="3" t="s">
        <v>851</v>
      </c>
      <c r="C2196" s="4">
        <f t="shared" ca="1" si="19"/>
        <v>45880</v>
      </c>
    </row>
    <row r="2197" spans="1:3" x14ac:dyDescent="0.3">
      <c r="A2197" s="42">
        <v>10000000185</v>
      </c>
      <c r="B2197" s="3" t="s">
        <v>989</v>
      </c>
      <c r="C2197" s="4">
        <f t="shared" ca="1" si="19"/>
        <v>45880</v>
      </c>
    </row>
    <row r="2198" spans="1:3" x14ac:dyDescent="0.3">
      <c r="A2198" s="42">
        <v>10000000620</v>
      </c>
      <c r="B2198" s="3" t="s">
        <v>851</v>
      </c>
      <c r="C2198" s="4">
        <f t="shared" ca="1" si="19"/>
        <v>45880</v>
      </c>
    </row>
    <row r="2199" spans="1:3" x14ac:dyDescent="0.3">
      <c r="A2199" s="42">
        <v>10000000093</v>
      </c>
      <c r="B2199" s="3" t="s">
        <v>969</v>
      </c>
      <c r="C2199" s="4">
        <f t="shared" ca="1" si="19"/>
        <v>45880</v>
      </c>
    </row>
    <row r="2200" spans="1:3" x14ac:dyDescent="0.3">
      <c r="A2200" s="42">
        <v>10000000456</v>
      </c>
      <c r="B2200" s="3" t="s">
        <v>940</v>
      </c>
      <c r="C2200" s="4">
        <f t="shared" ca="1" si="19"/>
        <v>45880</v>
      </c>
    </row>
    <row r="2201" spans="1:3" x14ac:dyDescent="0.3">
      <c r="A2201" s="42">
        <v>10000000275</v>
      </c>
      <c r="B2201" s="3" t="s">
        <v>931</v>
      </c>
      <c r="C2201" s="4">
        <f t="shared" ca="1" si="19"/>
        <v>45880</v>
      </c>
    </row>
    <row r="2202" spans="1:3" x14ac:dyDescent="0.3">
      <c r="A2202" s="42">
        <v>10000000661</v>
      </c>
      <c r="B2202" s="3" t="s">
        <v>850</v>
      </c>
      <c r="C2202" s="4">
        <f t="shared" ca="1" si="19"/>
        <v>45880</v>
      </c>
    </row>
    <row r="2203" spans="1:3" x14ac:dyDescent="0.3">
      <c r="A2203" s="42">
        <v>10000000197</v>
      </c>
      <c r="B2203" s="3" t="s">
        <v>1001</v>
      </c>
      <c r="C2203" s="4">
        <f t="shared" ca="1" si="19"/>
        <v>45880</v>
      </c>
    </row>
    <row r="2204" spans="1:3" x14ac:dyDescent="0.3">
      <c r="A2204" s="42">
        <v>10000000509</v>
      </c>
      <c r="B2204" s="3" t="s">
        <v>839</v>
      </c>
      <c r="C2204" s="4">
        <f t="shared" ca="1" si="19"/>
        <v>45880</v>
      </c>
    </row>
    <row r="2205" spans="1:3" x14ac:dyDescent="0.3">
      <c r="A2205" s="42">
        <v>10000000355</v>
      </c>
      <c r="B2205" s="3" t="s">
        <v>983</v>
      </c>
      <c r="C2205" s="4">
        <f t="shared" ca="1" si="19"/>
        <v>45880</v>
      </c>
    </row>
    <row r="2206" spans="1:3" x14ac:dyDescent="0.3">
      <c r="A2206" s="42">
        <v>10000000020</v>
      </c>
      <c r="B2206" s="3" t="s">
        <v>851</v>
      </c>
      <c r="C2206" s="4">
        <f t="shared" ca="1" si="19"/>
        <v>45880</v>
      </c>
    </row>
    <row r="2207" spans="1:3" x14ac:dyDescent="0.3">
      <c r="A2207" s="42">
        <v>10000000056</v>
      </c>
      <c r="B2207" s="3" t="s">
        <v>940</v>
      </c>
      <c r="C2207" s="4">
        <f t="shared" ca="1" si="19"/>
        <v>45880</v>
      </c>
    </row>
    <row r="2208" spans="1:3" x14ac:dyDescent="0.3">
      <c r="A2208" s="42">
        <v>10000000409</v>
      </c>
      <c r="B2208" s="3" t="s">
        <v>919</v>
      </c>
      <c r="C2208" s="4">
        <f t="shared" ca="1" si="19"/>
        <v>45880</v>
      </c>
    </row>
    <row r="2209" spans="1:3" x14ac:dyDescent="0.3">
      <c r="A2209" s="42">
        <v>10000000510</v>
      </c>
      <c r="B2209" s="3" t="s">
        <v>887</v>
      </c>
      <c r="C2209" s="4">
        <f t="shared" ca="1" si="19"/>
        <v>45880</v>
      </c>
    </row>
    <row r="2210" spans="1:3" x14ac:dyDescent="0.3">
      <c r="A2210" s="42">
        <v>10000000520</v>
      </c>
      <c r="B2210" s="3" t="s">
        <v>979</v>
      </c>
      <c r="C2210" s="4">
        <f t="shared" ca="1" si="19"/>
        <v>45880</v>
      </c>
    </row>
    <row r="2211" spans="1:3" x14ac:dyDescent="0.3">
      <c r="A2211" s="42">
        <v>10000000117</v>
      </c>
      <c r="B2211" s="3" t="s">
        <v>918</v>
      </c>
      <c r="C2211" s="4">
        <f t="shared" ca="1" si="19"/>
        <v>45880</v>
      </c>
    </row>
    <row r="2212" spans="1:3" x14ac:dyDescent="0.3">
      <c r="A2212" s="42">
        <v>10000000641</v>
      </c>
      <c r="B2212" s="3" t="s">
        <v>1013</v>
      </c>
      <c r="C2212" s="4">
        <f t="shared" ca="1" si="19"/>
        <v>45880</v>
      </c>
    </row>
    <row r="2213" spans="1:3" x14ac:dyDescent="0.3">
      <c r="A2213" s="42">
        <v>10000000396</v>
      </c>
      <c r="B2213" s="3" t="s">
        <v>881</v>
      </c>
      <c r="C2213" s="4">
        <f t="shared" ca="1" si="19"/>
        <v>45880</v>
      </c>
    </row>
    <row r="2214" spans="1:3" x14ac:dyDescent="0.3">
      <c r="A2214" s="42">
        <v>10000000503</v>
      </c>
      <c r="B2214" s="3" t="s">
        <v>853</v>
      </c>
      <c r="C2214" s="4">
        <f t="shared" ca="1" si="19"/>
        <v>45880</v>
      </c>
    </row>
    <row r="2215" spans="1:3" x14ac:dyDescent="0.3">
      <c r="A2215" s="42">
        <v>10000000662</v>
      </c>
      <c r="B2215" s="3" t="s">
        <v>863</v>
      </c>
      <c r="C2215" s="4">
        <f t="shared" ca="1" si="19"/>
        <v>45880</v>
      </c>
    </row>
    <row r="2216" spans="1:3" x14ac:dyDescent="0.3">
      <c r="A2216" s="42">
        <v>10000000455</v>
      </c>
      <c r="B2216" s="3" t="s">
        <v>888</v>
      </c>
      <c r="C2216" s="4">
        <f t="shared" ca="1" si="19"/>
        <v>45880</v>
      </c>
    </row>
    <row r="2217" spans="1:3" x14ac:dyDescent="0.3">
      <c r="A2217" s="42">
        <v>10000000580</v>
      </c>
      <c r="B2217" s="3" t="s">
        <v>991</v>
      </c>
      <c r="C2217" s="4">
        <f t="shared" ca="1" si="19"/>
        <v>45880</v>
      </c>
    </row>
    <row r="2218" spans="1:3" x14ac:dyDescent="0.3">
      <c r="A2218" s="42">
        <v>10000000462</v>
      </c>
      <c r="B2218" s="3" t="s">
        <v>863</v>
      </c>
      <c r="C2218" s="4">
        <f t="shared" ca="1" si="19"/>
        <v>45880</v>
      </c>
    </row>
    <row r="2219" spans="1:3" x14ac:dyDescent="0.3">
      <c r="A2219" s="42">
        <v>10000000614</v>
      </c>
      <c r="B2219" s="3" t="s">
        <v>857</v>
      </c>
      <c r="C2219" s="4">
        <f t="shared" ca="1" si="19"/>
        <v>45880</v>
      </c>
    </row>
    <row r="2220" spans="1:3" x14ac:dyDescent="0.3">
      <c r="A2220" s="42">
        <v>10000000193</v>
      </c>
      <c r="B2220" s="3" t="s">
        <v>1018</v>
      </c>
      <c r="C2220" s="4">
        <f t="shared" ca="1" si="19"/>
        <v>45880</v>
      </c>
    </row>
    <row r="2221" spans="1:3" x14ac:dyDescent="0.3">
      <c r="A2221" s="42">
        <v>10000000498</v>
      </c>
      <c r="B2221" s="3" t="s">
        <v>1016</v>
      </c>
      <c r="C2221" s="4">
        <f t="shared" ca="1" si="19"/>
        <v>45880</v>
      </c>
    </row>
    <row r="2222" spans="1:3" x14ac:dyDescent="0.3">
      <c r="A2222" s="42">
        <v>10000000133</v>
      </c>
      <c r="B2222" s="3" t="s">
        <v>963</v>
      </c>
      <c r="C2222" s="4">
        <f t="shared" ca="1" si="19"/>
        <v>45880</v>
      </c>
    </row>
    <row r="2223" spans="1:3" x14ac:dyDescent="0.3">
      <c r="A2223" s="42">
        <v>10000000393</v>
      </c>
      <c r="B2223" s="3" t="s">
        <v>1018</v>
      </c>
      <c r="C2223" s="4">
        <f t="shared" ca="1" si="19"/>
        <v>45880</v>
      </c>
    </row>
    <row r="2224" spans="1:3" x14ac:dyDescent="0.3">
      <c r="A2224" s="42">
        <v>10000000116</v>
      </c>
      <c r="B2224" s="3" t="s">
        <v>847</v>
      </c>
      <c r="C2224" s="4">
        <f t="shared" ca="1" si="19"/>
        <v>45880</v>
      </c>
    </row>
    <row r="2225" spans="1:3" x14ac:dyDescent="0.3">
      <c r="A2225" s="42">
        <v>10000000057</v>
      </c>
      <c r="B2225" s="3" t="s">
        <v>966</v>
      </c>
      <c r="C2225" s="4">
        <f t="shared" ca="1" si="19"/>
        <v>45880</v>
      </c>
    </row>
    <row r="2226" spans="1:3" x14ac:dyDescent="0.3">
      <c r="A2226" s="42">
        <v>10000000191</v>
      </c>
      <c r="B2226" s="3" t="s">
        <v>987</v>
      </c>
      <c r="C2226" s="4">
        <f t="shared" ca="1" si="19"/>
        <v>45880</v>
      </c>
    </row>
    <row r="2227" spans="1:3" x14ac:dyDescent="0.3">
      <c r="A2227" s="42">
        <v>10000000338</v>
      </c>
      <c r="B2227" s="3" t="s">
        <v>950</v>
      </c>
      <c r="C2227" s="4">
        <f t="shared" ca="1" si="19"/>
        <v>45880</v>
      </c>
    </row>
    <row r="2228" spans="1:3" x14ac:dyDescent="0.3">
      <c r="A2228" s="42">
        <v>10000000426</v>
      </c>
      <c r="B2228" s="3" t="s">
        <v>880</v>
      </c>
      <c r="C2228" s="4">
        <f t="shared" ca="1" si="19"/>
        <v>45880</v>
      </c>
    </row>
    <row r="2229" spans="1:3" x14ac:dyDescent="0.3">
      <c r="A2229" s="42">
        <v>10000000559</v>
      </c>
      <c r="B2229" s="3" t="s">
        <v>998</v>
      </c>
      <c r="C2229" s="4">
        <f t="shared" ca="1" si="19"/>
        <v>45880</v>
      </c>
    </row>
    <row r="2230" spans="1:3" x14ac:dyDescent="0.3">
      <c r="A2230" s="42">
        <v>10000000201</v>
      </c>
      <c r="B2230" s="3" t="s">
        <v>1015</v>
      </c>
      <c r="C2230" s="4">
        <f t="shared" ca="1" si="19"/>
        <v>45880</v>
      </c>
    </row>
    <row r="2231" spans="1:3" x14ac:dyDescent="0.3">
      <c r="A2231" s="42">
        <v>10000000326</v>
      </c>
      <c r="B2231" s="3" t="s">
        <v>985</v>
      </c>
      <c r="C2231" s="4">
        <f t="shared" ca="1" si="19"/>
        <v>45880</v>
      </c>
    </row>
    <row r="2232" spans="1:3" x14ac:dyDescent="0.3">
      <c r="A2232" s="42">
        <v>10000000365</v>
      </c>
      <c r="B2232" s="3" t="s">
        <v>914</v>
      </c>
      <c r="C2232" s="4">
        <f t="shared" ca="1" si="19"/>
        <v>45880</v>
      </c>
    </row>
    <row r="2233" spans="1:3" x14ac:dyDescent="0.3">
      <c r="A2233" s="42">
        <v>10000000087</v>
      </c>
      <c r="B2233" s="3" t="s">
        <v>904</v>
      </c>
      <c r="C2233" s="4">
        <f t="shared" ca="1" si="19"/>
        <v>45880</v>
      </c>
    </row>
    <row r="2234" spans="1:3" x14ac:dyDescent="0.3">
      <c r="A2234" s="42">
        <v>10000000202</v>
      </c>
      <c r="B2234" s="3" t="s">
        <v>837</v>
      </c>
      <c r="C2234" s="4">
        <f t="shared" ca="1" si="19"/>
        <v>45880</v>
      </c>
    </row>
    <row r="2235" spans="1:3" x14ac:dyDescent="0.3">
      <c r="A2235" s="42">
        <v>10000000484</v>
      </c>
      <c r="B2235" s="3" t="s">
        <v>970</v>
      </c>
      <c r="C2235" s="4">
        <f t="shared" ca="1" si="19"/>
        <v>45880</v>
      </c>
    </row>
    <row r="2236" spans="1:3" x14ac:dyDescent="0.3">
      <c r="A2236" s="42">
        <v>10000000267</v>
      </c>
      <c r="B2236" s="3" t="s">
        <v>820</v>
      </c>
      <c r="C2236" s="4">
        <f t="shared" ca="1" si="19"/>
        <v>45880</v>
      </c>
    </row>
    <row r="2237" spans="1:3" x14ac:dyDescent="0.3">
      <c r="A2237" s="42">
        <v>10000000027</v>
      </c>
      <c r="B2237" s="3" t="s">
        <v>828</v>
      </c>
      <c r="C2237" s="4">
        <f t="shared" ref="C2237:C2369" ca="1" si="20">TODAY()-127</f>
        <v>45910</v>
      </c>
    </row>
    <row r="2238" spans="1:3" x14ac:dyDescent="0.3">
      <c r="A2238" s="42">
        <v>10000000078</v>
      </c>
      <c r="B2238" s="3" t="s">
        <v>921</v>
      </c>
      <c r="C2238" s="4">
        <f t="shared" ca="1" si="20"/>
        <v>45910</v>
      </c>
    </row>
    <row r="2239" spans="1:3" x14ac:dyDescent="0.3">
      <c r="A2239" s="42">
        <v>10000000164</v>
      </c>
      <c r="B2239" s="3" t="s">
        <v>869</v>
      </c>
      <c r="C2239" s="4">
        <f t="shared" ca="1" si="20"/>
        <v>45910</v>
      </c>
    </row>
    <row r="2240" spans="1:3" x14ac:dyDescent="0.3">
      <c r="A2240" s="42">
        <v>10000000378</v>
      </c>
      <c r="B2240" s="3" t="s">
        <v>890</v>
      </c>
      <c r="C2240" s="4">
        <f t="shared" ca="1" si="20"/>
        <v>45910</v>
      </c>
    </row>
    <row r="2241" spans="1:3" x14ac:dyDescent="0.3">
      <c r="A2241" s="42">
        <v>10000000126</v>
      </c>
      <c r="B2241" s="3" t="s">
        <v>985</v>
      </c>
      <c r="C2241" s="4">
        <f t="shared" ca="1" si="20"/>
        <v>45910</v>
      </c>
    </row>
    <row r="2242" spans="1:3" x14ac:dyDescent="0.3">
      <c r="A2242" s="42">
        <v>10000000245</v>
      </c>
      <c r="B2242" s="3" t="s">
        <v>843</v>
      </c>
      <c r="C2242" s="4">
        <f t="shared" ca="1" si="20"/>
        <v>45910</v>
      </c>
    </row>
    <row r="2243" spans="1:3" x14ac:dyDescent="0.3">
      <c r="A2243" s="42">
        <v>10000000511</v>
      </c>
      <c r="B2243" s="3" t="s">
        <v>1017</v>
      </c>
      <c r="C2243" s="4">
        <f t="shared" ca="1" si="20"/>
        <v>45910</v>
      </c>
    </row>
    <row r="2244" spans="1:3" x14ac:dyDescent="0.3">
      <c r="A2244" s="42">
        <v>10000000536</v>
      </c>
      <c r="B2244" s="3" t="s">
        <v>965</v>
      </c>
      <c r="C2244" s="4">
        <f t="shared" ca="1" si="20"/>
        <v>45910</v>
      </c>
    </row>
    <row r="2245" spans="1:3" x14ac:dyDescent="0.3">
      <c r="A2245" s="42">
        <v>10000000037</v>
      </c>
      <c r="B2245" s="3" t="s">
        <v>885</v>
      </c>
      <c r="C2245" s="4">
        <f t="shared" ca="1" si="20"/>
        <v>45910</v>
      </c>
    </row>
    <row r="2246" spans="1:3" x14ac:dyDescent="0.3">
      <c r="A2246" s="42">
        <v>10000000039</v>
      </c>
      <c r="B2246" s="3" t="s">
        <v>852</v>
      </c>
      <c r="C2246" s="4">
        <f t="shared" ca="1" si="20"/>
        <v>45910</v>
      </c>
    </row>
    <row r="2247" spans="1:3" x14ac:dyDescent="0.3">
      <c r="A2247" s="42">
        <v>10000000475</v>
      </c>
      <c r="B2247" s="3" t="s">
        <v>931</v>
      </c>
      <c r="C2247" s="4">
        <f t="shared" ca="1" si="20"/>
        <v>45910</v>
      </c>
    </row>
    <row r="2248" spans="1:3" x14ac:dyDescent="0.3">
      <c r="A2248" s="42">
        <v>10000000104</v>
      </c>
      <c r="B2248" s="3" t="s">
        <v>1010</v>
      </c>
      <c r="C2248" s="4">
        <f t="shared" ca="1" si="20"/>
        <v>45910</v>
      </c>
    </row>
    <row r="2249" spans="1:3" x14ac:dyDescent="0.3">
      <c r="A2249" s="42">
        <v>10000000143</v>
      </c>
      <c r="B2249" s="3" t="s">
        <v>1014</v>
      </c>
      <c r="C2249" s="4">
        <f t="shared" ca="1" si="20"/>
        <v>45910</v>
      </c>
    </row>
    <row r="2250" spans="1:3" x14ac:dyDescent="0.3">
      <c r="A2250" s="42">
        <v>10000000368</v>
      </c>
      <c r="B2250" s="3" t="s">
        <v>903</v>
      </c>
      <c r="C2250" s="4">
        <f t="shared" ca="1" si="20"/>
        <v>45910</v>
      </c>
    </row>
    <row r="2251" spans="1:3" x14ac:dyDescent="0.3">
      <c r="A2251" s="42">
        <v>10000000193</v>
      </c>
      <c r="B2251" s="3" t="s">
        <v>1018</v>
      </c>
      <c r="C2251" s="4">
        <f t="shared" ca="1" si="20"/>
        <v>45910</v>
      </c>
    </row>
    <row r="2252" spans="1:3" x14ac:dyDescent="0.3">
      <c r="A2252" s="42">
        <v>10000000528</v>
      </c>
      <c r="B2252" s="3" t="s">
        <v>999</v>
      </c>
      <c r="C2252" s="4">
        <f t="shared" ca="1" si="20"/>
        <v>45910</v>
      </c>
    </row>
    <row r="2253" spans="1:3" x14ac:dyDescent="0.3">
      <c r="A2253" s="42">
        <v>10000000647</v>
      </c>
      <c r="B2253" s="3" t="s">
        <v>967</v>
      </c>
      <c r="C2253" s="4">
        <f t="shared" ca="1" si="20"/>
        <v>45910</v>
      </c>
    </row>
    <row r="2254" spans="1:3" x14ac:dyDescent="0.3">
      <c r="A2254" s="42">
        <v>10000000262</v>
      </c>
      <c r="B2254" s="3" t="s">
        <v>863</v>
      </c>
      <c r="C2254" s="4">
        <f t="shared" ca="1" si="20"/>
        <v>45910</v>
      </c>
    </row>
    <row r="2255" spans="1:3" x14ac:dyDescent="0.3">
      <c r="A2255" s="42">
        <v>10000000676</v>
      </c>
      <c r="B2255" s="3" t="s">
        <v>899</v>
      </c>
      <c r="C2255" s="4">
        <f t="shared" ca="1" si="20"/>
        <v>45910</v>
      </c>
    </row>
    <row r="2256" spans="1:3" x14ac:dyDescent="0.3">
      <c r="A2256" s="42">
        <v>10000000408</v>
      </c>
      <c r="B2256" s="3" t="s">
        <v>933</v>
      </c>
      <c r="C2256" s="4">
        <f t="shared" ca="1" si="20"/>
        <v>45910</v>
      </c>
    </row>
    <row r="2257" spans="1:3" x14ac:dyDescent="0.3">
      <c r="A2257" s="42">
        <v>10000000436</v>
      </c>
      <c r="B2257" s="3" t="s">
        <v>873</v>
      </c>
      <c r="C2257" s="4">
        <f t="shared" ca="1" si="20"/>
        <v>45910</v>
      </c>
    </row>
    <row r="2258" spans="1:3" x14ac:dyDescent="0.3">
      <c r="A2258" s="42">
        <v>10000000058</v>
      </c>
      <c r="B2258" s="3" t="s">
        <v>935</v>
      </c>
      <c r="C2258" s="4">
        <f t="shared" ca="1" si="20"/>
        <v>45910</v>
      </c>
    </row>
    <row r="2259" spans="1:3" x14ac:dyDescent="0.3">
      <c r="A2259" s="42">
        <v>10000000577</v>
      </c>
      <c r="B2259" s="3" t="s">
        <v>1004</v>
      </c>
      <c r="C2259" s="4">
        <f t="shared" ca="1" si="20"/>
        <v>45910</v>
      </c>
    </row>
    <row r="2260" spans="1:3" x14ac:dyDescent="0.3">
      <c r="A2260" s="42">
        <v>10000000309</v>
      </c>
      <c r="B2260" s="3" t="s">
        <v>839</v>
      </c>
      <c r="C2260" s="4">
        <f t="shared" ca="1" si="20"/>
        <v>45910</v>
      </c>
    </row>
    <row r="2261" spans="1:3" x14ac:dyDescent="0.3">
      <c r="A2261" s="42">
        <v>10000000473</v>
      </c>
      <c r="B2261" s="3" t="s">
        <v>941</v>
      </c>
      <c r="C2261" s="4">
        <f t="shared" ca="1" si="20"/>
        <v>45910</v>
      </c>
    </row>
    <row r="2262" spans="1:3" x14ac:dyDescent="0.3">
      <c r="A2262" s="42">
        <v>10000000258</v>
      </c>
      <c r="B2262" s="3" t="s">
        <v>935</v>
      </c>
      <c r="C2262" s="4">
        <f t="shared" ca="1" si="20"/>
        <v>45910</v>
      </c>
    </row>
    <row r="2263" spans="1:3" x14ac:dyDescent="0.3">
      <c r="A2263" s="42">
        <v>10000000164</v>
      </c>
      <c r="B2263" s="3" t="s">
        <v>869</v>
      </c>
      <c r="C2263" s="4">
        <f t="shared" ca="1" si="20"/>
        <v>45910</v>
      </c>
    </row>
    <row r="2264" spans="1:3" x14ac:dyDescent="0.3">
      <c r="A2264" s="42">
        <v>10000000133</v>
      </c>
      <c r="B2264" s="3" t="s">
        <v>963</v>
      </c>
      <c r="C2264" s="4">
        <f t="shared" ca="1" si="20"/>
        <v>45910</v>
      </c>
    </row>
    <row r="2265" spans="1:3" x14ac:dyDescent="0.3">
      <c r="A2265" s="42">
        <v>10000000256</v>
      </c>
      <c r="B2265" s="3" t="s">
        <v>940</v>
      </c>
      <c r="C2265" s="4">
        <f t="shared" ca="1" si="20"/>
        <v>45910</v>
      </c>
    </row>
    <row r="2266" spans="1:3" x14ac:dyDescent="0.3">
      <c r="A2266" s="42">
        <v>10000000036</v>
      </c>
      <c r="B2266" s="3" t="s">
        <v>873</v>
      </c>
      <c r="C2266" s="4">
        <f t="shared" ca="1" si="20"/>
        <v>45910</v>
      </c>
    </row>
    <row r="2267" spans="1:3" x14ac:dyDescent="0.3">
      <c r="A2267" s="42">
        <v>10000000476</v>
      </c>
      <c r="B2267" s="3" t="s">
        <v>899</v>
      </c>
      <c r="C2267" s="4">
        <f t="shared" ca="1" si="20"/>
        <v>45910</v>
      </c>
    </row>
    <row r="2268" spans="1:3" x14ac:dyDescent="0.3">
      <c r="A2268" s="42">
        <v>10000000577</v>
      </c>
      <c r="B2268" s="3" t="s">
        <v>1004</v>
      </c>
      <c r="C2268" s="4">
        <f t="shared" ca="1" si="20"/>
        <v>45910</v>
      </c>
    </row>
    <row r="2269" spans="1:3" x14ac:dyDescent="0.3">
      <c r="A2269" s="42">
        <v>10000000050</v>
      </c>
      <c r="B2269" s="3" t="s">
        <v>928</v>
      </c>
      <c r="C2269" s="4">
        <f t="shared" ca="1" si="20"/>
        <v>45910</v>
      </c>
    </row>
    <row r="2270" spans="1:3" x14ac:dyDescent="0.3">
      <c r="A2270" s="42">
        <v>10000000119</v>
      </c>
      <c r="B2270" s="3" t="s">
        <v>1003</v>
      </c>
      <c r="C2270" s="4">
        <f t="shared" ca="1" si="20"/>
        <v>45910</v>
      </c>
    </row>
    <row r="2271" spans="1:3" x14ac:dyDescent="0.3">
      <c r="A2271" s="42">
        <v>10000000353</v>
      </c>
      <c r="B2271" s="3" t="s">
        <v>825</v>
      </c>
      <c r="C2271" s="4">
        <f t="shared" ca="1" si="20"/>
        <v>45910</v>
      </c>
    </row>
    <row r="2272" spans="1:3" x14ac:dyDescent="0.3">
      <c r="A2272" s="42">
        <v>10000000039</v>
      </c>
      <c r="B2272" s="3" t="s">
        <v>852</v>
      </c>
      <c r="C2272" s="4">
        <f t="shared" ca="1" si="20"/>
        <v>45910</v>
      </c>
    </row>
    <row r="2273" spans="1:3" x14ac:dyDescent="0.3">
      <c r="A2273" s="42">
        <v>10000000336</v>
      </c>
      <c r="B2273" s="3" t="s">
        <v>965</v>
      </c>
      <c r="C2273" s="4">
        <f t="shared" ca="1" si="20"/>
        <v>45910</v>
      </c>
    </row>
    <row r="2274" spans="1:3" x14ac:dyDescent="0.3">
      <c r="A2274" s="42">
        <v>10000000095</v>
      </c>
      <c r="B2274" s="3" t="s">
        <v>908</v>
      </c>
      <c r="C2274" s="4">
        <f t="shared" ca="1" si="20"/>
        <v>45910</v>
      </c>
    </row>
    <row r="2275" spans="1:3" x14ac:dyDescent="0.3">
      <c r="A2275" s="42">
        <v>10000000276</v>
      </c>
      <c r="B2275" s="3" t="s">
        <v>899</v>
      </c>
      <c r="C2275" s="4">
        <f t="shared" ca="1" si="20"/>
        <v>45910</v>
      </c>
    </row>
    <row r="2276" spans="1:3" x14ac:dyDescent="0.3">
      <c r="A2276" s="42">
        <v>10000000270</v>
      </c>
      <c r="B2276" s="3" t="s">
        <v>834</v>
      </c>
      <c r="C2276" s="4">
        <f t="shared" ca="1" si="20"/>
        <v>45910</v>
      </c>
    </row>
    <row r="2277" spans="1:3" x14ac:dyDescent="0.3">
      <c r="A2277" s="42">
        <v>10000000618</v>
      </c>
      <c r="B2277" s="3" t="s">
        <v>833</v>
      </c>
      <c r="C2277" s="4">
        <f t="shared" ca="1" si="20"/>
        <v>45910</v>
      </c>
    </row>
    <row r="2278" spans="1:3" x14ac:dyDescent="0.3">
      <c r="A2278" s="42">
        <v>10000000018</v>
      </c>
      <c r="B2278" s="3" t="s">
        <v>833</v>
      </c>
      <c r="C2278" s="4">
        <f t="shared" ca="1" si="20"/>
        <v>45910</v>
      </c>
    </row>
    <row r="2279" spans="1:3" x14ac:dyDescent="0.3">
      <c r="A2279" s="42">
        <v>10000000229</v>
      </c>
      <c r="B2279" s="3" t="s">
        <v>898</v>
      </c>
      <c r="C2279" s="4">
        <f t="shared" ca="1" si="20"/>
        <v>45910</v>
      </c>
    </row>
    <row r="2280" spans="1:3" x14ac:dyDescent="0.3">
      <c r="A2280" s="42">
        <v>10000000621</v>
      </c>
      <c r="B2280" s="3" t="s">
        <v>917</v>
      </c>
      <c r="C2280" s="4">
        <f t="shared" ca="1" si="20"/>
        <v>45910</v>
      </c>
    </row>
    <row r="2281" spans="1:3" x14ac:dyDescent="0.3">
      <c r="A2281" s="42">
        <v>10000000426</v>
      </c>
      <c r="B2281" s="3" t="s">
        <v>880</v>
      </c>
      <c r="C2281" s="4">
        <f t="shared" ca="1" si="20"/>
        <v>45910</v>
      </c>
    </row>
    <row r="2282" spans="1:3" x14ac:dyDescent="0.3">
      <c r="A2282" s="42">
        <v>10000000282</v>
      </c>
      <c r="B2282" s="3" t="s">
        <v>861</v>
      </c>
      <c r="C2282" s="4">
        <f t="shared" ca="1" si="20"/>
        <v>45910</v>
      </c>
    </row>
    <row r="2283" spans="1:3" x14ac:dyDescent="0.3">
      <c r="A2283" s="42">
        <v>10000000423</v>
      </c>
      <c r="B2283" s="3" t="s">
        <v>838</v>
      </c>
      <c r="C2283" s="4">
        <f t="shared" ca="1" si="20"/>
        <v>45910</v>
      </c>
    </row>
    <row r="2284" spans="1:3" x14ac:dyDescent="0.3">
      <c r="A2284" s="42">
        <v>10000000438</v>
      </c>
      <c r="B2284" s="3" t="s">
        <v>867</v>
      </c>
      <c r="C2284" s="4">
        <f t="shared" ca="1" si="20"/>
        <v>45910</v>
      </c>
    </row>
    <row r="2285" spans="1:3" x14ac:dyDescent="0.3">
      <c r="A2285" s="42">
        <v>10000000411</v>
      </c>
      <c r="B2285" s="3" t="s">
        <v>1005</v>
      </c>
      <c r="C2285" s="4">
        <f t="shared" ca="1" si="20"/>
        <v>45910</v>
      </c>
    </row>
    <row r="2286" spans="1:3" x14ac:dyDescent="0.3">
      <c r="A2286" s="42">
        <v>10000000175</v>
      </c>
      <c r="B2286" s="3" t="s">
        <v>943</v>
      </c>
      <c r="C2286" s="4">
        <f t="shared" ca="1" si="20"/>
        <v>45910</v>
      </c>
    </row>
    <row r="2287" spans="1:3" x14ac:dyDescent="0.3">
      <c r="A2287" s="42">
        <v>10000000232</v>
      </c>
      <c r="B2287" s="3" t="s">
        <v>896</v>
      </c>
      <c r="C2287" s="4">
        <f t="shared" ca="1" si="20"/>
        <v>45910</v>
      </c>
    </row>
    <row r="2288" spans="1:3" x14ac:dyDescent="0.3">
      <c r="A2288" s="42">
        <v>10000000234</v>
      </c>
      <c r="B2288" s="3" t="s">
        <v>910</v>
      </c>
      <c r="C2288" s="4">
        <f t="shared" ca="1" si="20"/>
        <v>45910</v>
      </c>
    </row>
    <row r="2289" spans="1:3" x14ac:dyDescent="0.3">
      <c r="A2289" s="42">
        <v>10000000315</v>
      </c>
      <c r="B2289" s="3" t="s">
        <v>870</v>
      </c>
      <c r="C2289" s="4">
        <f t="shared" ca="1" si="20"/>
        <v>45910</v>
      </c>
    </row>
    <row r="2290" spans="1:3" x14ac:dyDescent="0.3">
      <c r="A2290" s="42">
        <v>10000000638</v>
      </c>
      <c r="B2290" s="3" t="s">
        <v>867</v>
      </c>
      <c r="C2290" s="4">
        <f t="shared" ca="1" si="20"/>
        <v>45910</v>
      </c>
    </row>
    <row r="2291" spans="1:3" x14ac:dyDescent="0.3">
      <c r="A2291" s="42">
        <v>10000000567</v>
      </c>
      <c r="B2291" s="3" t="s">
        <v>984</v>
      </c>
      <c r="C2291" s="4">
        <f t="shared" ca="1" si="20"/>
        <v>45910</v>
      </c>
    </row>
    <row r="2292" spans="1:3" x14ac:dyDescent="0.3">
      <c r="A2292" s="42">
        <v>10000000343</v>
      </c>
      <c r="B2292" s="3" t="s">
        <v>1014</v>
      </c>
      <c r="C2292" s="4">
        <f t="shared" ca="1" si="20"/>
        <v>45910</v>
      </c>
    </row>
    <row r="2293" spans="1:3" x14ac:dyDescent="0.3">
      <c r="A2293" s="42">
        <v>10000000399</v>
      </c>
      <c r="B2293" s="3" t="s">
        <v>936</v>
      </c>
      <c r="C2293" s="4">
        <f t="shared" ca="1" si="20"/>
        <v>45910</v>
      </c>
    </row>
    <row r="2294" spans="1:3" x14ac:dyDescent="0.3">
      <c r="A2294" s="42">
        <v>10000000554</v>
      </c>
      <c r="B2294" s="3" t="s">
        <v>840</v>
      </c>
      <c r="C2294" s="4">
        <f t="shared" ca="1" si="20"/>
        <v>45910</v>
      </c>
    </row>
    <row r="2295" spans="1:3" x14ac:dyDescent="0.3">
      <c r="A2295" s="42">
        <v>10000000373</v>
      </c>
      <c r="B2295" s="3" t="s">
        <v>924</v>
      </c>
      <c r="C2295" s="4">
        <f t="shared" ca="1" si="20"/>
        <v>45910</v>
      </c>
    </row>
    <row r="2296" spans="1:3" x14ac:dyDescent="0.3">
      <c r="A2296" s="42">
        <v>10000000360</v>
      </c>
      <c r="B2296" s="3" t="s">
        <v>1009</v>
      </c>
      <c r="C2296" s="4">
        <f t="shared" ca="1" si="20"/>
        <v>45910</v>
      </c>
    </row>
    <row r="2297" spans="1:3" x14ac:dyDescent="0.3">
      <c r="A2297" s="42">
        <v>10000000428</v>
      </c>
      <c r="B2297" s="3" t="s">
        <v>960</v>
      </c>
      <c r="C2297" s="4">
        <f t="shared" ca="1" si="20"/>
        <v>45910</v>
      </c>
    </row>
    <row r="2298" spans="1:3" x14ac:dyDescent="0.3">
      <c r="A2298" s="42">
        <v>10000000333</v>
      </c>
      <c r="B2298" s="3" t="s">
        <v>963</v>
      </c>
      <c r="C2298" s="4">
        <f t="shared" ca="1" si="20"/>
        <v>45910</v>
      </c>
    </row>
    <row r="2299" spans="1:3" x14ac:dyDescent="0.3">
      <c r="A2299" s="42">
        <v>10000000148</v>
      </c>
      <c r="B2299" s="3" t="s">
        <v>829</v>
      </c>
      <c r="C2299" s="4">
        <f t="shared" ca="1" si="20"/>
        <v>45910</v>
      </c>
    </row>
    <row r="2300" spans="1:3" x14ac:dyDescent="0.3">
      <c r="A2300" s="42">
        <v>10000000215</v>
      </c>
      <c r="B2300" s="3" t="s">
        <v>913</v>
      </c>
      <c r="C2300" s="4">
        <f t="shared" ca="1" si="20"/>
        <v>45910</v>
      </c>
    </row>
    <row r="2301" spans="1:3" x14ac:dyDescent="0.3">
      <c r="A2301" s="42">
        <v>10000000404</v>
      </c>
      <c r="B2301" s="3" t="s">
        <v>925</v>
      </c>
      <c r="C2301" s="4">
        <f t="shared" ca="1" si="20"/>
        <v>45910</v>
      </c>
    </row>
    <row r="2302" spans="1:3" x14ac:dyDescent="0.3">
      <c r="A2302" s="42">
        <v>10000000559</v>
      </c>
      <c r="B2302" s="3" t="s">
        <v>998</v>
      </c>
      <c r="C2302" s="4">
        <f t="shared" ca="1" si="20"/>
        <v>45910</v>
      </c>
    </row>
    <row r="2303" spans="1:3" x14ac:dyDescent="0.3">
      <c r="A2303" s="42">
        <v>10000000225</v>
      </c>
      <c r="B2303" s="3" t="s">
        <v>872</v>
      </c>
      <c r="C2303" s="4">
        <f t="shared" ca="1" si="20"/>
        <v>45910</v>
      </c>
    </row>
    <row r="2304" spans="1:3" x14ac:dyDescent="0.3">
      <c r="A2304" s="42">
        <v>10000000337</v>
      </c>
      <c r="B2304" s="3" t="s">
        <v>923</v>
      </c>
      <c r="C2304" s="4">
        <f t="shared" ca="1" si="20"/>
        <v>45910</v>
      </c>
    </row>
    <row r="2305" spans="1:3" x14ac:dyDescent="0.3">
      <c r="A2305" s="42">
        <v>10000000646</v>
      </c>
      <c r="B2305" s="3" t="s">
        <v>930</v>
      </c>
      <c r="C2305" s="4">
        <f t="shared" ca="1" si="20"/>
        <v>45910</v>
      </c>
    </row>
    <row r="2306" spans="1:3" x14ac:dyDescent="0.3">
      <c r="A2306" s="42">
        <v>10000000326</v>
      </c>
      <c r="B2306" s="3" t="s">
        <v>985</v>
      </c>
      <c r="C2306" s="4">
        <f t="shared" ca="1" si="20"/>
        <v>45910</v>
      </c>
    </row>
    <row r="2307" spans="1:3" x14ac:dyDescent="0.3">
      <c r="A2307" s="42">
        <v>10000000205</v>
      </c>
      <c r="B2307" s="3" t="s">
        <v>855</v>
      </c>
      <c r="C2307" s="4">
        <f t="shared" ca="1" si="20"/>
        <v>45910</v>
      </c>
    </row>
    <row r="2308" spans="1:3" x14ac:dyDescent="0.3">
      <c r="A2308" s="42">
        <v>10000000498</v>
      </c>
      <c r="B2308" s="3" t="s">
        <v>1016</v>
      </c>
      <c r="C2308" s="4">
        <f t="shared" ca="1" si="20"/>
        <v>45910</v>
      </c>
    </row>
    <row r="2309" spans="1:3" x14ac:dyDescent="0.3">
      <c r="A2309" s="42">
        <v>10000000518</v>
      </c>
      <c r="B2309" s="3" t="s">
        <v>1007</v>
      </c>
      <c r="C2309" s="4">
        <f t="shared" ca="1" si="20"/>
        <v>45910</v>
      </c>
    </row>
    <row r="2310" spans="1:3" x14ac:dyDescent="0.3">
      <c r="A2310" s="42">
        <v>10000000557</v>
      </c>
      <c r="B2310" s="3" t="s">
        <v>1002</v>
      </c>
      <c r="C2310" s="4">
        <f t="shared" ca="1" si="20"/>
        <v>45910</v>
      </c>
    </row>
    <row r="2311" spans="1:3" x14ac:dyDescent="0.3">
      <c r="A2311" s="42">
        <v>10000000536</v>
      </c>
      <c r="B2311" s="3" t="s">
        <v>965</v>
      </c>
      <c r="C2311" s="4">
        <f t="shared" ca="1" si="20"/>
        <v>45910</v>
      </c>
    </row>
    <row r="2312" spans="1:3" x14ac:dyDescent="0.3">
      <c r="A2312" s="42">
        <v>10000000051</v>
      </c>
      <c r="B2312" s="3" t="s">
        <v>973</v>
      </c>
      <c r="C2312" s="4">
        <f t="shared" ca="1" si="20"/>
        <v>45910</v>
      </c>
    </row>
    <row r="2313" spans="1:3" x14ac:dyDescent="0.3">
      <c r="A2313" s="42">
        <v>10000000505</v>
      </c>
      <c r="B2313" s="3" t="s">
        <v>968</v>
      </c>
      <c r="C2313" s="4">
        <f t="shared" ca="1" si="20"/>
        <v>45910</v>
      </c>
    </row>
    <row r="2314" spans="1:3" x14ac:dyDescent="0.3">
      <c r="A2314" s="42">
        <v>10000000084</v>
      </c>
      <c r="B2314" s="3" t="s">
        <v>970</v>
      </c>
      <c r="C2314" s="4">
        <f t="shared" ca="1" si="20"/>
        <v>45910</v>
      </c>
    </row>
    <row r="2315" spans="1:3" x14ac:dyDescent="0.3">
      <c r="A2315" s="42">
        <v>10000000090</v>
      </c>
      <c r="B2315" s="3" t="s">
        <v>848</v>
      </c>
      <c r="C2315" s="4">
        <f t="shared" ca="1" si="20"/>
        <v>45910</v>
      </c>
    </row>
    <row r="2316" spans="1:3" x14ac:dyDescent="0.3">
      <c r="A2316" s="42">
        <v>10000000452</v>
      </c>
      <c r="B2316" s="3" t="s">
        <v>976</v>
      </c>
      <c r="C2316" s="4">
        <f t="shared" ca="1" si="20"/>
        <v>45910</v>
      </c>
    </row>
    <row r="2317" spans="1:3" x14ac:dyDescent="0.3">
      <c r="A2317" s="42">
        <v>10000000557</v>
      </c>
      <c r="B2317" s="3" t="s">
        <v>1002</v>
      </c>
      <c r="C2317" s="4">
        <f t="shared" ca="1" si="20"/>
        <v>45910</v>
      </c>
    </row>
    <row r="2318" spans="1:3" x14ac:dyDescent="0.3">
      <c r="A2318" s="42">
        <v>10000000575</v>
      </c>
      <c r="B2318" s="3" t="s">
        <v>943</v>
      </c>
      <c r="C2318" s="4">
        <f t="shared" ca="1" si="20"/>
        <v>45910</v>
      </c>
    </row>
    <row r="2319" spans="1:3" x14ac:dyDescent="0.3">
      <c r="A2319" s="42">
        <v>10000000332</v>
      </c>
      <c r="B2319" s="3" t="s">
        <v>974</v>
      </c>
      <c r="C2319" s="4">
        <f t="shared" ca="1" si="20"/>
        <v>45910</v>
      </c>
    </row>
    <row r="2320" spans="1:3" x14ac:dyDescent="0.3">
      <c r="A2320" s="42">
        <v>10000000359</v>
      </c>
      <c r="B2320" s="3" t="s">
        <v>998</v>
      </c>
      <c r="C2320" s="4">
        <f t="shared" ca="1" si="20"/>
        <v>45910</v>
      </c>
    </row>
    <row r="2321" spans="1:3" x14ac:dyDescent="0.3">
      <c r="A2321" s="42">
        <v>10000000480</v>
      </c>
      <c r="B2321" s="3" t="s">
        <v>844</v>
      </c>
      <c r="C2321" s="4">
        <f t="shared" ca="1" si="20"/>
        <v>45910</v>
      </c>
    </row>
    <row r="2322" spans="1:3" x14ac:dyDescent="0.3">
      <c r="A2322" s="42">
        <v>10000000463</v>
      </c>
      <c r="B2322" s="3" t="s">
        <v>1008</v>
      </c>
      <c r="C2322" s="4">
        <f t="shared" ca="1" si="20"/>
        <v>45910</v>
      </c>
    </row>
    <row r="2323" spans="1:3" x14ac:dyDescent="0.3">
      <c r="A2323" s="42">
        <v>10000000335</v>
      </c>
      <c r="B2323" s="3" t="s">
        <v>1006</v>
      </c>
      <c r="C2323" s="4">
        <f t="shared" ca="1" si="20"/>
        <v>45910</v>
      </c>
    </row>
    <row r="2324" spans="1:3" x14ac:dyDescent="0.3">
      <c r="A2324" s="42">
        <v>10000000374</v>
      </c>
      <c r="B2324" s="3" t="s">
        <v>845</v>
      </c>
      <c r="C2324" s="4">
        <f t="shared" ca="1" si="20"/>
        <v>45910</v>
      </c>
    </row>
    <row r="2325" spans="1:3" x14ac:dyDescent="0.3">
      <c r="A2325" s="42">
        <v>10000000394</v>
      </c>
      <c r="B2325" s="3" t="s">
        <v>846</v>
      </c>
      <c r="C2325" s="4">
        <f t="shared" ca="1" si="20"/>
        <v>45910</v>
      </c>
    </row>
    <row r="2326" spans="1:3" x14ac:dyDescent="0.3">
      <c r="A2326" s="42">
        <v>10000000267</v>
      </c>
      <c r="B2326" s="3" t="s">
        <v>820</v>
      </c>
      <c r="C2326" s="4">
        <f t="shared" ca="1" si="20"/>
        <v>45910</v>
      </c>
    </row>
    <row r="2327" spans="1:3" x14ac:dyDescent="0.3">
      <c r="A2327" s="42">
        <v>10000000027</v>
      </c>
      <c r="B2327" s="3" t="s">
        <v>828</v>
      </c>
      <c r="C2327" s="4">
        <f t="shared" ca="1" si="20"/>
        <v>45910</v>
      </c>
    </row>
    <row r="2328" spans="1:3" x14ac:dyDescent="0.3">
      <c r="A2328" s="42">
        <v>10000000088</v>
      </c>
      <c r="B2328" s="3" t="s">
        <v>986</v>
      </c>
      <c r="C2328" s="4">
        <f t="shared" ca="1" si="20"/>
        <v>45910</v>
      </c>
    </row>
    <row r="2329" spans="1:3" x14ac:dyDescent="0.3">
      <c r="A2329" s="42">
        <v>10000000109</v>
      </c>
      <c r="B2329" s="3" t="s">
        <v>839</v>
      </c>
      <c r="C2329" s="4">
        <f t="shared" ca="1" si="20"/>
        <v>45910</v>
      </c>
    </row>
    <row r="2330" spans="1:3" x14ac:dyDescent="0.3">
      <c r="A2330" s="42">
        <v>10000000463</v>
      </c>
      <c r="B2330" s="3" t="s">
        <v>1008</v>
      </c>
      <c r="C2330" s="4">
        <f t="shared" ca="1" si="20"/>
        <v>45910</v>
      </c>
    </row>
    <row r="2331" spans="1:3" x14ac:dyDescent="0.3">
      <c r="A2331" s="42">
        <v>10000000295</v>
      </c>
      <c r="B2331" s="3" t="s">
        <v>908</v>
      </c>
      <c r="C2331" s="4">
        <f t="shared" ca="1" si="20"/>
        <v>45910</v>
      </c>
    </row>
    <row r="2332" spans="1:3" x14ac:dyDescent="0.3">
      <c r="A2332" s="42">
        <v>10000000346</v>
      </c>
      <c r="B2332" s="3" t="s">
        <v>826</v>
      </c>
      <c r="C2332" s="4">
        <f t="shared" ca="1" si="20"/>
        <v>45910</v>
      </c>
    </row>
    <row r="2333" spans="1:3" x14ac:dyDescent="0.3">
      <c r="A2333" s="42">
        <v>10000000525</v>
      </c>
      <c r="B2333" s="3" t="s">
        <v>823</v>
      </c>
      <c r="C2333" s="4">
        <f t="shared" ca="1" si="20"/>
        <v>45910</v>
      </c>
    </row>
    <row r="2334" spans="1:3" x14ac:dyDescent="0.3">
      <c r="A2334" s="42">
        <v>10000000499</v>
      </c>
      <c r="B2334" s="3" t="s">
        <v>1011</v>
      </c>
      <c r="C2334" s="4">
        <f t="shared" ca="1" si="20"/>
        <v>45910</v>
      </c>
    </row>
    <row r="2335" spans="1:3" x14ac:dyDescent="0.3">
      <c r="A2335" s="42">
        <v>10000000623</v>
      </c>
      <c r="B2335" s="3" t="s">
        <v>838</v>
      </c>
      <c r="C2335" s="4">
        <f t="shared" ca="1" si="20"/>
        <v>45910</v>
      </c>
    </row>
    <row r="2336" spans="1:3" x14ac:dyDescent="0.3">
      <c r="A2336" s="42">
        <v>10000000660</v>
      </c>
      <c r="B2336" s="3" t="s">
        <v>922</v>
      </c>
      <c r="C2336" s="4">
        <f t="shared" ca="1" si="20"/>
        <v>45910</v>
      </c>
    </row>
    <row r="2337" spans="1:3" x14ac:dyDescent="0.3">
      <c r="A2337" s="42">
        <v>10000000034</v>
      </c>
      <c r="B2337" s="3" t="s">
        <v>910</v>
      </c>
      <c r="C2337" s="4">
        <f t="shared" ca="1" si="20"/>
        <v>45910</v>
      </c>
    </row>
    <row r="2338" spans="1:3" x14ac:dyDescent="0.3">
      <c r="A2338" s="42">
        <v>10000000083</v>
      </c>
      <c r="B2338" s="3" t="s">
        <v>958</v>
      </c>
      <c r="C2338" s="4">
        <f t="shared" ca="1" si="20"/>
        <v>45910</v>
      </c>
    </row>
    <row r="2339" spans="1:3" x14ac:dyDescent="0.3">
      <c r="A2339" s="42">
        <v>10000000211</v>
      </c>
      <c r="B2339" s="3" t="s">
        <v>1005</v>
      </c>
      <c r="C2339" s="4">
        <f t="shared" ca="1" si="20"/>
        <v>45910</v>
      </c>
    </row>
    <row r="2340" spans="1:3" x14ac:dyDescent="0.3">
      <c r="A2340" s="42">
        <v>10000000092</v>
      </c>
      <c r="B2340" s="3" t="s">
        <v>865</v>
      </c>
      <c r="C2340" s="4">
        <f t="shared" ca="1" si="20"/>
        <v>45910</v>
      </c>
    </row>
    <row r="2341" spans="1:3" x14ac:dyDescent="0.3">
      <c r="A2341" s="42">
        <v>10000000474</v>
      </c>
      <c r="B2341" s="3" t="s">
        <v>981</v>
      </c>
      <c r="C2341" s="4">
        <f t="shared" ca="1" si="20"/>
        <v>45910</v>
      </c>
    </row>
    <row r="2342" spans="1:3" x14ac:dyDescent="0.3">
      <c r="A2342" s="42">
        <v>10000000478</v>
      </c>
      <c r="B2342" s="3" t="s">
        <v>921</v>
      </c>
      <c r="C2342" s="4">
        <f t="shared" ca="1" si="20"/>
        <v>45910</v>
      </c>
    </row>
    <row r="2343" spans="1:3" x14ac:dyDescent="0.3">
      <c r="A2343" s="42">
        <v>10000000535</v>
      </c>
      <c r="B2343" s="3" t="s">
        <v>1006</v>
      </c>
      <c r="C2343" s="4">
        <f t="shared" ca="1" si="20"/>
        <v>45910</v>
      </c>
    </row>
    <row r="2344" spans="1:3" x14ac:dyDescent="0.3">
      <c r="A2344" s="42">
        <v>10000000423</v>
      </c>
      <c r="B2344" s="3" t="s">
        <v>838</v>
      </c>
      <c r="C2344" s="4">
        <f t="shared" ca="1" si="20"/>
        <v>45910</v>
      </c>
    </row>
    <row r="2345" spans="1:3" x14ac:dyDescent="0.3">
      <c r="A2345" s="42">
        <v>10000000149</v>
      </c>
      <c r="B2345" s="3" t="s">
        <v>1012</v>
      </c>
      <c r="C2345" s="4">
        <f t="shared" ca="1" si="20"/>
        <v>45910</v>
      </c>
    </row>
    <row r="2346" spans="1:3" x14ac:dyDescent="0.3">
      <c r="A2346" s="42">
        <v>10000000122</v>
      </c>
      <c r="B2346" s="3" t="s">
        <v>824</v>
      </c>
      <c r="C2346" s="4">
        <f t="shared" ca="1" si="20"/>
        <v>45910</v>
      </c>
    </row>
    <row r="2347" spans="1:3" x14ac:dyDescent="0.3">
      <c r="A2347" s="42">
        <v>10000000143</v>
      </c>
      <c r="B2347" s="3" t="s">
        <v>1014</v>
      </c>
      <c r="C2347" s="4">
        <f t="shared" ca="1" si="20"/>
        <v>45910</v>
      </c>
    </row>
    <row r="2348" spans="1:3" x14ac:dyDescent="0.3">
      <c r="A2348" s="42">
        <v>10000000679</v>
      </c>
      <c r="B2348" s="3" t="s">
        <v>901</v>
      </c>
      <c r="C2348" s="4">
        <f t="shared" ca="1" si="20"/>
        <v>45910</v>
      </c>
    </row>
    <row r="2349" spans="1:3" x14ac:dyDescent="0.3">
      <c r="A2349" s="42">
        <v>10000000568</v>
      </c>
      <c r="B2349" s="3" t="s">
        <v>903</v>
      </c>
      <c r="C2349" s="4">
        <f t="shared" ca="1" si="20"/>
        <v>45910</v>
      </c>
    </row>
    <row r="2350" spans="1:3" x14ac:dyDescent="0.3">
      <c r="A2350" s="42">
        <v>10000000593</v>
      </c>
      <c r="B2350" s="3" t="s">
        <v>1018</v>
      </c>
      <c r="C2350" s="4">
        <f t="shared" ca="1" si="20"/>
        <v>45910</v>
      </c>
    </row>
    <row r="2351" spans="1:3" x14ac:dyDescent="0.3">
      <c r="A2351" s="42">
        <v>10000000683</v>
      </c>
      <c r="B2351" s="3" t="s">
        <v>958</v>
      </c>
      <c r="C2351" s="4">
        <f t="shared" ca="1" si="20"/>
        <v>45910</v>
      </c>
    </row>
    <row r="2352" spans="1:3" x14ac:dyDescent="0.3">
      <c r="A2352" s="42">
        <v>10000000598</v>
      </c>
      <c r="B2352" s="3" t="s">
        <v>939</v>
      </c>
      <c r="C2352" s="4">
        <f t="shared" ca="1" si="20"/>
        <v>45910</v>
      </c>
    </row>
    <row r="2353" spans="1:3" x14ac:dyDescent="0.3">
      <c r="A2353" s="42">
        <v>10000000009</v>
      </c>
      <c r="B2353" s="3" t="s">
        <v>919</v>
      </c>
      <c r="C2353" s="4">
        <f t="shared" ca="1" si="20"/>
        <v>45910</v>
      </c>
    </row>
    <row r="2354" spans="1:3" x14ac:dyDescent="0.3">
      <c r="A2354" s="42">
        <v>10000000292</v>
      </c>
      <c r="B2354" s="3" t="s">
        <v>865</v>
      </c>
      <c r="C2354" s="4">
        <f t="shared" ca="1" si="20"/>
        <v>45910</v>
      </c>
    </row>
    <row r="2355" spans="1:3" x14ac:dyDescent="0.3">
      <c r="A2355" s="42">
        <v>10000000662</v>
      </c>
      <c r="B2355" s="3" t="s">
        <v>863</v>
      </c>
      <c r="C2355" s="4">
        <f t="shared" ca="1" si="20"/>
        <v>45910</v>
      </c>
    </row>
    <row r="2356" spans="1:3" x14ac:dyDescent="0.3">
      <c r="A2356" s="42">
        <v>10000000300</v>
      </c>
      <c r="B2356" s="3" t="s">
        <v>836</v>
      </c>
      <c r="C2356" s="4">
        <f t="shared" ca="1" si="20"/>
        <v>45910</v>
      </c>
    </row>
    <row r="2357" spans="1:3" x14ac:dyDescent="0.3">
      <c r="A2357" s="42">
        <v>10000000370</v>
      </c>
      <c r="B2357" s="3" t="s">
        <v>937</v>
      </c>
      <c r="C2357" s="4">
        <f t="shared" ca="1" si="20"/>
        <v>45910</v>
      </c>
    </row>
    <row r="2358" spans="1:3" x14ac:dyDescent="0.3">
      <c r="A2358" s="42">
        <v>10000000424</v>
      </c>
      <c r="B2358" s="3" t="s">
        <v>891</v>
      </c>
      <c r="C2358" s="4">
        <f t="shared" ca="1" si="20"/>
        <v>45910</v>
      </c>
    </row>
    <row r="2359" spans="1:3" x14ac:dyDescent="0.3">
      <c r="A2359" s="42">
        <v>10000000336</v>
      </c>
      <c r="B2359" s="3" t="s">
        <v>965</v>
      </c>
      <c r="C2359" s="4">
        <f t="shared" ca="1" si="20"/>
        <v>45910</v>
      </c>
    </row>
    <row r="2360" spans="1:3" x14ac:dyDescent="0.3">
      <c r="A2360" s="42">
        <v>10000000365</v>
      </c>
      <c r="B2360" s="3" t="s">
        <v>914</v>
      </c>
      <c r="C2360" s="4">
        <f t="shared" ca="1" si="20"/>
        <v>45910</v>
      </c>
    </row>
    <row r="2361" spans="1:3" x14ac:dyDescent="0.3">
      <c r="A2361" s="42">
        <v>10000000331</v>
      </c>
      <c r="B2361" s="3" t="s">
        <v>945</v>
      </c>
      <c r="C2361" s="4">
        <f t="shared" ca="1" si="20"/>
        <v>45910</v>
      </c>
    </row>
    <row r="2362" spans="1:3" x14ac:dyDescent="0.3">
      <c r="A2362" s="42">
        <v>10000000629</v>
      </c>
      <c r="B2362" s="3" t="s">
        <v>898</v>
      </c>
      <c r="C2362" s="4">
        <f t="shared" ca="1" si="20"/>
        <v>45910</v>
      </c>
    </row>
    <row r="2363" spans="1:3" x14ac:dyDescent="0.3">
      <c r="A2363" s="42">
        <v>10000000374</v>
      </c>
      <c r="B2363" s="3" t="s">
        <v>845</v>
      </c>
      <c r="C2363" s="4">
        <f t="shared" ca="1" si="20"/>
        <v>45910</v>
      </c>
    </row>
    <row r="2364" spans="1:3" x14ac:dyDescent="0.3">
      <c r="A2364" s="42">
        <v>10000000156</v>
      </c>
      <c r="B2364" s="3" t="s">
        <v>912</v>
      </c>
      <c r="C2364" s="4">
        <f t="shared" ca="1" si="20"/>
        <v>45910</v>
      </c>
    </row>
    <row r="2365" spans="1:3" x14ac:dyDescent="0.3">
      <c r="A2365" s="42">
        <v>10000000307</v>
      </c>
      <c r="B2365" s="3" t="s">
        <v>906</v>
      </c>
      <c r="C2365" s="4">
        <f t="shared" ca="1" si="20"/>
        <v>45910</v>
      </c>
    </row>
    <row r="2366" spans="1:3" x14ac:dyDescent="0.3">
      <c r="A2366" s="42">
        <v>10000000489</v>
      </c>
      <c r="B2366" s="3" t="s">
        <v>827</v>
      </c>
      <c r="C2366" s="4">
        <f t="shared" ca="1" si="20"/>
        <v>45910</v>
      </c>
    </row>
    <row r="2367" spans="1:3" x14ac:dyDescent="0.3">
      <c r="A2367" s="42">
        <v>10000000578</v>
      </c>
      <c r="B2367" s="3" t="s">
        <v>890</v>
      </c>
      <c r="C2367" s="4">
        <f t="shared" ca="1" si="20"/>
        <v>45910</v>
      </c>
    </row>
    <row r="2368" spans="1:3" x14ac:dyDescent="0.3">
      <c r="A2368" s="42">
        <v>10000000532</v>
      </c>
      <c r="B2368" s="3" t="s">
        <v>974</v>
      </c>
      <c r="C2368" s="4">
        <f t="shared" ca="1" si="20"/>
        <v>45910</v>
      </c>
    </row>
    <row r="2369" spans="1:3" x14ac:dyDescent="0.3">
      <c r="A2369" s="42">
        <v>10000000191</v>
      </c>
      <c r="B2369" s="3" t="s">
        <v>987</v>
      </c>
      <c r="C2369" s="4">
        <f t="shared" ca="1" si="20"/>
        <v>45910</v>
      </c>
    </row>
    <row r="2370" spans="1:3" x14ac:dyDescent="0.3">
      <c r="A2370" s="42">
        <v>10000000038</v>
      </c>
      <c r="B2370" s="3" t="s">
        <v>867</v>
      </c>
      <c r="C2370" s="4">
        <f t="shared" ref="C2370:C2506" ca="1" si="21">TODAY()-96</f>
        <v>45941</v>
      </c>
    </row>
    <row r="2371" spans="1:3" x14ac:dyDescent="0.3">
      <c r="A2371" s="42">
        <v>10000000347</v>
      </c>
      <c r="B2371" s="3" t="s">
        <v>982</v>
      </c>
      <c r="C2371" s="4">
        <f t="shared" ca="1" si="21"/>
        <v>45941</v>
      </c>
    </row>
    <row r="2372" spans="1:3" x14ac:dyDescent="0.3">
      <c r="A2372" s="42">
        <v>10000000499</v>
      </c>
      <c r="B2372" s="3" t="s">
        <v>1011</v>
      </c>
      <c r="C2372" s="4">
        <f t="shared" ca="1" si="21"/>
        <v>45941</v>
      </c>
    </row>
    <row r="2373" spans="1:3" x14ac:dyDescent="0.3">
      <c r="A2373" s="42">
        <v>10000000627</v>
      </c>
      <c r="B2373" s="3" t="s">
        <v>828</v>
      </c>
      <c r="C2373" s="4">
        <f t="shared" ca="1" si="21"/>
        <v>45941</v>
      </c>
    </row>
    <row r="2374" spans="1:3" x14ac:dyDescent="0.3">
      <c r="A2374" s="42">
        <v>10000000329</v>
      </c>
      <c r="B2374" s="3" t="s">
        <v>909</v>
      </c>
      <c r="C2374" s="4">
        <f t="shared" ca="1" si="21"/>
        <v>45941</v>
      </c>
    </row>
    <row r="2375" spans="1:3" x14ac:dyDescent="0.3">
      <c r="A2375" s="42">
        <v>10000000504</v>
      </c>
      <c r="B2375" s="3" t="s">
        <v>1010</v>
      </c>
      <c r="C2375" s="4">
        <f t="shared" ca="1" si="21"/>
        <v>45941</v>
      </c>
    </row>
    <row r="2376" spans="1:3" x14ac:dyDescent="0.3">
      <c r="A2376" s="42">
        <v>10000000449</v>
      </c>
      <c r="B2376" s="3" t="s">
        <v>951</v>
      </c>
      <c r="C2376" s="4">
        <f t="shared" ca="1" si="21"/>
        <v>45941</v>
      </c>
    </row>
    <row r="2377" spans="1:3" x14ac:dyDescent="0.3">
      <c r="A2377" s="42">
        <v>10000000285</v>
      </c>
      <c r="B2377" s="3" t="s">
        <v>962</v>
      </c>
      <c r="C2377" s="4">
        <f t="shared" ca="1" si="21"/>
        <v>45941</v>
      </c>
    </row>
    <row r="2378" spans="1:3" x14ac:dyDescent="0.3">
      <c r="A2378" s="42">
        <v>10000000289</v>
      </c>
      <c r="B2378" s="3" t="s">
        <v>827</v>
      </c>
      <c r="C2378" s="4">
        <f t="shared" ca="1" si="21"/>
        <v>45941</v>
      </c>
    </row>
    <row r="2379" spans="1:3" x14ac:dyDescent="0.3">
      <c r="A2379" s="42">
        <v>10000000542</v>
      </c>
      <c r="B2379" s="3" t="s">
        <v>929</v>
      </c>
      <c r="C2379" s="4">
        <f t="shared" ca="1" si="21"/>
        <v>45941</v>
      </c>
    </row>
    <row r="2380" spans="1:3" x14ac:dyDescent="0.3">
      <c r="A2380" s="42">
        <v>10000000003</v>
      </c>
      <c r="B2380" s="3" t="s">
        <v>952</v>
      </c>
      <c r="C2380" s="4">
        <f t="shared" ca="1" si="21"/>
        <v>45941</v>
      </c>
    </row>
    <row r="2381" spans="1:3" x14ac:dyDescent="0.3">
      <c r="A2381" s="42">
        <v>10000000177</v>
      </c>
      <c r="B2381" s="3" t="s">
        <v>1004</v>
      </c>
      <c r="C2381" s="4">
        <f t="shared" ca="1" si="21"/>
        <v>45941</v>
      </c>
    </row>
    <row r="2382" spans="1:3" x14ac:dyDescent="0.3">
      <c r="A2382" s="42">
        <v>10000000099</v>
      </c>
      <c r="B2382" s="3" t="s">
        <v>1011</v>
      </c>
      <c r="C2382" s="4">
        <f t="shared" ca="1" si="21"/>
        <v>45941</v>
      </c>
    </row>
    <row r="2383" spans="1:3" x14ac:dyDescent="0.3">
      <c r="A2383" s="42">
        <v>10000000533</v>
      </c>
      <c r="B2383" s="3" t="s">
        <v>963</v>
      </c>
      <c r="C2383" s="4">
        <f t="shared" ca="1" si="21"/>
        <v>45941</v>
      </c>
    </row>
    <row r="2384" spans="1:3" x14ac:dyDescent="0.3">
      <c r="A2384" s="42">
        <v>10000000648</v>
      </c>
      <c r="B2384" s="3" t="s">
        <v>856</v>
      </c>
      <c r="C2384" s="4">
        <f t="shared" ca="1" si="21"/>
        <v>45941</v>
      </c>
    </row>
    <row r="2385" spans="1:3" x14ac:dyDescent="0.3">
      <c r="A2385" s="42">
        <v>10000000420</v>
      </c>
      <c r="B2385" s="3" t="s">
        <v>851</v>
      </c>
      <c r="C2385" s="4">
        <f t="shared" ca="1" si="21"/>
        <v>45941</v>
      </c>
    </row>
    <row r="2386" spans="1:3" x14ac:dyDescent="0.3">
      <c r="A2386" s="42">
        <v>10000000586</v>
      </c>
      <c r="B2386" s="3" t="s">
        <v>980</v>
      </c>
      <c r="C2386" s="4">
        <f t="shared" ca="1" si="21"/>
        <v>45941</v>
      </c>
    </row>
    <row r="2387" spans="1:3" x14ac:dyDescent="0.3">
      <c r="A2387" s="42">
        <v>10000000234</v>
      </c>
      <c r="B2387" s="3" t="s">
        <v>910</v>
      </c>
      <c r="C2387" s="4">
        <f t="shared" ca="1" si="21"/>
        <v>45941</v>
      </c>
    </row>
    <row r="2388" spans="1:3" x14ac:dyDescent="0.3">
      <c r="A2388" s="42">
        <v>10000000060</v>
      </c>
      <c r="B2388" s="3" t="s">
        <v>922</v>
      </c>
      <c r="C2388" s="4">
        <f t="shared" ca="1" si="21"/>
        <v>45941</v>
      </c>
    </row>
    <row r="2389" spans="1:3" x14ac:dyDescent="0.3">
      <c r="A2389" s="42">
        <v>10000000537</v>
      </c>
      <c r="B2389" s="3" t="s">
        <v>923</v>
      </c>
      <c r="C2389" s="4">
        <f t="shared" ca="1" si="21"/>
        <v>45941</v>
      </c>
    </row>
    <row r="2390" spans="1:3" x14ac:dyDescent="0.3">
      <c r="A2390" s="42">
        <v>10000000451</v>
      </c>
      <c r="B2390" s="3" t="s">
        <v>973</v>
      </c>
      <c r="C2390" s="4">
        <f t="shared" ca="1" si="21"/>
        <v>45941</v>
      </c>
    </row>
    <row r="2391" spans="1:3" x14ac:dyDescent="0.3">
      <c r="A2391" s="42">
        <v>10000000622</v>
      </c>
      <c r="B2391" s="3" t="s">
        <v>871</v>
      </c>
      <c r="C2391" s="4">
        <f t="shared" ca="1" si="21"/>
        <v>45941</v>
      </c>
    </row>
    <row r="2392" spans="1:3" x14ac:dyDescent="0.3">
      <c r="A2392" s="42">
        <v>10000000452</v>
      </c>
      <c r="B2392" s="3" t="s">
        <v>976</v>
      </c>
      <c r="C2392" s="4">
        <f t="shared" ca="1" si="21"/>
        <v>45941</v>
      </c>
    </row>
    <row r="2393" spans="1:3" x14ac:dyDescent="0.3">
      <c r="A2393" s="42">
        <v>10000000589</v>
      </c>
      <c r="B2393" s="3" t="s">
        <v>841</v>
      </c>
      <c r="C2393" s="4">
        <f t="shared" ca="1" si="21"/>
        <v>45941</v>
      </c>
    </row>
    <row r="2394" spans="1:3" x14ac:dyDescent="0.3">
      <c r="A2394" s="42">
        <v>10000000354</v>
      </c>
      <c r="B2394" s="3" t="s">
        <v>840</v>
      </c>
      <c r="C2394" s="4">
        <f t="shared" ca="1" si="21"/>
        <v>45941</v>
      </c>
    </row>
    <row r="2395" spans="1:3" x14ac:dyDescent="0.3">
      <c r="A2395" s="42">
        <v>10000000577</v>
      </c>
      <c r="B2395" s="3" t="s">
        <v>1004</v>
      </c>
      <c r="C2395" s="4">
        <f t="shared" ca="1" si="21"/>
        <v>45941</v>
      </c>
    </row>
    <row r="2396" spans="1:3" x14ac:dyDescent="0.3">
      <c r="A2396" s="42">
        <v>10000000609</v>
      </c>
      <c r="B2396" s="3" t="s">
        <v>919</v>
      </c>
      <c r="C2396" s="4">
        <f t="shared" ca="1" si="21"/>
        <v>45941</v>
      </c>
    </row>
    <row r="2397" spans="1:3" x14ac:dyDescent="0.3">
      <c r="A2397" s="42">
        <v>10000000281</v>
      </c>
      <c r="B2397" s="3" t="s">
        <v>964</v>
      </c>
      <c r="C2397" s="4">
        <f t="shared" ca="1" si="21"/>
        <v>45941</v>
      </c>
    </row>
    <row r="2398" spans="1:3" x14ac:dyDescent="0.3">
      <c r="A2398" s="42">
        <v>10000000203</v>
      </c>
      <c r="B2398" s="3" t="s">
        <v>952</v>
      </c>
      <c r="C2398" s="4">
        <f t="shared" ca="1" si="21"/>
        <v>45941</v>
      </c>
    </row>
    <row r="2399" spans="1:3" x14ac:dyDescent="0.3">
      <c r="A2399" s="42">
        <v>10000000253</v>
      </c>
      <c r="B2399" s="3" t="s">
        <v>822</v>
      </c>
      <c r="C2399" s="4">
        <f t="shared" ca="1" si="21"/>
        <v>45941</v>
      </c>
    </row>
    <row r="2400" spans="1:3" x14ac:dyDescent="0.3">
      <c r="A2400" s="42">
        <v>10000000339</v>
      </c>
      <c r="B2400" s="3" t="s">
        <v>995</v>
      </c>
      <c r="C2400" s="4">
        <f t="shared" ca="1" si="21"/>
        <v>45941</v>
      </c>
    </row>
    <row r="2401" spans="1:3" x14ac:dyDescent="0.3">
      <c r="A2401" s="42">
        <v>10000000487</v>
      </c>
      <c r="B2401" s="3" t="s">
        <v>904</v>
      </c>
      <c r="C2401" s="4">
        <f t="shared" ca="1" si="21"/>
        <v>45941</v>
      </c>
    </row>
    <row r="2402" spans="1:3" x14ac:dyDescent="0.3">
      <c r="A2402" s="42">
        <v>10000000594</v>
      </c>
      <c r="B2402" s="3" t="s">
        <v>846</v>
      </c>
      <c r="C2402" s="4">
        <f t="shared" ca="1" si="21"/>
        <v>45941</v>
      </c>
    </row>
    <row r="2403" spans="1:3" x14ac:dyDescent="0.3">
      <c r="A2403" s="42">
        <v>10000000449</v>
      </c>
      <c r="B2403" s="3" t="s">
        <v>951</v>
      </c>
      <c r="C2403" s="4">
        <f t="shared" ca="1" si="21"/>
        <v>45941</v>
      </c>
    </row>
    <row r="2404" spans="1:3" x14ac:dyDescent="0.3">
      <c r="A2404" s="42">
        <v>10000000146</v>
      </c>
      <c r="B2404" s="3" t="s">
        <v>826</v>
      </c>
      <c r="C2404" s="4">
        <f t="shared" ca="1" si="21"/>
        <v>45941</v>
      </c>
    </row>
    <row r="2405" spans="1:3" x14ac:dyDescent="0.3">
      <c r="A2405" s="42">
        <v>10000000695</v>
      </c>
      <c r="B2405" s="3" t="s">
        <v>908</v>
      </c>
      <c r="C2405" s="4">
        <f t="shared" ca="1" si="21"/>
        <v>45941</v>
      </c>
    </row>
    <row r="2406" spans="1:3" x14ac:dyDescent="0.3">
      <c r="A2406" s="42">
        <v>10000000262</v>
      </c>
      <c r="B2406" s="3" t="s">
        <v>863</v>
      </c>
      <c r="C2406" s="4">
        <f t="shared" ca="1" si="21"/>
        <v>45941</v>
      </c>
    </row>
    <row r="2407" spans="1:3" x14ac:dyDescent="0.3">
      <c r="A2407" s="42">
        <v>10000000264</v>
      </c>
      <c r="B2407" s="3" t="s">
        <v>858</v>
      </c>
      <c r="C2407" s="4">
        <f t="shared" ca="1" si="21"/>
        <v>45941</v>
      </c>
    </row>
    <row r="2408" spans="1:3" x14ac:dyDescent="0.3">
      <c r="A2408" s="42">
        <v>10000000286</v>
      </c>
      <c r="B2408" s="3" t="s">
        <v>875</v>
      </c>
      <c r="C2408" s="4">
        <f t="shared" ca="1" si="21"/>
        <v>45941</v>
      </c>
    </row>
    <row r="2409" spans="1:3" x14ac:dyDescent="0.3">
      <c r="A2409" s="42">
        <v>10000000427</v>
      </c>
      <c r="B2409" s="3" t="s">
        <v>828</v>
      </c>
      <c r="C2409" s="4">
        <f t="shared" ca="1" si="21"/>
        <v>45941</v>
      </c>
    </row>
    <row r="2410" spans="1:3" x14ac:dyDescent="0.3">
      <c r="A2410" s="42">
        <v>10000000317</v>
      </c>
      <c r="B2410" s="3" t="s">
        <v>918</v>
      </c>
      <c r="C2410" s="4">
        <f t="shared" ca="1" si="21"/>
        <v>45941</v>
      </c>
    </row>
    <row r="2411" spans="1:3" x14ac:dyDescent="0.3">
      <c r="A2411" s="42">
        <v>10000000319</v>
      </c>
      <c r="B2411" s="3" t="s">
        <v>1003</v>
      </c>
      <c r="C2411" s="4">
        <f t="shared" ca="1" si="21"/>
        <v>45941</v>
      </c>
    </row>
    <row r="2412" spans="1:3" x14ac:dyDescent="0.3">
      <c r="A2412" s="42">
        <v>10000000003</v>
      </c>
      <c r="B2412" s="3" t="s">
        <v>952</v>
      </c>
      <c r="C2412" s="4">
        <f t="shared" ca="1" si="21"/>
        <v>45941</v>
      </c>
    </row>
    <row r="2413" spans="1:3" x14ac:dyDescent="0.3">
      <c r="A2413" s="42">
        <v>10000000315</v>
      </c>
      <c r="B2413" s="3" t="s">
        <v>870</v>
      </c>
      <c r="C2413" s="4">
        <f t="shared" ca="1" si="21"/>
        <v>45941</v>
      </c>
    </row>
    <row r="2414" spans="1:3" x14ac:dyDescent="0.3">
      <c r="A2414" s="42">
        <v>10000000228</v>
      </c>
      <c r="B2414" s="3" t="s">
        <v>960</v>
      </c>
      <c r="C2414" s="4">
        <f t="shared" ca="1" si="21"/>
        <v>45941</v>
      </c>
    </row>
    <row r="2415" spans="1:3" x14ac:dyDescent="0.3">
      <c r="A2415" s="42">
        <v>10000000415</v>
      </c>
      <c r="B2415" s="3" t="s">
        <v>913</v>
      </c>
      <c r="C2415" s="4">
        <f t="shared" ca="1" si="21"/>
        <v>45941</v>
      </c>
    </row>
    <row r="2416" spans="1:3" x14ac:dyDescent="0.3">
      <c r="A2416" s="42">
        <v>10000000091</v>
      </c>
      <c r="B2416" s="3" t="s">
        <v>864</v>
      </c>
      <c r="C2416" s="4">
        <f t="shared" ca="1" si="21"/>
        <v>45941</v>
      </c>
    </row>
    <row r="2417" spans="1:3" x14ac:dyDescent="0.3">
      <c r="A2417" s="42">
        <v>10000000007</v>
      </c>
      <c r="B2417" s="3" t="s">
        <v>902</v>
      </c>
      <c r="C2417" s="4">
        <f t="shared" ca="1" si="21"/>
        <v>45941</v>
      </c>
    </row>
    <row r="2418" spans="1:3" x14ac:dyDescent="0.3">
      <c r="A2418" s="42">
        <v>10000000589</v>
      </c>
      <c r="B2418" s="3" t="s">
        <v>841</v>
      </c>
      <c r="C2418" s="4">
        <f t="shared" ca="1" si="21"/>
        <v>45941</v>
      </c>
    </row>
    <row r="2419" spans="1:3" x14ac:dyDescent="0.3">
      <c r="A2419" s="42">
        <v>10000000494</v>
      </c>
      <c r="B2419" s="3" t="s">
        <v>948</v>
      </c>
      <c r="C2419" s="4">
        <f t="shared" ca="1" si="21"/>
        <v>45941</v>
      </c>
    </row>
    <row r="2420" spans="1:3" x14ac:dyDescent="0.3">
      <c r="A2420" s="42">
        <v>10000000110</v>
      </c>
      <c r="B2420" s="3" t="s">
        <v>887</v>
      </c>
      <c r="C2420" s="4">
        <f t="shared" ca="1" si="21"/>
        <v>45941</v>
      </c>
    </row>
    <row r="2421" spans="1:3" x14ac:dyDescent="0.3">
      <c r="A2421" s="42">
        <v>10000000168</v>
      </c>
      <c r="B2421" s="3" t="s">
        <v>903</v>
      </c>
      <c r="C2421" s="4">
        <f t="shared" ca="1" si="21"/>
        <v>45941</v>
      </c>
    </row>
    <row r="2422" spans="1:3" x14ac:dyDescent="0.3">
      <c r="A2422" s="42">
        <v>10000000280</v>
      </c>
      <c r="B2422" s="3" t="s">
        <v>844</v>
      </c>
      <c r="C2422" s="4">
        <f t="shared" ca="1" si="21"/>
        <v>45941</v>
      </c>
    </row>
    <row r="2423" spans="1:3" x14ac:dyDescent="0.3">
      <c r="A2423" s="42">
        <v>10000000478</v>
      </c>
      <c r="B2423" s="3" t="s">
        <v>921</v>
      </c>
      <c r="C2423" s="4">
        <f t="shared" ca="1" si="21"/>
        <v>45941</v>
      </c>
    </row>
    <row r="2424" spans="1:3" x14ac:dyDescent="0.3">
      <c r="A2424" s="42">
        <v>10000000520</v>
      </c>
      <c r="B2424" s="3" t="s">
        <v>979</v>
      </c>
      <c r="C2424" s="4">
        <f t="shared" ca="1" si="21"/>
        <v>45941</v>
      </c>
    </row>
    <row r="2425" spans="1:3" x14ac:dyDescent="0.3">
      <c r="A2425" s="42">
        <v>10000000181</v>
      </c>
      <c r="B2425" s="3" t="s">
        <v>831</v>
      </c>
      <c r="C2425" s="4">
        <f t="shared" ca="1" si="21"/>
        <v>45941</v>
      </c>
    </row>
    <row r="2426" spans="1:3" x14ac:dyDescent="0.3">
      <c r="A2426" s="42">
        <v>10000000312</v>
      </c>
      <c r="B2426" s="3" t="s">
        <v>938</v>
      </c>
      <c r="C2426" s="4">
        <f t="shared" ca="1" si="21"/>
        <v>45941</v>
      </c>
    </row>
    <row r="2427" spans="1:3" x14ac:dyDescent="0.3">
      <c r="A2427" s="42">
        <v>10000000107</v>
      </c>
      <c r="B2427" s="3" t="s">
        <v>906</v>
      </c>
      <c r="C2427" s="4">
        <f t="shared" ca="1" si="21"/>
        <v>45941</v>
      </c>
    </row>
    <row r="2428" spans="1:3" x14ac:dyDescent="0.3">
      <c r="A2428" s="42">
        <v>10000000200</v>
      </c>
      <c r="B2428" s="3" t="s">
        <v>997</v>
      </c>
      <c r="C2428" s="4">
        <f t="shared" ca="1" si="21"/>
        <v>45941</v>
      </c>
    </row>
    <row r="2429" spans="1:3" x14ac:dyDescent="0.3">
      <c r="A2429" s="42">
        <v>10000000010</v>
      </c>
      <c r="B2429" s="3" t="s">
        <v>920</v>
      </c>
      <c r="C2429" s="4">
        <f t="shared" ca="1" si="21"/>
        <v>45941</v>
      </c>
    </row>
    <row r="2430" spans="1:3" x14ac:dyDescent="0.3">
      <c r="A2430" s="42">
        <v>10000000153</v>
      </c>
      <c r="B2430" s="3" t="s">
        <v>825</v>
      </c>
      <c r="C2430" s="4">
        <f t="shared" ca="1" si="21"/>
        <v>45941</v>
      </c>
    </row>
    <row r="2431" spans="1:3" x14ac:dyDescent="0.3">
      <c r="A2431" s="42">
        <v>10000000125</v>
      </c>
      <c r="B2431" s="3" t="s">
        <v>823</v>
      </c>
      <c r="C2431" s="4">
        <f t="shared" ca="1" si="21"/>
        <v>45941</v>
      </c>
    </row>
    <row r="2432" spans="1:3" x14ac:dyDescent="0.3">
      <c r="A2432" s="42">
        <v>10000000644</v>
      </c>
      <c r="B2432" s="3" t="s">
        <v>868</v>
      </c>
      <c r="C2432" s="4">
        <f t="shared" ca="1" si="21"/>
        <v>45941</v>
      </c>
    </row>
    <row r="2433" spans="1:3" x14ac:dyDescent="0.3">
      <c r="A2433" s="42">
        <v>10000000663</v>
      </c>
      <c r="B2433" s="3" t="s">
        <v>1008</v>
      </c>
      <c r="C2433" s="4">
        <f t="shared" ca="1" si="21"/>
        <v>45941</v>
      </c>
    </row>
    <row r="2434" spans="1:3" x14ac:dyDescent="0.3">
      <c r="A2434" s="42">
        <v>10000000686</v>
      </c>
      <c r="B2434" s="3" t="s">
        <v>875</v>
      </c>
      <c r="C2434" s="4">
        <f t="shared" ca="1" si="21"/>
        <v>45941</v>
      </c>
    </row>
    <row r="2435" spans="1:3" x14ac:dyDescent="0.3">
      <c r="A2435" s="42">
        <v>10000000290</v>
      </c>
      <c r="B2435" s="3" t="s">
        <v>848</v>
      </c>
      <c r="C2435" s="4">
        <f t="shared" ca="1" si="21"/>
        <v>45941</v>
      </c>
    </row>
    <row r="2436" spans="1:3" x14ac:dyDescent="0.3">
      <c r="A2436" s="42">
        <v>10000000689</v>
      </c>
      <c r="B2436" s="3" t="s">
        <v>827</v>
      </c>
      <c r="C2436" s="4">
        <f t="shared" ca="1" si="21"/>
        <v>45941</v>
      </c>
    </row>
    <row r="2437" spans="1:3" x14ac:dyDescent="0.3">
      <c r="A2437" s="42">
        <v>10000000161</v>
      </c>
      <c r="B2437" s="3" t="s">
        <v>977</v>
      </c>
      <c r="C2437" s="4">
        <f t="shared" ca="1" si="21"/>
        <v>45941</v>
      </c>
    </row>
    <row r="2438" spans="1:3" x14ac:dyDescent="0.3">
      <c r="A2438" s="42">
        <v>10000000383</v>
      </c>
      <c r="B2438" s="3" t="s">
        <v>942</v>
      </c>
      <c r="C2438" s="4">
        <f t="shared" ca="1" si="21"/>
        <v>45941</v>
      </c>
    </row>
    <row r="2439" spans="1:3" x14ac:dyDescent="0.3">
      <c r="A2439" s="42">
        <v>10000000547</v>
      </c>
      <c r="B2439" s="3" t="s">
        <v>982</v>
      </c>
      <c r="C2439" s="4">
        <f t="shared" ca="1" si="21"/>
        <v>45941</v>
      </c>
    </row>
    <row r="2440" spans="1:3" x14ac:dyDescent="0.3">
      <c r="A2440" s="42">
        <v>10000000276</v>
      </c>
      <c r="B2440" s="3" t="s">
        <v>899</v>
      </c>
      <c r="C2440" s="4">
        <f t="shared" ca="1" si="21"/>
        <v>45941</v>
      </c>
    </row>
    <row r="2441" spans="1:3" x14ac:dyDescent="0.3">
      <c r="A2441" s="42">
        <v>10000000288</v>
      </c>
      <c r="B2441" s="3" t="s">
        <v>986</v>
      </c>
      <c r="C2441" s="4">
        <f t="shared" ca="1" si="21"/>
        <v>45941</v>
      </c>
    </row>
    <row r="2442" spans="1:3" x14ac:dyDescent="0.3">
      <c r="A2442" s="42">
        <v>10000000368</v>
      </c>
      <c r="B2442" s="3" t="s">
        <v>903</v>
      </c>
      <c r="C2442" s="4">
        <f t="shared" ca="1" si="21"/>
        <v>45941</v>
      </c>
    </row>
    <row r="2443" spans="1:3" x14ac:dyDescent="0.3">
      <c r="A2443" s="42">
        <v>10000000630</v>
      </c>
      <c r="B2443" s="3" t="s">
        <v>990</v>
      </c>
      <c r="C2443" s="4">
        <f t="shared" ca="1" si="21"/>
        <v>45941</v>
      </c>
    </row>
    <row r="2444" spans="1:3" x14ac:dyDescent="0.3">
      <c r="A2444" s="42">
        <v>10000000461</v>
      </c>
      <c r="B2444" s="3" t="s">
        <v>850</v>
      </c>
      <c r="C2444" s="4">
        <f t="shared" ca="1" si="21"/>
        <v>45941</v>
      </c>
    </row>
    <row r="2445" spans="1:3" x14ac:dyDescent="0.3">
      <c r="A2445" s="42">
        <v>10000000511</v>
      </c>
      <c r="B2445" s="3" t="s">
        <v>1017</v>
      </c>
      <c r="C2445" s="4">
        <f t="shared" ca="1" si="21"/>
        <v>45941</v>
      </c>
    </row>
    <row r="2446" spans="1:3" x14ac:dyDescent="0.3">
      <c r="A2446" s="42">
        <v>10000000604</v>
      </c>
      <c r="B2446" s="3" t="s">
        <v>925</v>
      </c>
      <c r="C2446" s="4">
        <f t="shared" ca="1" si="21"/>
        <v>45941</v>
      </c>
    </row>
    <row r="2447" spans="1:3" x14ac:dyDescent="0.3">
      <c r="A2447" s="42">
        <v>10000000330</v>
      </c>
      <c r="B2447" s="3" t="s">
        <v>835</v>
      </c>
      <c r="C2447" s="4">
        <f t="shared" ca="1" si="21"/>
        <v>45941</v>
      </c>
    </row>
    <row r="2448" spans="1:3" x14ac:dyDescent="0.3">
      <c r="A2448" s="42">
        <v>10000000516</v>
      </c>
      <c r="B2448" s="3" t="s">
        <v>847</v>
      </c>
      <c r="C2448" s="4">
        <f t="shared" ca="1" si="21"/>
        <v>45941</v>
      </c>
    </row>
    <row r="2449" spans="1:3" x14ac:dyDescent="0.3">
      <c r="A2449" s="42">
        <v>10000000026</v>
      </c>
      <c r="B2449" s="3" t="s">
        <v>880</v>
      </c>
      <c r="C2449" s="4">
        <f t="shared" ca="1" si="21"/>
        <v>45941</v>
      </c>
    </row>
    <row r="2450" spans="1:3" x14ac:dyDescent="0.3">
      <c r="A2450" s="42">
        <v>10000000002</v>
      </c>
      <c r="B2450" s="3" t="s">
        <v>837</v>
      </c>
      <c r="C2450" s="4">
        <f t="shared" ca="1" si="21"/>
        <v>45941</v>
      </c>
    </row>
    <row r="2451" spans="1:3" x14ac:dyDescent="0.3">
      <c r="A2451" s="42">
        <v>10000000572</v>
      </c>
      <c r="B2451" s="3" t="s">
        <v>889</v>
      </c>
      <c r="C2451" s="4">
        <f t="shared" ca="1" si="21"/>
        <v>45941</v>
      </c>
    </row>
    <row r="2452" spans="1:3" x14ac:dyDescent="0.3">
      <c r="A2452" s="42">
        <v>10000000103</v>
      </c>
      <c r="B2452" s="3" t="s">
        <v>853</v>
      </c>
      <c r="C2452" s="4">
        <f t="shared" ca="1" si="21"/>
        <v>45941</v>
      </c>
    </row>
    <row r="2453" spans="1:3" x14ac:dyDescent="0.3">
      <c r="A2453" s="42">
        <v>10000000316</v>
      </c>
      <c r="B2453" s="3" t="s">
        <v>847</v>
      </c>
      <c r="C2453" s="4">
        <f t="shared" ca="1" si="21"/>
        <v>45941</v>
      </c>
    </row>
    <row r="2454" spans="1:3" x14ac:dyDescent="0.3">
      <c r="A2454" s="42">
        <v>10000000318</v>
      </c>
      <c r="B2454" s="3" t="s">
        <v>1007</v>
      </c>
      <c r="C2454" s="4">
        <f t="shared" ca="1" si="21"/>
        <v>45941</v>
      </c>
    </row>
    <row r="2455" spans="1:3" x14ac:dyDescent="0.3">
      <c r="A2455" s="42">
        <v>10000000059</v>
      </c>
      <c r="B2455" s="3" t="s">
        <v>956</v>
      </c>
      <c r="C2455" s="4">
        <f t="shared" ca="1" si="21"/>
        <v>45941</v>
      </c>
    </row>
    <row r="2456" spans="1:3" x14ac:dyDescent="0.3">
      <c r="A2456" s="42">
        <v>10000000396</v>
      </c>
      <c r="B2456" s="3" t="s">
        <v>881</v>
      </c>
      <c r="C2456" s="4">
        <f t="shared" ca="1" si="21"/>
        <v>45941</v>
      </c>
    </row>
    <row r="2457" spans="1:3" x14ac:dyDescent="0.3">
      <c r="A2457" s="42">
        <v>10000000667</v>
      </c>
      <c r="B2457" s="3" t="s">
        <v>820</v>
      </c>
      <c r="C2457" s="4">
        <f t="shared" ca="1" si="21"/>
        <v>45941</v>
      </c>
    </row>
    <row r="2458" spans="1:3" x14ac:dyDescent="0.3">
      <c r="A2458" s="42">
        <v>10000000672</v>
      </c>
      <c r="B2458" s="3" t="s">
        <v>972</v>
      </c>
      <c r="C2458" s="4">
        <f t="shared" ca="1" si="21"/>
        <v>45941</v>
      </c>
    </row>
    <row r="2459" spans="1:3" x14ac:dyDescent="0.3">
      <c r="A2459" s="42">
        <v>10000000697</v>
      </c>
      <c r="B2459" s="3" t="s">
        <v>892</v>
      </c>
      <c r="C2459" s="4">
        <f t="shared" ca="1" si="21"/>
        <v>45941</v>
      </c>
    </row>
    <row r="2460" spans="1:3" x14ac:dyDescent="0.3">
      <c r="A2460" s="42">
        <v>10000000579</v>
      </c>
      <c r="B2460" s="3" t="s">
        <v>907</v>
      </c>
      <c r="C2460" s="4">
        <f t="shared" ca="1" si="21"/>
        <v>45941</v>
      </c>
    </row>
    <row r="2461" spans="1:3" x14ac:dyDescent="0.3">
      <c r="A2461" s="42">
        <v>10000000562</v>
      </c>
      <c r="B2461" s="3" t="s">
        <v>926</v>
      </c>
      <c r="C2461" s="4">
        <f t="shared" ca="1" si="21"/>
        <v>45941</v>
      </c>
    </row>
    <row r="2462" spans="1:3" x14ac:dyDescent="0.3">
      <c r="A2462" s="42">
        <v>10000000439</v>
      </c>
      <c r="B2462" s="3" t="s">
        <v>852</v>
      </c>
      <c r="C2462" s="4">
        <f t="shared" ca="1" si="21"/>
        <v>45941</v>
      </c>
    </row>
    <row r="2463" spans="1:3" x14ac:dyDescent="0.3">
      <c r="A2463" s="42">
        <v>10000000386</v>
      </c>
      <c r="B2463" s="3" t="s">
        <v>980</v>
      </c>
      <c r="C2463" s="4">
        <f t="shared" ca="1" si="21"/>
        <v>45941</v>
      </c>
    </row>
    <row r="2464" spans="1:3" x14ac:dyDescent="0.3">
      <c r="A2464" s="42">
        <v>10000000578</v>
      </c>
      <c r="B2464" s="3" t="s">
        <v>890</v>
      </c>
      <c r="C2464" s="4">
        <f t="shared" ca="1" si="21"/>
        <v>45941</v>
      </c>
    </row>
    <row r="2465" spans="1:3" x14ac:dyDescent="0.3">
      <c r="A2465" s="42">
        <v>10000000018</v>
      </c>
      <c r="B2465" s="3" t="s">
        <v>833</v>
      </c>
      <c r="C2465" s="4">
        <f t="shared" ca="1" si="21"/>
        <v>45941</v>
      </c>
    </row>
    <row r="2466" spans="1:3" x14ac:dyDescent="0.3">
      <c r="A2466" s="42">
        <v>10000000534</v>
      </c>
      <c r="B2466" s="3" t="s">
        <v>821</v>
      </c>
      <c r="C2466" s="4">
        <f t="shared" ca="1" si="21"/>
        <v>45941</v>
      </c>
    </row>
    <row r="2467" spans="1:3" x14ac:dyDescent="0.3">
      <c r="A2467" s="42">
        <v>10000000011</v>
      </c>
      <c r="B2467" s="3" t="s">
        <v>1005</v>
      </c>
      <c r="C2467" s="4">
        <f t="shared" ca="1" si="21"/>
        <v>45941</v>
      </c>
    </row>
    <row r="2468" spans="1:3" x14ac:dyDescent="0.3">
      <c r="A2468" s="42">
        <v>10000000172</v>
      </c>
      <c r="B2468" s="3" t="s">
        <v>889</v>
      </c>
      <c r="C2468" s="4">
        <f t="shared" ca="1" si="21"/>
        <v>45941</v>
      </c>
    </row>
    <row r="2469" spans="1:3" x14ac:dyDescent="0.3">
      <c r="A2469" s="42">
        <v>10000000513</v>
      </c>
      <c r="B2469" s="3" t="s">
        <v>883</v>
      </c>
      <c r="C2469" s="4">
        <f t="shared" ca="1" si="21"/>
        <v>45941</v>
      </c>
    </row>
    <row r="2470" spans="1:3" x14ac:dyDescent="0.3">
      <c r="A2470" s="42">
        <v>10000000566</v>
      </c>
      <c r="B2470" s="3" t="s">
        <v>957</v>
      </c>
      <c r="C2470" s="4">
        <f t="shared" ca="1" si="21"/>
        <v>45941</v>
      </c>
    </row>
    <row r="2471" spans="1:3" x14ac:dyDescent="0.3">
      <c r="A2471" s="42">
        <v>10000000347</v>
      </c>
      <c r="B2471" s="3" t="s">
        <v>982</v>
      </c>
      <c r="C2471" s="4">
        <f t="shared" ca="1" si="21"/>
        <v>45941</v>
      </c>
    </row>
    <row r="2472" spans="1:3" x14ac:dyDescent="0.3">
      <c r="A2472" s="42">
        <v>10000000111</v>
      </c>
      <c r="B2472" s="3" t="s">
        <v>1017</v>
      </c>
      <c r="C2472" s="4">
        <f t="shared" ca="1" si="21"/>
        <v>45941</v>
      </c>
    </row>
    <row r="2473" spans="1:3" x14ac:dyDescent="0.3">
      <c r="A2473" s="42">
        <v>10000000142</v>
      </c>
      <c r="B2473" s="3" t="s">
        <v>929</v>
      </c>
      <c r="C2473" s="4">
        <f t="shared" ca="1" si="21"/>
        <v>45941</v>
      </c>
    </row>
    <row r="2474" spans="1:3" x14ac:dyDescent="0.3">
      <c r="A2474" s="42">
        <v>10000000200</v>
      </c>
      <c r="B2474" s="3" t="s">
        <v>997</v>
      </c>
      <c r="C2474" s="4">
        <f t="shared" ca="1" si="21"/>
        <v>45941</v>
      </c>
    </row>
    <row r="2475" spans="1:3" x14ac:dyDescent="0.3">
      <c r="A2475" s="42">
        <v>10000000293</v>
      </c>
      <c r="B2475" s="3" t="s">
        <v>969</v>
      </c>
      <c r="C2475" s="4">
        <f t="shared" ca="1" si="21"/>
        <v>45941</v>
      </c>
    </row>
    <row r="2476" spans="1:3" x14ac:dyDescent="0.3">
      <c r="A2476" s="42">
        <v>10000000482</v>
      </c>
      <c r="B2476" s="3" t="s">
        <v>861</v>
      </c>
      <c r="C2476" s="4">
        <f t="shared" ca="1" si="21"/>
        <v>45941</v>
      </c>
    </row>
    <row r="2477" spans="1:3" x14ac:dyDescent="0.3">
      <c r="A2477" s="42">
        <v>10000000543</v>
      </c>
      <c r="B2477" s="3" t="s">
        <v>1014</v>
      </c>
      <c r="C2477" s="4">
        <f t="shared" ca="1" si="21"/>
        <v>45941</v>
      </c>
    </row>
    <row r="2478" spans="1:3" x14ac:dyDescent="0.3">
      <c r="A2478" s="42">
        <v>10000000179</v>
      </c>
      <c r="B2478" s="3" t="s">
        <v>907</v>
      </c>
      <c r="C2478" s="4">
        <f t="shared" ca="1" si="21"/>
        <v>45941</v>
      </c>
    </row>
    <row r="2479" spans="1:3" x14ac:dyDescent="0.3">
      <c r="A2479" s="42">
        <v>10000000685</v>
      </c>
      <c r="B2479" s="3" t="s">
        <v>962</v>
      </c>
      <c r="C2479" s="4">
        <f t="shared" ca="1" si="21"/>
        <v>45941</v>
      </c>
    </row>
    <row r="2480" spans="1:3" x14ac:dyDescent="0.3">
      <c r="A2480" s="42">
        <v>10000000018</v>
      </c>
      <c r="B2480" s="3" t="s">
        <v>833</v>
      </c>
      <c r="C2480" s="4">
        <f t="shared" ca="1" si="21"/>
        <v>45941</v>
      </c>
    </row>
    <row r="2481" spans="1:3" x14ac:dyDescent="0.3">
      <c r="A2481" s="42">
        <v>10000000269</v>
      </c>
      <c r="B2481" s="3" t="s">
        <v>866</v>
      </c>
      <c r="C2481" s="4">
        <f t="shared" ca="1" si="21"/>
        <v>45941</v>
      </c>
    </row>
    <row r="2482" spans="1:3" x14ac:dyDescent="0.3">
      <c r="A2482" s="42">
        <v>10000000576</v>
      </c>
      <c r="B2482" s="3" t="s">
        <v>978</v>
      </c>
      <c r="C2482" s="4">
        <f t="shared" ca="1" si="21"/>
        <v>45941</v>
      </c>
    </row>
    <row r="2483" spans="1:3" x14ac:dyDescent="0.3">
      <c r="A2483" s="42">
        <v>10000000263</v>
      </c>
      <c r="B2483" s="3" t="s">
        <v>1008</v>
      </c>
      <c r="C2483" s="4">
        <f t="shared" ca="1" si="21"/>
        <v>45941</v>
      </c>
    </row>
    <row r="2484" spans="1:3" x14ac:dyDescent="0.3">
      <c r="A2484" s="42">
        <v>10000000658</v>
      </c>
      <c r="B2484" s="3" t="s">
        <v>935</v>
      </c>
      <c r="C2484" s="4">
        <f t="shared" ca="1" si="21"/>
        <v>45941</v>
      </c>
    </row>
    <row r="2485" spans="1:3" x14ac:dyDescent="0.3">
      <c r="A2485" s="42">
        <v>10000000261</v>
      </c>
      <c r="B2485" s="3" t="s">
        <v>850</v>
      </c>
      <c r="C2485" s="4">
        <f t="shared" ca="1" si="21"/>
        <v>45941</v>
      </c>
    </row>
    <row r="2486" spans="1:3" x14ac:dyDescent="0.3">
      <c r="A2486" s="42">
        <v>10000000432</v>
      </c>
      <c r="B2486" s="3" t="s">
        <v>896</v>
      </c>
      <c r="C2486" s="4">
        <f t="shared" ca="1" si="21"/>
        <v>45941</v>
      </c>
    </row>
    <row r="2487" spans="1:3" x14ac:dyDescent="0.3">
      <c r="A2487" s="42">
        <v>10000000348</v>
      </c>
      <c r="B2487" s="3" t="s">
        <v>829</v>
      </c>
      <c r="C2487" s="4">
        <f t="shared" ca="1" si="21"/>
        <v>45941</v>
      </c>
    </row>
    <row r="2488" spans="1:3" x14ac:dyDescent="0.3">
      <c r="A2488" s="42">
        <v>10000000218</v>
      </c>
      <c r="B2488" s="3" t="s">
        <v>833</v>
      </c>
      <c r="C2488" s="4">
        <f t="shared" ca="1" si="21"/>
        <v>45941</v>
      </c>
    </row>
    <row r="2489" spans="1:3" x14ac:dyDescent="0.3">
      <c r="A2489" s="42">
        <v>10000000219</v>
      </c>
      <c r="B2489" s="3" t="s">
        <v>975</v>
      </c>
      <c r="C2489" s="4">
        <f t="shared" ca="1" si="21"/>
        <v>45941</v>
      </c>
    </row>
    <row r="2490" spans="1:3" x14ac:dyDescent="0.3">
      <c r="A2490" s="42">
        <v>10000000065</v>
      </c>
      <c r="B2490" s="3" t="s">
        <v>961</v>
      </c>
      <c r="C2490" s="4">
        <f t="shared" ca="1" si="21"/>
        <v>45941</v>
      </c>
    </row>
    <row r="2491" spans="1:3" x14ac:dyDescent="0.3">
      <c r="A2491" s="42">
        <v>10000000235</v>
      </c>
      <c r="B2491" s="3" t="s">
        <v>886</v>
      </c>
      <c r="C2491" s="4">
        <f t="shared" ca="1" si="21"/>
        <v>45941</v>
      </c>
    </row>
    <row r="2492" spans="1:3" x14ac:dyDescent="0.3">
      <c r="A2492" s="42">
        <v>10000000236</v>
      </c>
      <c r="B2492" s="3" t="s">
        <v>873</v>
      </c>
      <c r="C2492" s="4">
        <f t="shared" ca="1" si="21"/>
        <v>45941</v>
      </c>
    </row>
    <row r="2493" spans="1:3" x14ac:dyDescent="0.3">
      <c r="A2493" s="42">
        <v>10000000296</v>
      </c>
      <c r="B2493" s="3" t="s">
        <v>879</v>
      </c>
      <c r="C2493" s="4">
        <f t="shared" ca="1" si="21"/>
        <v>45941</v>
      </c>
    </row>
    <row r="2494" spans="1:3" x14ac:dyDescent="0.3">
      <c r="A2494" s="42">
        <v>10000000468</v>
      </c>
      <c r="B2494" s="3" t="s">
        <v>916</v>
      </c>
      <c r="C2494" s="4">
        <f t="shared" ca="1" si="21"/>
        <v>45941</v>
      </c>
    </row>
    <row r="2495" spans="1:3" x14ac:dyDescent="0.3">
      <c r="A2495" s="42">
        <v>10000000610</v>
      </c>
      <c r="B2495" s="3" t="s">
        <v>920</v>
      </c>
      <c r="C2495" s="4">
        <f t="shared" ca="1" si="21"/>
        <v>45941</v>
      </c>
    </row>
    <row r="2496" spans="1:3" x14ac:dyDescent="0.3">
      <c r="A2496" s="42">
        <v>10000000669</v>
      </c>
      <c r="B2496" s="3" t="s">
        <v>866</v>
      </c>
      <c r="C2496" s="4">
        <f t="shared" ca="1" si="21"/>
        <v>45941</v>
      </c>
    </row>
    <row r="2497" spans="1:3" x14ac:dyDescent="0.3">
      <c r="A2497" s="42">
        <v>10000000401</v>
      </c>
      <c r="B2497" s="3" t="s">
        <v>1015</v>
      </c>
      <c r="C2497" s="4">
        <f t="shared" ca="1" si="21"/>
        <v>45941</v>
      </c>
    </row>
    <row r="2498" spans="1:3" x14ac:dyDescent="0.3">
      <c r="A2498" s="42">
        <v>10000000254</v>
      </c>
      <c r="B2498" s="3" t="s">
        <v>893</v>
      </c>
      <c r="C2498" s="4">
        <f t="shared" ca="1" si="21"/>
        <v>45941</v>
      </c>
    </row>
    <row r="2499" spans="1:3" x14ac:dyDescent="0.3">
      <c r="A2499" s="42">
        <v>10000000585</v>
      </c>
      <c r="B2499" s="3" t="s">
        <v>989</v>
      </c>
      <c r="C2499" s="4">
        <f t="shared" ca="1" si="21"/>
        <v>45941</v>
      </c>
    </row>
    <row r="2500" spans="1:3" x14ac:dyDescent="0.3">
      <c r="A2500" s="42">
        <v>10000000675</v>
      </c>
      <c r="B2500" s="3" t="s">
        <v>931</v>
      </c>
      <c r="C2500" s="4">
        <f t="shared" ca="1" si="21"/>
        <v>45941</v>
      </c>
    </row>
    <row r="2501" spans="1:3" x14ac:dyDescent="0.3">
      <c r="A2501" s="42">
        <v>10000000089</v>
      </c>
      <c r="B2501" s="3" t="s">
        <v>827</v>
      </c>
      <c r="C2501" s="4">
        <f t="shared" ca="1" si="21"/>
        <v>45941</v>
      </c>
    </row>
    <row r="2502" spans="1:3" x14ac:dyDescent="0.3">
      <c r="A2502" s="42">
        <v>10000000656</v>
      </c>
      <c r="B2502" s="3" t="s">
        <v>940</v>
      </c>
      <c r="C2502" s="4">
        <f t="shared" ca="1" si="21"/>
        <v>45941</v>
      </c>
    </row>
    <row r="2503" spans="1:3" x14ac:dyDescent="0.3">
      <c r="A2503" s="42">
        <v>10000000443</v>
      </c>
      <c r="B2503" s="3" t="s">
        <v>944</v>
      </c>
      <c r="C2503" s="4">
        <f t="shared" ca="1" si="21"/>
        <v>45941</v>
      </c>
    </row>
    <row r="2504" spans="1:3" x14ac:dyDescent="0.3">
      <c r="A2504" s="42">
        <v>10000000549</v>
      </c>
      <c r="B2504" s="3" t="s">
        <v>1012</v>
      </c>
      <c r="C2504" s="4">
        <f t="shared" ca="1" si="21"/>
        <v>45941</v>
      </c>
    </row>
    <row r="2505" spans="1:3" x14ac:dyDescent="0.3">
      <c r="A2505" s="42">
        <v>10000000196</v>
      </c>
      <c r="B2505" s="3" t="s">
        <v>881</v>
      </c>
      <c r="C2505" s="4">
        <f t="shared" ca="1" si="21"/>
        <v>45941</v>
      </c>
    </row>
    <row r="2506" spans="1:3" x14ac:dyDescent="0.3">
      <c r="A2506" s="42">
        <v>10000000150</v>
      </c>
      <c r="B2506" s="3" t="s">
        <v>900</v>
      </c>
      <c r="C2506" s="4">
        <f t="shared" ca="1" si="21"/>
        <v>45941</v>
      </c>
    </row>
    <row r="2507" spans="1:3" x14ac:dyDescent="0.3">
      <c r="A2507" s="42">
        <v>10000000201</v>
      </c>
      <c r="B2507" s="3" t="s">
        <v>1015</v>
      </c>
      <c r="C2507" s="4">
        <f t="shared" ref="C2507:C2644" ca="1" si="22">TODAY()-65</f>
        <v>45972</v>
      </c>
    </row>
    <row r="2508" spans="1:3" x14ac:dyDescent="0.3">
      <c r="A2508" s="42">
        <v>10000000438</v>
      </c>
      <c r="B2508" s="3" t="s">
        <v>867</v>
      </c>
      <c r="C2508" s="4">
        <f t="shared" ca="1" si="22"/>
        <v>45972</v>
      </c>
    </row>
    <row r="2509" spans="1:3" x14ac:dyDescent="0.3">
      <c r="A2509" s="42">
        <v>10000000555</v>
      </c>
      <c r="B2509" s="3" t="s">
        <v>983</v>
      </c>
      <c r="C2509" s="4">
        <f t="shared" ca="1" si="22"/>
        <v>45972</v>
      </c>
    </row>
    <row r="2510" spans="1:3" x14ac:dyDescent="0.3">
      <c r="A2510" s="42">
        <v>10000000086</v>
      </c>
      <c r="B2510" s="3" t="s">
        <v>875</v>
      </c>
      <c r="C2510" s="4">
        <f t="shared" ca="1" si="22"/>
        <v>45972</v>
      </c>
    </row>
    <row r="2511" spans="1:3" x14ac:dyDescent="0.3">
      <c r="A2511" s="42">
        <v>10000000400</v>
      </c>
      <c r="B2511" s="3" t="s">
        <v>997</v>
      </c>
      <c r="C2511" s="4">
        <f t="shared" ca="1" si="22"/>
        <v>45972</v>
      </c>
    </row>
    <row r="2512" spans="1:3" x14ac:dyDescent="0.3">
      <c r="A2512" s="42">
        <v>10000000043</v>
      </c>
      <c r="B2512" s="3" t="s">
        <v>944</v>
      </c>
      <c r="C2512" s="4">
        <f t="shared" ca="1" si="22"/>
        <v>45972</v>
      </c>
    </row>
    <row r="2513" spans="1:3" x14ac:dyDescent="0.3">
      <c r="A2513" s="42">
        <v>10000000162</v>
      </c>
      <c r="B2513" s="3" t="s">
        <v>926</v>
      </c>
      <c r="C2513" s="4">
        <f t="shared" ca="1" si="22"/>
        <v>45972</v>
      </c>
    </row>
    <row r="2514" spans="1:3" x14ac:dyDescent="0.3">
      <c r="A2514" s="42">
        <v>10000000452</v>
      </c>
      <c r="B2514" s="3" t="s">
        <v>976</v>
      </c>
      <c r="C2514" s="4">
        <f t="shared" ca="1" si="22"/>
        <v>45972</v>
      </c>
    </row>
    <row r="2515" spans="1:3" x14ac:dyDescent="0.3">
      <c r="A2515" s="42">
        <v>10000000338</v>
      </c>
      <c r="B2515" s="3" t="s">
        <v>950</v>
      </c>
      <c r="C2515" s="4">
        <f t="shared" ca="1" si="22"/>
        <v>45972</v>
      </c>
    </row>
    <row r="2516" spans="1:3" x14ac:dyDescent="0.3">
      <c r="A2516" s="42">
        <v>10000000539</v>
      </c>
      <c r="B2516" s="3" t="s">
        <v>995</v>
      </c>
      <c r="C2516" s="4">
        <f t="shared" ca="1" si="22"/>
        <v>45972</v>
      </c>
    </row>
    <row r="2517" spans="1:3" x14ac:dyDescent="0.3">
      <c r="A2517" s="42">
        <v>10000000455</v>
      </c>
      <c r="B2517" s="3" t="s">
        <v>888</v>
      </c>
      <c r="C2517" s="4">
        <f t="shared" ca="1" si="22"/>
        <v>45972</v>
      </c>
    </row>
    <row r="2518" spans="1:3" x14ac:dyDescent="0.3">
      <c r="A2518" s="42">
        <v>10000000456</v>
      </c>
      <c r="B2518" s="3" t="s">
        <v>940</v>
      </c>
      <c r="C2518" s="4">
        <f t="shared" ca="1" si="22"/>
        <v>45972</v>
      </c>
    </row>
    <row r="2519" spans="1:3" x14ac:dyDescent="0.3">
      <c r="A2519" s="42">
        <v>10000000639</v>
      </c>
      <c r="B2519" s="3" t="s">
        <v>852</v>
      </c>
      <c r="C2519" s="4">
        <f t="shared" ca="1" si="22"/>
        <v>45972</v>
      </c>
    </row>
    <row r="2520" spans="1:3" x14ac:dyDescent="0.3">
      <c r="A2520" s="42">
        <v>10000000492</v>
      </c>
      <c r="B2520" s="3" t="s">
        <v>865</v>
      </c>
      <c r="C2520" s="4">
        <f t="shared" ca="1" si="22"/>
        <v>45972</v>
      </c>
    </row>
    <row r="2521" spans="1:3" x14ac:dyDescent="0.3">
      <c r="A2521" s="42">
        <v>10000000662</v>
      </c>
      <c r="B2521" s="3" t="s">
        <v>863</v>
      </c>
      <c r="C2521" s="4">
        <f t="shared" ca="1" si="22"/>
        <v>45972</v>
      </c>
    </row>
    <row r="2522" spans="1:3" x14ac:dyDescent="0.3">
      <c r="A2522" s="42">
        <v>10000000397</v>
      </c>
      <c r="B2522" s="3" t="s">
        <v>1001</v>
      </c>
      <c r="C2522" s="4">
        <f t="shared" ca="1" si="22"/>
        <v>45972</v>
      </c>
    </row>
    <row r="2523" spans="1:3" x14ac:dyDescent="0.3">
      <c r="A2523" s="42">
        <v>10000000137</v>
      </c>
      <c r="B2523" s="3" t="s">
        <v>923</v>
      </c>
      <c r="C2523" s="4">
        <f t="shared" ca="1" si="22"/>
        <v>45972</v>
      </c>
    </row>
    <row r="2524" spans="1:3" x14ac:dyDescent="0.3">
      <c r="A2524" s="42">
        <v>10000000392</v>
      </c>
      <c r="B2524" s="3" t="s">
        <v>934</v>
      </c>
      <c r="C2524" s="4">
        <f t="shared" ca="1" si="22"/>
        <v>45972</v>
      </c>
    </row>
    <row r="2525" spans="1:3" x14ac:dyDescent="0.3">
      <c r="A2525" s="42">
        <v>10000000618</v>
      </c>
      <c r="B2525" s="3" t="s">
        <v>833</v>
      </c>
      <c r="C2525" s="4">
        <f t="shared" ca="1" si="22"/>
        <v>45972</v>
      </c>
    </row>
    <row r="2526" spans="1:3" x14ac:dyDescent="0.3">
      <c r="A2526" s="42">
        <v>10000000089</v>
      </c>
      <c r="B2526" s="3" t="s">
        <v>827</v>
      </c>
      <c r="C2526" s="4">
        <f t="shared" ca="1" si="22"/>
        <v>45972</v>
      </c>
    </row>
    <row r="2527" spans="1:3" x14ac:dyDescent="0.3">
      <c r="A2527" s="42">
        <v>10000000063</v>
      </c>
      <c r="B2527" s="3" t="s">
        <v>1008</v>
      </c>
      <c r="C2527" s="4">
        <f t="shared" ca="1" si="22"/>
        <v>45972</v>
      </c>
    </row>
    <row r="2528" spans="1:3" x14ac:dyDescent="0.3">
      <c r="A2528" s="42">
        <v>10000000406</v>
      </c>
      <c r="B2528" s="3" t="s">
        <v>953</v>
      </c>
      <c r="C2528" s="4">
        <f t="shared" ca="1" si="22"/>
        <v>45972</v>
      </c>
    </row>
    <row r="2529" spans="1:3" x14ac:dyDescent="0.3">
      <c r="A2529" s="42">
        <v>10000000649</v>
      </c>
      <c r="B2529" s="3" t="s">
        <v>951</v>
      </c>
      <c r="C2529" s="4">
        <f t="shared" ca="1" si="22"/>
        <v>45972</v>
      </c>
    </row>
    <row r="2530" spans="1:3" x14ac:dyDescent="0.3">
      <c r="A2530" s="42">
        <v>10000000266</v>
      </c>
      <c r="B2530" s="3" t="s">
        <v>895</v>
      </c>
      <c r="C2530" s="4">
        <f t="shared" ca="1" si="22"/>
        <v>45972</v>
      </c>
    </row>
    <row r="2531" spans="1:3" x14ac:dyDescent="0.3">
      <c r="A2531" s="42">
        <v>10000000549</v>
      </c>
      <c r="B2531" s="3" t="s">
        <v>1012</v>
      </c>
      <c r="C2531" s="4">
        <f t="shared" ca="1" si="22"/>
        <v>45972</v>
      </c>
    </row>
    <row r="2532" spans="1:3" x14ac:dyDescent="0.3">
      <c r="A2532" s="42">
        <v>10000000653</v>
      </c>
      <c r="B2532" s="3" t="s">
        <v>822</v>
      </c>
      <c r="C2532" s="4">
        <f t="shared" ca="1" si="22"/>
        <v>45972</v>
      </c>
    </row>
    <row r="2533" spans="1:3" x14ac:dyDescent="0.3">
      <c r="A2533" s="42">
        <v>10000000135</v>
      </c>
      <c r="B2533" s="3" t="s">
        <v>1006</v>
      </c>
      <c r="C2533" s="4">
        <f t="shared" ca="1" si="22"/>
        <v>45972</v>
      </c>
    </row>
    <row r="2534" spans="1:3" x14ac:dyDescent="0.3">
      <c r="A2534" s="42">
        <v>10000000077</v>
      </c>
      <c r="B2534" s="3" t="s">
        <v>971</v>
      </c>
      <c r="C2534" s="4">
        <f t="shared" ca="1" si="22"/>
        <v>45972</v>
      </c>
    </row>
    <row r="2535" spans="1:3" x14ac:dyDescent="0.3">
      <c r="A2535" s="42">
        <v>10000000489</v>
      </c>
      <c r="B2535" s="3" t="s">
        <v>827</v>
      </c>
      <c r="C2535" s="4">
        <f t="shared" ca="1" si="22"/>
        <v>45972</v>
      </c>
    </row>
    <row r="2536" spans="1:3" x14ac:dyDescent="0.3">
      <c r="A2536" s="42">
        <v>10000000201</v>
      </c>
      <c r="B2536" s="3" t="s">
        <v>1015</v>
      </c>
      <c r="C2536" s="4">
        <f t="shared" ca="1" si="22"/>
        <v>45972</v>
      </c>
    </row>
    <row r="2537" spans="1:3" x14ac:dyDescent="0.3">
      <c r="A2537" s="42">
        <v>10000000290</v>
      </c>
      <c r="B2537" s="3" t="s">
        <v>848</v>
      </c>
      <c r="C2537" s="4">
        <f t="shared" ca="1" si="22"/>
        <v>45972</v>
      </c>
    </row>
    <row r="2538" spans="1:3" x14ac:dyDescent="0.3">
      <c r="A2538" s="42">
        <v>10000000092</v>
      </c>
      <c r="B2538" s="3" t="s">
        <v>865</v>
      </c>
      <c r="C2538" s="4">
        <f t="shared" ca="1" si="22"/>
        <v>45972</v>
      </c>
    </row>
    <row r="2539" spans="1:3" x14ac:dyDescent="0.3">
      <c r="A2539" s="42">
        <v>10000000403</v>
      </c>
      <c r="B2539" s="3" t="s">
        <v>952</v>
      </c>
      <c r="C2539" s="4">
        <f t="shared" ca="1" si="22"/>
        <v>45972</v>
      </c>
    </row>
    <row r="2540" spans="1:3" x14ac:dyDescent="0.3">
      <c r="A2540" s="42">
        <v>10000000345</v>
      </c>
      <c r="B2540" s="3" t="s">
        <v>842</v>
      </c>
      <c r="C2540" s="4">
        <f t="shared" ca="1" si="22"/>
        <v>45972</v>
      </c>
    </row>
    <row r="2541" spans="1:3" x14ac:dyDescent="0.3">
      <c r="A2541" s="42">
        <v>10000000040</v>
      </c>
      <c r="B2541" s="3" t="s">
        <v>878</v>
      </c>
      <c r="C2541" s="4">
        <f t="shared" ca="1" si="22"/>
        <v>45972</v>
      </c>
    </row>
    <row r="2542" spans="1:3" x14ac:dyDescent="0.3">
      <c r="A2542" s="42">
        <v>10000000123</v>
      </c>
      <c r="B2542" s="3" t="s">
        <v>988</v>
      </c>
      <c r="C2542" s="4">
        <f t="shared" ca="1" si="22"/>
        <v>45972</v>
      </c>
    </row>
    <row r="2543" spans="1:3" x14ac:dyDescent="0.3">
      <c r="A2543" s="42">
        <v>10000000371</v>
      </c>
      <c r="B2543" s="3" t="s">
        <v>932</v>
      </c>
      <c r="C2543" s="4">
        <f t="shared" ca="1" si="22"/>
        <v>45972</v>
      </c>
    </row>
    <row r="2544" spans="1:3" x14ac:dyDescent="0.3">
      <c r="A2544" s="42">
        <v>10000000166</v>
      </c>
      <c r="B2544" s="3" t="s">
        <v>957</v>
      </c>
      <c r="C2544" s="4">
        <f t="shared" ca="1" si="22"/>
        <v>45972</v>
      </c>
    </row>
    <row r="2545" spans="1:3" x14ac:dyDescent="0.3">
      <c r="A2545" s="42">
        <v>10000000322</v>
      </c>
      <c r="B2545" s="3" t="s">
        <v>824</v>
      </c>
      <c r="C2545" s="4">
        <f t="shared" ca="1" si="22"/>
        <v>45972</v>
      </c>
    </row>
    <row r="2546" spans="1:3" x14ac:dyDescent="0.3">
      <c r="A2546" s="42">
        <v>10000000001</v>
      </c>
      <c r="B2546" s="3" t="s">
        <v>1015</v>
      </c>
      <c r="C2546" s="4">
        <f t="shared" ca="1" si="22"/>
        <v>45972</v>
      </c>
    </row>
    <row r="2547" spans="1:3" x14ac:dyDescent="0.3">
      <c r="A2547" s="42">
        <v>10000000681</v>
      </c>
      <c r="B2547" s="3" t="s">
        <v>964</v>
      </c>
      <c r="C2547" s="4">
        <f t="shared" ca="1" si="22"/>
        <v>45972</v>
      </c>
    </row>
    <row r="2548" spans="1:3" x14ac:dyDescent="0.3">
      <c r="A2548" s="42">
        <v>10000000427</v>
      </c>
      <c r="B2548" s="3" t="s">
        <v>828</v>
      </c>
      <c r="C2548" s="4">
        <f t="shared" ca="1" si="22"/>
        <v>45972</v>
      </c>
    </row>
    <row r="2549" spans="1:3" x14ac:dyDescent="0.3">
      <c r="A2549" s="42">
        <v>10000000663</v>
      </c>
      <c r="B2549" s="3" t="s">
        <v>1008</v>
      </c>
      <c r="C2549" s="4">
        <f t="shared" ca="1" si="22"/>
        <v>45972</v>
      </c>
    </row>
    <row r="2550" spans="1:3" x14ac:dyDescent="0.3">
      <c r="A2550" s="42">
        <v>10000000328</v>
      </c>
      <c r="B2550" s="3" t="s">
        <v>999</v>
      </c>
      <c r="C2550" s="4">
        <f t="shared" ca="1" si="22"/>
        <v>45972</v>
      </c>
    </row>
    <row r="2551" spans="1:3" x14ac:dyDescent="0.3">
      <c r="A2551" s="42">
        <v>10000000126</v>
      </c>
      <c r="B2551" s="3" t="s">
        <v>985</v>
      </c>
      <c r="C2551" s="4">
        <f t="shared" ca="1" si="22"/>
        <v>45972</v>
      </c>
    </row>
    <row r="2552" spans="1:3" x14ac:dyDescent="0.3">
      <c r="A2552" s="42">
        <v>10000000243</v>
      </c>
      <c r="B2552" s="3" t="s">
        <v>944</v>
      </c>
      <c r="C2552" s="4">
        <f t="shared" ca="1" si="22"/>
        <v>45972</v>
      </c>
    </row>
    <row r="2553" spans="1:3" x14ac:dyDescent="0.3">
      <c r="A2553" s="42">
        <v>10000000354</v>
      </c>
      <c r="B2553" s="3" t="s">
        <v>840</v>
      </c>
      <c r="C2553" s="4">
        <f t="shared" ca="1" si="22"/>
        <v>45972</v>
      </c>
    </row>
    <row r="2554" spans="1:3" x14ac:dyDescent="0.3">
      <c r="A2554" s="42">
        <v>10000000091</v>
      </c>
      <c r="B2554" s="3" t="s">
        <v>864</v>
      </c>
      <c r="C2554" s="4">
        <f t="shared" ca="1" si="22"/>
        <v>45972</v>
      </c>
    </row>
    <row r="2555" spans="1:3" x14ac:dyDescent="0.3">
      <c r="A2555" s="42">
        <v>10000000305</v>
      </c>
      <c r="B2555" s="3" t="s">
        <v>968</v>
      </c>
      <c r="C2555" s="4">
        <f t="shared" ca="1" si="22"/>
        <v>45972</v>
      </c>
    </row>
    <row r="2556" spans="1:3" x14ac:dyDescent="0.3">
      <c r="A2556" s="42">
        <v>10000000342</v>
      </c>
      <c r="B2556" s="3" t="s">
        <v>929</v>
      </c>
      <c r="C2556" s="4">
        <f t="shared" ca="1" si="22"/>
        <v>45972</v>
      </c>
    </row>
    <row r="2557" spans="1:3" x14ac:dyDescent="0.3">
      <c r="A2557" s="42">
        <v>10000000539</v>
      </c>
      <c r="B2557" s="3" t="s">
        <v>995</v>
      </c>
      <c r="C2557" s="4">
        <f t="shared" ca="1" si="22"/>
        <v>45972</v>
      </c>
    </row>
    <row r="2558" spans="1:3" x14ac:dyDescent="0.3">
      <c r="A2558" s="42">
        <v>10000000673</v>
      </c>
      <c r="B2558" s="3" t="s">
        <v>941</v>
      </c>
      <c r="C2558" s="4">
        <f t="shared" ca="1" si="22"/>
        <v>45972</v>
      </c>
    </row>
    <row r="2559" spans="1:3" x14ac:dyDescent="0.3">
      <c r="A2559" s="42">
        <v>10000000601</v>
      </c>
      <c r="B2559" s="3" t="s">
        <v>1015</v>
      </c>
      <c r="C2559" s="4">
        <f t="shared" ca="1" si="22"/>
        <v>45972</v>
      </c>
    </row>
    <row r="2560" spans="1:3" x14ac:dyDescent="0.3">
      <c r="A2560" s="42">
        <v>10000000083</v>
      </c>
      <c r="B2560" s="3" t="s">
        <v>958</v>
      </c>
      <c r="C2560" s="4">
        <f t="shared" ca="1" si="22"/>
        <v>45972</v>
      </c>
    </row>
    <row r="2561" spans="1:3" x14ac:dyDescent="0.3">
      <c r="A2561" s="42">
        <v>10000000282</v>
      </c>
      <c r="B2561" s="3" t="s">
        <v>861</v>
      </c>
      <c r="C2561" s="4">
        <f t="shared" ca="1" si="22"/>
        <v>45972</v>
      </c>
    </row>
    <row r="2562" spans="1:3" x14ac:dyDescent="0.3">
      <c r="A2562" s="42">
        <v>10000000167</v>
      </c>
      <c r="B2562" s="3" t="s">
        <v>984</v>
      </c>
      <c r="C2562" s="4">
        <f t="shared" ca="1" si="22"/>
        <v>45972</v>
      </c>
    </row>
    <row r="2563" spans="1:3" x14ac:dyDescent="0.3">
      <c r="A2563" s="42">
        <v>10000000681</v>
      </c>
      <c r="B2563" s="3" t="s">
        <v>964</v>
      </c>
      <c r="C2563" s="4">
        <f t="shared" ca="1" si="22"/>
        <v>45972</v>
      </c>
    </row>
    <row r="2564" spans="1:3" x14ac:dyDescent="0.3">
      <c r="A2564" s="42">
        <v>10000000501</v>
      </c>
      <c r="B2564" s="3" t="s">
        <v>949</v>
      </c>
      <c r="C2564" s="4">
        <f t="shared" ca="1" si="22"/>
        <v>45972</v>
      </c>
    </row>
    <row r="2565" spans="1:3" x14ac:dyDescent="0.3">
      <c r="A2565" s="42">
        <v>10000000379</v>
      </c>
      <c r="B2565" s="3" t="s">
        <v>907</v>
      </c>
      <c r="C2565" s="4">
        <f t="shared" ca="1" si="22"/>
        <v>45972</v>
      </c>
    </row>
    <row r="2566" spans="1:3" x14ac:dyDescent="0.3">
      <c r="A2566" s="42">
        <v>10000000682</v>
      </c>
      <c r="B2566" s="3" t="s">
        <v>861</v>
      </c>
      <c r="C2566" s="4">
        <f t="shared" ca="1" si="22"/>
        <v>45972</v>
      </c>
    </row>
    <row r="2567" spans="1:3" x14ac:dyDescent="0.3">
      <c r="A2567" s="42">
        <v>10000000075</v>
      </c>
      <c r="B2567" s="3" t="s">
        <v>931</v>
      </c>
      <c r="C2567" s="4">
        <f t="shared" ca="1" si="22"/>
        <v>45972</v>
      </c>
    </row>
    <row r="2568" spans="1:3" x14ac:dyDescent="0.3">
      <c r="A2568" s="42">
        <v>10000000160</v>
      </c>
      <c r="B2568" s="3" t="s">
        <v>1009</v>
      </c>
      <c r="C2568" s="4">
        <f t="shared" ca="1" si="22"/>
        <v>45972</v>
      </c>
    </row>
    <row r="2569" spans="1:3" x14ac:dyDescent="0.3">
      <c r="A2569" s="42">
        <v>10000000606</v>
      </c>
      <c r="B2569" s="3" t="s">
        <v>953</v>
      </c>
      <c r="C2569" s="4">
        <f t="shared" ca="1" si="22"/>
        <v>45972</v>
      </c>
    </row>
    <row r="2570" spans="1:3" x14ac:dyDescent="0.3">
      <c r="A2570" s="42">
        <v>10000000524</v>
      </c>
      <c r="B2570" s="3" t="s">
        <v>897</v>
      </c>
      <c r="C2570" s="4">
        <f t="shared" ca="1" si="22"/>
        <v>45972</v>
      </c>
    </row>
    <row r="2571" spans="1:3" x14ac:dyDescent="0.3">
      <c r="A2571" s="42">
        <v>10000000639</v>
      </c>
      <c r="B2571" s="3" t="s">
        <v>852</v>
      </c>
      <c r="C2571" s="4">
        <f t="shared" ca="1" si="22"/>
        <v>45972</v>
      </c>
    </row>
    <row r="2572" spans="1:3" x14ac:dyDescent="0.3">
      <c r="A2572" s="42">
        <v>10000000666</v>
      </c>
      <c r="B2572" s="3" t="s">
        <v>895</v>
      </c>
      <c r="C2572" s="4">
        <f t="shared" ca="1" si="22"/>
        <v>45972</v>
      </c>
    </row>
    <row r="2573" spans="1:3" x14ac:dyDescent="0.3">
      <c r="A2573" s="42">
        <v>10000000556</v>
      </c>
      <c r="B2573" s="3" t="s">
        <v>912</v>
      </c>
      <c r="C2573" s="4">
        <f t="shared" ca="1" si="22"/>
        <v>45972</v>
      </c>
    </row>
    <row r="2574" spans="1:3" x14ac:dyDescent="0.3">
      <c r="A2574" s="42">
        <v>10000000076</v>
      </c>
      <c r="B2574" s="3" t="s">
        <v>899</v>
      </c>
      <c r="C2574" s="4">
        <f t="shared" ca="1" si="22"/>
        <v>45972</v>
      </c>
    </row>
    <row r="2575" spans="1:3" x14ac:dyDescent="0.3">
      <c r="A2575" s="42">
        <v>10000000687</v>
      </c>
      <c r="B2575" s="3" t="s">
        <v>904</v>
      </c>
      <c r="C2575" s="4">
        <f t="shared" ca="1" si="22"/>
        <v>45972</v>
      </c>
    </row>
    <row r="2576" spans="1:3" x14ac:dyDescent="0.3">
      <c r="A2576" s="42">
        <v>10000000177</v>
      </c>
      <c r="B2576" s="3" t="s">
        <v>1004</v>
      </c>
      <c r="C2576" s="4">
        <f t="shared" ca="1" si="22"/>
        <v>45972</v>
      </c>
    </row>
    <row r="2577" spans="1:3" x14ac:dyDescent="0.3">
      <c r="A2577" s="42">
        <v>10000000583</v>
      </c>
      <c r="B2577" s="3" t="s">
        <v>942</v>
      </c>
      <c r="C2577" s="4">
        <f t="shared" ca="1" si="22"/>
        <v>45972</v>
      </c>
    </row>
    <row r="2578" spans="1:3" x14ac:dyDescent="0.3">
      <c r="A2578" s="42">
        <v>10000000615</v>
      </c>
      <c r="B2578" s="3" t="s">
        <v>913</v>
      </c>
      <c r="C2578" s="4">
        <f t="shared" ca="1" si="22"/>
        <v>45972</v>
      </c>
    </row>
    <row r="2579" spans="1:3" x14ac:dyDescent="0.3">
      <c r="A2579" s="42">
        <v>10000000467</v>
      </c>
      <c r="B2579" s="3" t="s">
        <v>820</v>
      </c>
      <c r="C2579" s="4">
        <f t="shared" ca="1" si="22"/>
        <v>45972</v>
      </c>
    </row>
    <row r="2580" spans="1:3" x14ac:dyDescent="0.3">
      <c r="A2580" s="42">
        <v>10000000372</v>
      </c>
      <c r="B2580" s="3" t="s">
        <v>889</v>
      </c>
      <c r="C2580" s="4">
        <f t="shared" ca="1" si="22"/>
        <v>45972</v>
      </c>
    </row>
    <row r="2581" spans="1:3" x14ac:dyDescent="0.3">
      <c r="A2581" s="42">
        <v>10000000294</v>
      </c>
      <c r="B2581" s="3" t="s">
        <v>948</v>
      </c>
      <c r="C2581" s="4">
        <f t="shared" ca="1" si="22"/>
        <v>45972</v>
      </c>
    </row>
    <row r="2582" spans="1:3" x14ac:dyDescent="0.3">
      <c r="A2582" s="42">
        <v>10000000179</v>
      </c>
      <c r="B2582" s="3" t="s">
        <v>907</v>
      </c>
      <c r="C2582" s="4">
        <f t="shared" ca="1" si="22"/>
        <v>45972</v>
      </c>
    </row>
    <row r="2583" spans="1:3" x14ac:dyDescent="0.3">
      <c r="A2583" s="42">
        <v>10000000308</v>
      </c>
      <c r="B2583" s="3" t="s">
        <v>993</v>
      </c>
      <c r="C2583" s="4">
        <f t="shared" ca="1" si="22"/>
        <v>45972</v>
      </c>
    </row>
    <row r="2584" spans="1:3" x14ac:dyDescent="0.3">
      <c r="A2584" s="42">
        <v>10000000362</v>
      </c>
      <c r="B2584" s="3" t="s">
        <v>926</v>
      </c>
      <c r="C2584" s="4">
        <f t="shared" ca="1" si="22"/>
        <v>45972</v>
      </c>
    </row>
    <row r="2585" spans="1:3" x14ac:dyDescent="0.3">
      <c r="A2585" s="42">
        <v>10000000592</v>
      </c>
      <c r="B2585" s="3" t="s">
        <v>934</v>
      </c>
      <c r="C2585" s="4">
        <f t="shared" ca="1" si="22"/>
        <v>45972</v>
      </c>
    </row>
    <row r="2586" spans="1:3" x14ac:dyDescent="0.3">
      <c r="A2586" s="42">
        <v>10000000212</v>
      </c>
      <c r="B2586" s="3" t="s">
        <v>1019</v>
      </c>
      <c r="C2586" s="4">
        <f t="shared" ca="1" si="22"/>
        <v>45972</v>
      </c>
    </row>
    <row r="2587" spans="1:3" x14ac:dyDescent="0.3">
      <c r="A2587" s="42">
        <v>10000000234</v>
      </c>
      <c r="B2587" s="3" t="s">
        <v>910</v>
      </c>
      <c r="C2587" s="4">
        <f t="shared" ca="1" si="22"/>
        <v>45972</v>
      </c>
    </row>
    <row r="2588" spans="1:3" x14ac:dyDescent="0.3">
      <c r="A2588" s="42">
        <v>10000000645</v>
      </c>
      <c r="B2588" s="3" t="s">
        <v>843</v>
      </c>
      <c r="C2588" s="4">
        <f t="shared" ca="1" si="22"/>
        <v>45972</v>
      </c>
    </row>
    <row r="2589" spans="1:3" x14ac:dyDescent="0.3">
      <c r="A2589" s="42">
        <v>10000000238</v>
      </c>
      <c r="B2589" s="3" t="s">
        <v>867</v>
      </c>
      <c r="C2589" s="4">
        <f t="shared" ca="1" si="22"/>
        <v>45972</v>
      </c>
    </row>
    <row r="2590" spans="1:3" x14ac:dyDescent="0.3">
      <c r="A2590" s="42">
        <v>10000000396</v>
      </c>
      <c r="B2590" s="3" t="s">
        <v>881</v>
      </c>
      <c r="C2590" s="4">
        <f t="shared" ca="1" si="22"/>
        <v>45972</v>
      </c>
    </row>
    <row r="2591" spans="1:3" x14ac:dyDescent="0.3">
      <c r="A2591" s="42">
        <v>10000000445</v>
      </c>
      <c r="B2591" s="3" t="s">
        <v>843</v>
      </c>
      <c r="C2591" s="4">
        <f t="shared" ca="1" si="22"/>
        <v>45972</v>
      </c>
    </row>
    <row r="2592" spans="1:3" x14ac:dyDescent="0.3">
      <c r="A2592" s="42">
        <v>10000000232</v>
      </c>
      <c r="B2592" s="3" t="s">
        <v>896</v>
      </c>
      <c r="C2592" s="4">
        <f t="shared" ca="1" si="22"/>
        <v>45972</v>
      </c>
    </row>
    <row r="2593" spans="1:3" x14ac:dyDescent="0.3">
      <c r="A2593" s="42">
        <v>10000000021</v>
      </c>
      <c r="B2593" s="3" t="s">
        <v>917</v>
      </c>
      <c r="C2593" s="4">
        <f t="shared" ca="1" si="22"/>
        <v>45972</v>
      </c>
    </row>
    <row r="2594" spans="1:3" x14ac:dyDescent="0.3">
      <c r="A2594" s="42">
        <v>10000000377</v>
      </c>
      <c r="B2594" s="3" t="s">
        <v>1004</v>
      </c>
      <c r="C2594" s="4">
        <f t="shared" ca="1" si="22"/>
        <v>45972</v>
      </c>
    </row>
    <row r="2595" spans="1:3" x14ac:dyDescent="0.3">
      <c r="A2595" s="42">
        <v>10000000427</v>
      </c>
      <c r="B2595" s="3" t="s">
        <v>828</v>
      </c>
      <c r="C2595" s="4">
        <f t="shared" ca="1" si="22"/>
        <v>45972</v>
      </c>
    </row>
    <row r="2596" spans="1:3" x14ac:dyDescent="0.3">
      <c r="A2596" s="42">
        <v>10000000043</v>
      </c>
      <c r="B2596" s="3" t="s">
        <v>944</v>
      </c>
      <c r="C2596" s="4">
        <f t="shared" ca="1" si="22"/>
        <v>45972</v>
      </c>
    </row>
    <row r="2597" spans="1:3" x14ac:dyDescent="0.3">
      <c r="A2597" s="42">
        <v>10000000331</v>
      </c>
      <c r="B2597" s="3" t="s">
        <v>945</v>
      </c>
      <c r="C2597" s="4">
        <f t="shared" ca="1" si="22"/>
        <v>45972</v>
      </c>
    </row>
    <row r="2598" spans="1:3" x14ac:dyDescent="0.3">
      <c r="A2598" s="42">
        <v>10000000696</v>
      </c>
      <c r="B2598" s="3" t="s">
        <v>879</v>
      </c>
      <c r="C2598" s="4">
        <f t="shared" ca="1" si="22"/>
        <v>45972</v>
      </c>
    </row>
    <row r="2599" spans="1:3" x14ac:dyDescent="0.3">
      <c r="A2599" s="42">
        <v>10000000013</v>
      </c>
      <c r="B2599" s="3" t="s">
        <v>915</v>
      </c>
      <c r="C2599" s="4">
        <f t="shared" ca="1" si="22"/>
        <v>45972</v>
      </c>
    </row>
    <row r="2600" spans="1:3" x14ac:dyDescent="0.3">
      <c r="A2600" s="42">
        <v>10000000155</v>
      </c>
      <c r="B2600" s="3" t="s">
        <v>983</v>
      </c>
      <c r="C2600" s="4">
        <f t="shared" ca="1" si="22"/>
        <v>45972</v>
      </c>
    </row>
    <row r="2601" spans="1:3" x14ac:dyDescent="0.3">
      <c r="A2601" s="42">
        <v>10000000296</v>
      </c>
      <c r="B2601" s="3" t="s">
        <v>879</v>
      </c>
      <c r="C2601" s="4">
        <f t="shared" ca="1" si="22"/>
        <v>45972</v>
      </c>
    </row>
    <row r="2602" spans="1:3" x14ac:dyDescent="0.3">
      <c r="A2602" s="42">
        <v>10000000331</v>
      </c>
      <c r="B2602" s="3" t="s">
        <v>945</v>
      </c>
      <c r="C2602" s="4">
        <f t="shared" ca="1" si="22"/>
        <v>45972</v>
      </c>
    </row>
    <row r="2603" spans="1:3" x14ac:dyDescent="0.3">
      <c r="A2603" s="42">
        <v>10000000646</v>
      </c>
      <c r="B2603" s="3" t="s">
        <v>930</v>
      </c>
      <c r="C2603" s="4">
        <f t="shared" ca="1" si="22"/>
        <v>45972</v>
      </c>
    </row>
    <row r="2604" spans="1:3" x14ac:dyDescent="0.3">
      <c r="A2604" s="42">
        <v>10000000425</v>
      </c>
      <c r="B2604" s="3" t="s">
        <v>872</v>
      </c>
      <c r="C2604" s="4">
        <f t="shared" ca="1" si="22"/>
        <v>45972</v>
      </c>
    </row>
    <row r="2605" spans="1:3" x14ac:dyDescent="0.3">
      <c r="A2605" s="42">
        <v>10000000519</v>
      </c>
      <c r="B2605" s="3" t="s">
        <v>1003</v>
      </c>
      <c r="C2605" s="4">
        <f t="shared" ca="1" si="22"/>
        <v>45972</v>
      </c>
    </row>
    <row r="2606" spans="1:3" x14ac:dyDescent="0.3">
      <c r="A2606" s="42">
        <v>10000000376</v>
      </c>
      <c r="B2606" s="3" t="s">
        <v>978</v>
      </c>
      <c r="C2606" s="4">
        <f t="shared" ca="1" si="22"/>
        <v>45972</v>
      </c>
    </row>
    <row r="2607" spans="1:3" x14ac:dyDescent="0.3">
      <c r="A2607" s="42">
        <v>10000000467</v>
      </c>
      <c r="B2607" s="3" t="s">
        <v>820</v>
      </c>
      <c r="C2607" s="4">
        <f t="shared" ca="1" si="22"/>
        <v>45972</v>
      </c>
    </row>
    <row r="2608" spans="1:3" x14ac:dyDescent="0.3">
      <c r="A2608" s="42">
        <v>10000000622</v>
      </c>
      <c r="B2608" s="3" t="s">
        <v>871</v>
      </c>
      <c r="C2608" s="4">
        <f t="shared" ca="1" si="22"/>
        <v>45972</v>
      </c>
    </row>
    <row r="2609" spans="1:3" x14ac:dyDescent="0.3">
      <c r="A2609" s="42">
        <v>10000000307</v>
      </c>
      <c r="B2609" s="3" t="s">
        <v>906</v>
      </c>
      <c r="C2609" s="4">
        <f t="shared" ca="1" si="22"/>
        <v>45972</v>
      </c>
    </row>
    <row r="2610" spans="1:3" x14ac:dyDescent="0.3">
      <c r="A2610" s="42">
        <v>10000000430</v>
      </c>
      <c r="B2610" s="3" t="s">
        <v>990</v>
      </c>
      <c r="C2610" s="4">
        <f t="shared" ca="1" si="22"/>
        <v>45972</v>
      </c>
    </row>
    <row r="2611" spans="1:3" x14ac:dyDescent="0.3">
      <c r="A2611" s="42">
        <v>10000000241</v>
      </c>
      <c r="B2611" s="3" t="s">
        <v>1013</v>
      </c>
      <c r="C2611" s="4">
        <f t="shared" ca="1" si="22"/>
        <v>45972</v>
      </c>
    </row>
    <row r="2612" spans="1:3" x14ac:dyDescent="0.3">
      <c r="A2612" s="42">
        <v>10000000607</v>
      </c>
      <c r="B2612" s="3" t="s">
        <v>902</v>
      </c>
      <c r="C2612" s="4">
        <f t="shared" ca="1" si="22"/>
        <v>45972</v>
      </c>
    </row>
    <row r="2613" spans="1:3" x14ac:dyDescent="0.3">
      <c r="A2613" s="42">
        <v>10000000010</v>
      </c>
      <c r="B2613" s="3" t="s">
        <v>920</v>
      </c>
      <c r="C2613" s="4">
        <f t="shared" ca="1" si="22"/>
        <v>45972</v>
      </c>
    </row>
    <row r="2614" spans="1:3" x14ac:dyDescent="0.3">
      <c r="A2614" s="42">
        <v>10000000033</v>
      </c>
      <c r="B2614" s="3" t="s">
        <v>876</v>
      </c>
      <c r="C2614" s="4">
        <f t="shared" ca="1" si="22"/>
        <v>45972</v>
      </c>
    </row>
    <row r="2615" spans="1:3" x14ac:dyDescent="0.3">
      <c r="A2615" s="42">
        <v>10000000125</v>
      </c>
      <c r="B2615" s="3" t="s">
        <v>823</v>
      </c>
      <c r="C2615" s="4">
        <f t="shared" ca="1" si="22"/>
        <v>45972</v>
      </c>
    </row>
    <row r="2616" spans="1:3" x14ac:dyDescent="0.3">
      <c r="A2616" s="42">
        <v>10000000373</v>
      </c>
      <c r="B2616" s="3" t="s">
        <v>924</v>
      </c>
      <c r="C2616" s="4">
        <f t="shared" ca="1" si="22"/>
        <v>45972</v>
      </c>
    </row>
    <row r="2617" spans="1:3" x14ac:dyDescent="0.3">
      <c r="A2617" s="42">
        <v>10000000412</v>
      </c>
      <c r="B2617" s="3" t="s">
        <v>1019</v>
      </c>
      <c r="C2617" s="4">
        <f t="shared" ca="1" si="22"/>
        <v>45972</v>
      </c>
    </row>
    <row r="2618" spans="1:3" x14ac:dyDescent="0.3">
      <c r="A2618" s="42">
        <v>10000000451</v>
      </c>
      <c r="B2618" s="3" t="s">
        <v>973</v>
      </c>
      <c r="C2618" s="4">
        <f t="shared" ca="1" si="22"/>
        <v>45972</v>
      </c>
    </row>
    <row r="2619" spans="1:3" x14ac:dyDescent="0.3">
      <c r="A2619" s="42">
        <v>10000000461</v>
      </c>
      <c r="B2619" s="3" t="s">
        <v>850</v>
      </c>
      <c r="C2619" s="4">
        <f t="shared" ca="1" si="22"/>
        <v>45972</v>
      </c>
    </row>
    <row r="2620" spans="1:3" x14ac:dyDescent="0.3">
      <c r="A2620" s="42">
        <v>10000000305</v>
      </c>
      <c r="B2620" s="3" t="s">
        <v>968</v>
      </c>
      <c r="C2620" s="4">
        <f t="shared" ca="1" si="22"/>
        <v>45972</v>
      </c>
    </row>
    <row r="2621" spans="1:3" x14ac:dyDescent="0.3">
      <c r="A2621" s="42">
        <v>10000000563</v>
      </c>
      <c r="B2621" s="3" t="s">
        <v>877</v>
      </c>
      <c r="C2621" s="4">
        <f t="shared" ca="1" si="22"/>
        <v>45972</v>
      </c>
    </row>
    <row r="2622" spans="1:3" x14ac:dyDescent="0.3">
      <c r="A2622" s="42">
        <v>10000000182</v>
      </c>
      <c r="B2622" s="3" t="s">
        <v>955</v>
      </c>
      <c r="C2622" s="4">
        <f t="shared" ca="1" si="22"/>
        <v>45972</v>
      </c>
    </row>
    <row r="2623" spans="1:3" x14ac:dyDescent="0.3">
      <c r="A2623" s="42">
        <v>10000000256</v>
      </c>
      <c r="B2623" s="3" t="s">
        <v>940</v>
      </c>
      <c r="C2623" s="4">
        <f t="shared" ca="1" si="22"/>
        <v>45972</v>
      </c>
    </row>
    <row r="2624" spans="1:3" x14ac:dyDescent="0.3">
      <c r="A2624" s="42">
        <v>10000000506</v>
      </c>
      <c r="B2624" s="3" t="s">
        <v>992</v>
      </c>
      <c r="C2624" s="4">
        <f t="shared" ca="1" si="22"/>
        <v>45972</v>
      </c>
    </row>
    <row r="2625" spans="1:3" x14ac:dyDescent="0.3">
      <c r="A2625" s="42">
        <v>10000000690</v>
      </c>
      <c r="B2625" s="3" t="s">
        <v>848</v>
      </c>
      <c r="C2625" s="4">
        <f t="shared" ca="1" si="22"/>
        <v>45972</v>
      </c>
    </row>
    <row r="2626" spans="1:3" x14ac:dyDescent="0.3">
      <c r="A2626" s="42">
        <v>10000000527</v>
      </c>
      <c r="B2626" s="3" t="s">
        <v>959</v>
      </c>
      <c r="C2626" s="4">
        <f t="shared" ca="1" si="22"/>
        <v>45972</v>
      </c>
    </row>
    <row r="2627" spans="1:3" x14ac:dyDescent="0.3">
      <c r="A2627" s="42">
        <v>10000000207</v>
      </c>
      <c r="B2627" s="3" t="s">
        <v>902</v>
      </c>
      <c r="C2627" s="4">
        <f t="shared" ca="1" si="22"/>
        <v>45972</v>
      </c>
    </row>
    <row r="2628" spans="1:3" x14ac:dyDescent="0.3">
      <c r="A2628" s="42">
        <v>10000000120</v>
      </c>
      <c r="B2628" s="3" t="s">
        <v>979</v>
      </c>
      <c r="C2628" s="4">
        <f t="shared" ca="1" si="22"/>
        <v>45972</v>
      </c>
    </row>
    <row r="2629" spans="1:3" x14ac:dyDescent="0.3">
      <c r="A2629" s="42">
        <v>10000000261</v>
      </c>
      <c r="B2629" s="3" t="s">
        <v>850</v>
      </c>
      <c r="C2629" s="4">
        <f t="shared" ca="1" si="22"/>
        <v>45972</v>
      </c>
    </row>
    <row r="2630" spans="1:3" x14ac:dyDescent="0.3">
      <c r="A2630" s="42">
        <v>10000000671</v>
      </c>
      <c r="B2630" s="3" t="s">
        <v>882</v>
      </c>
      <c r="C2630" s="4">
        <f t="shared" ca="1" si="22"/>
        <v>45972</v>
      </c>
    </row>
    <row r="2631" spans="1:3" x14ac:dyDescent="0.3">
      <c r="A2631" s="42">
        <v>10000000029</v>
      </c>
      <c r="B2631" s="3" t="s">
        <v>898</v>
      </c>
      <c r="C2631" s="4">
        <f t="shared" ca="1" si="22"/>
        <v>45972</v>
      </c>
    </row>
    <row r="2632" spans="1:3" x14ac:dyDescent="0.3">
      <c r="A2632" s="42">
        <v>10000000280</v>
      </c>
      <c r="B2632" s="3" t="s">
        <v>844</v>
      </c>
      <c r="C2632" s="4">
        <f t="shared" ca="1" si="22"/>
        <v>45972</v>
      </c>
    </row>
    <row r="2633" spans="1:3" x14ac:dyDescent="0.3">
      <c r="A2633" s="42">
        <v>10000000262</v>
      </c>
      <c r="B2633" s="3" t="s">
        <v>863</v>
      </c>
      <c r="C2633" s="4">
        <f t="shared" ca="1" si="22"/>
        <v>45972</v>
      </c>
    </row>
    <row r="2634" spans="1:3" x14ac:dyDescent="0.3">
      <c r="A2634" s="42">
        <v>10000000299</v>
      </c>
      <c r="B2634" s="3" t="s">
        <v>1011</v>
      </c>
      <c r="C2634" s="4">
        <f t="shared" ca="1" si="22"/>
        <v>45972</v>
      </c>
    </row>
    <row r="2635" spans="1:3" x14ac:dyDescent="0.3">
      <c r="A2635" s="42">
        <v>10000000374</v>
      </c>
      <c r="B2635" s="3" t="s">
        <v>845</v>
      </c>
      <c r="C2635" s="4">
        <f t="shared" ca="1" si="22"/>
        <v>45972</v>
      </c>
    </row>
    <row r="2636" spans="1:3" x14ac:dyDescent="0.3">
      <c r="A2636" s="42">
        <v>10000000188</v>
      </c>
      <c r="B2636" s="3" t="s">
        <v>954</v>
      </c>
      <c r="C2636" s="4">
        <f t="shared" ca="1" si="22"/>
        <v>45972</v>
      </c>
    </row>
    <row r="2637" spans="1:3" x14ac:dyDescent="0.3">
      <c r="A2637" s="42">
        <v>10000000667</v>
      </c>
      <c r="B2637" s="3" t="s">
        <v>820</v>
      </c>
      <c r="C2637" s="4">
        <f t="shared" ca="1" si="22"/>
        <v>45972</v>
      </c>
    </row>
    <row r="2638" spans="1:3" x14ac:dyDescent="0.3">
      <c r="A2638" s="42">
        <v>10000000285</v>
      </c>
      <c r="B2638" s="3" t="s">
        <v>962</v>
      </c>
      <c r="C2638" s="4">
        <f t="shared" ca="1" si="22"/>
        <v>45972</v>
      </c>
    </row>
    <row r="2639" spans="1:3" x14ac:dyDescent="0.3">
      <c r="A2639" s="42">
        <v>10000000518</v>
      </c>
      <c r="B2639" s="3" t="s">
        <v>1007</v>
      </c>
      <c r="C2639" s="4">
        <f t="shared" ca="1" si="22"/>
        <v>45972</v>
      </c>
    </row>
    <row r="2640" spans="1:3" x14ac:dyDescent="0.3">
      <c r="A2640" s="42">
        <v>10000000181</v>
      </c>
      <c r="B2640" s="3" t="s">
        <v>831</v>
      </c>
      <c r="C2640" s="4">
        <f t="shared" ca="1" si="22"/>
        <v>45972</v>
      </c>
    </row>
    <row r="2641" spans="1:3" x14ac:dyDescent="0.3">
      <c r="A2641" s="42">
        <v>10000000570</v>
      </c>
      <c r="B2641" s="3" t="s">
        <v>937</v>
      </c>
      <c r="C2641" s="4">
        <f t="shared" ca="1" si="22"/>
        <v>45972</v>
      </c>
    </row>
    <row r="2642" spans="1:3" x14ac:dyDescent="0.3">
      <c r="A2642" s="42">
        <v>10000000593</v>
      </c>
      <c r="B2642" s="3" t="s">
        <v>1018</v>
      </c>
      <c r="C2642" s="4">
        <f t="shared" ca="1" si="22"/>
        <v>45972</v>
      </c>
    </row>
    <row r="2643" spans="1:3" x14ac:dyDescent="0.3">
      <c r="A2643" s="42">
        <v>10000000073</v>
      </c>
      <c r="B2643" s="3" t="s">
        <v>941</v>
      </c>
      <c r="C2643" s="4">
        <f t="shared" ca="1" si="22"/>
        <v>45972</v>
      </c>
    </row>
    <row r="2644" spans="1:3" x14ac:dyDescent="0.3">
      <c r="A2644" s="42">
        <v>10000000330</v>
      </c>
      <c r="B2644" s="3" t="s">
        <v>835</v>
      </c>
      <c r="C2644" s="4">
        <f t="shared" ca="1" si="22"/>
        <v>45972</v>
      </c>
    </row>
    <row r="2645" spans="1:3" x14ac:dyDescent="0.3">
      <c r="A2645" s="42">
        <v>10000000486</v>
      </c>
      <c r="B2645" s="3" t="s">
        <v>875</v>
      </c>
      <c r="C2645" s="4">
        <f t="shared" ref="C2645:C2787" ca="1" si="23">TODAY()-37</f>
        <v>46000</v>
      </c>
    </row>
    <row r="2646" spans="1:3" x14ac:dyDescent="0.3">
      <c r="A2646" s="42">
        <v>10000000366</v>
      </c>
      <c r="B2646" s="3" t="s">
        <v>957</v>
      </c>
      <c r="C2646" s="4">
        <f t="shared" ca="1" si="23"/>
        <v>46000</v>
      </c>
    </row>
    <row r="2647" spans="1:3" x14ac:dyDescent="0.3">
      <c r="A2647" s="42">
        <v>10000000289</v>
      </c>
      <c r="B2647" s="3" t="s">
        <v>827</v>
      </c>
      <c r="C2647" s="4">
        <f t="shared" ca="1" si="23"/>
        <v>46000</v>
      </c>
    </row>
    <row r="2648" spans="1:3" x14ac:dyDescent="0.3">
      <c r="A2648" s="42">
        <v>10000000094</v>
      </c>
      <c r="B2648" s="3" t="s">
        <v>948</v>
      </c>
      <c r="C2648" s="4">
        <f t="shared" ca="1" si="23"/>
        <v>46000</v>
      </c>
    </row>
    <row r="2649" spans="1:3" x14ac:dyDescent="0.3">
      <c r="A2649" s="42">
        <v>10000000467</v>
      </c>
      <c r="B2649" s="3" t="s">
        <v>820</v>
      </c>
      <c r="C2649" s="4">
        <f t="shared" ca="1" si="23"/>
        <v>46000</v>
      </c>
    </row>
    <row r="2650" spans="1:3" x14ac:dyDescent="0.3">
      <c r="A2650" s="42">
        <v>10000000447</v>
      </c>
      <c r="B2650" s="3" t="s">
        <v>967</v>
      </c>
      <c r="C2650" s="4">
        <f t="shared" ca="1" si="23"/>
        <v>46000</v>
      </c>
    </row>
    <row r="2651" spans="1:3" x14ac:dyDescent="0.3">
      <c r="A2651" s="42">
        <v>10000000416</v>
      </c>
      <c r="B2651" s="3" t="s">
        <v>874</v>
      </c>
      <c r="C2651" s="4">
        <f t="shared" ca="1" si="23"/>
        <v>46000</v>
      </c>
    </row>
    <row r="2652" spans="1:3" x14ac:dyDescent="0.3">
      <c r="A2652" s="42">
        <v>10000000541</v>
      </c>
      <c r="B2652" s="3" t="s">
        <v>859</v>
      </c>
      <c r="C2652" s="4">
        <f t="shared" ca="1" si="23"/>
        <v>46000</v>
      </c>
    </row>
    <row r="2653" spans="1:3" x14ac:dyDescent="0.3">
      <c r="A2653" s="42">
        <v>10000000163</v>
      </c>
      <c r="B2653" s="3" t="s">
        <v>877</v>
      </c>
      <c r="C2653" s="4">
        <f t="shared" ca="1" si="23"/>
        <v>46000</v>
      </c>
    </row>
    <row r="2654" spans="1:3" x14ac:dyDescent="0.3">
      <c r="A2654" s="42">
        <v>10000000409</v>
      </c>
      <c r="B2654" s="3" t="s">
        <v>919</v>
      </c>
      <c r="C2654" s="4">
        <f t="shared" ca="1" si="23"/>
        <v>46000</v>
      </c>
    </row>
    <row r="2655" spans="1:3" x14ac:dyDescent="0.3">
      <c r="A2655" s="42">
        <v>10000000440</v>
      </c>
      <c r="B2655" s="3" t="s">
        <v>878</v>
      </c>
      <c r="C2655" s="4">
        <f t="shared" ca="1" si="23"/>
        <v>46000</v>
      </c>
    </row>
    <row r="2656" spans="1:3" x14ac:dyDescent="0.3">
      <c r="A2656" s="42">
        <v>10000000431</v>
      </c>
      <c r="B2656" s="3" t="s">
        <v>947</v>
      </c>
      <c r="C2656" s="4">
        <f t="shared" ca="1" si="23"/>
        <v>46000</v>
      </c>
    </row>
    <row r="2657" spans="1:3" x14ac:dyDescent="0.3">
      <c r="A2657" s="42">
        <v>10000000628</v>
      </c>
      <c r="B2657" s="3" t="s">
        <v>960</v>
      </c>
      <c r="C2657" s="4">
        <f t="shared" ca="1" si="23"/>
        <v>46000</v>
      </c>
    </row>
    <row r="2658" spans="1:3" x14ac:dyDescent="0.3">
      <c r="A2658" s="42">
        <v>10000000195</v>
      </c>
      <c r="B2658" s="3" t="s">
        <v>894</v>
      </c>
      <c r="C2658" s="4">
        <f t="shared" ca="1" si="23"/>
        <v>46000</v>
      </c>
    </row>
    <row r="2659" spans="1:3" x14ac:dyDescent="0.3">
      <c r="A2659" s="42">
        <v>10000000669</v>
      </c>
      <c r="B2659" s="3" t="s">
        <v>866</v>
      </c>
      <c r="C2659" s="4">
        <f t="shared" ca="1" si="23"/>
        <v>46000</v>
      </c>
    </row>
    <row r="2660" spans="1:3" x14ac:dyDescent="0.3">
      <c r="A2660" s="42">
        <v>10000000548</v>
      </c>
      <c r="B2660" s="3" t="s">
        <v>829</v>
      </c>
      <c r="C2660" s="4">
        <f t="shared" ca="1" si="23"/>
        <v>46000</v>
      </c>
    </row>
    <row r="2661" spans="1:3" x14ac:dyDescent="0.3">
      <c r="A2661" s="42">
        <v>10000000540</v>
      </c>
      <c r="B2661" s="3" t="s">
        <v>996</v>
      </c>
      <c r="C2661" s="4">
        <f t="shared" ca="1" si="23"/>
        <v>46000</v>
      </c>
    </row>
    <row r="2662" spans="1:3" x14ac:dyDescent="0.3">
      <c r="A2662" s="42">
        <v>10000000651</v>
      </c>
      <c r="B2662" s="3" t="s">
        <v>973</v>
      </c>
      <c r="C2662" s="4">
        <f t="shared" ca="1" si="23"/>
        <v>46000</v>
      </c>
    </row>
    <row r="2663" spans="1:3" x14ac:dyDescent="0.3">
      <c r="A2663" s="42">
        <v>10000000125</v>
      </c>
      <c r="B2663" s="3" t="s">
        <v>823</v>
      </c>
      <c r="C2663" s="4">
        <f t="shared" ca="1" si="23"/>
        <v>46000</v>
      </c>
    </row>
    <row r="2664" spans="1:3" x14ac:dyDescent="0.3">
      <c r="A2664" s="42">
        <v>10000000303</v>
      </c>
      <c r="B2664" s="3" t="s">
        <v>853</v>
      </c>
      <c r="C2664" s="4">
        <f t="shared" ca="1" si="23"/>
        <v>46000</v>
      </c>
    </row>
    <row r="2665" spans="1:3" x14ac:dyDescent="0.3">
      <c r="A2665" s="42">
        <v>10000000566</v>
      </c>
      <c r="B2665" s="3" t="s">
        <v>957</v>
      </c>
      <c r="C2665" s="4">
        <f t="shared" ca="1" si="23"/>
        <v>46000</v>
      </c>
    </row>
    <row r="2666" spans="1:3" x14ac:dyDescent="0.3">
      <c r="A2666" s="42">
        <v>10000000005</v>
      </c>
      <c r="B2666" s="3" t="s">
        <v>855</v>
      </c>
      <c r="C2666" s="4">
        <f t="shared" ca="1" si="23"/>
        <v>46000</v>
      </c>
    </row>
    <row r="2667" spans="1:3" x14ac:dyDescent="0.3">
      <c r="A2667" s="42">
        <v>10000000642</v>
      </c>
      <c r="B2667" s="3" t="s">
        <v>849</v>
      </c>
      <c r="C2667" s="4">
        <f t="shared" ca="1" si="23"/>
        <v>46000</v>
      </c>
    </row>
    <row r="2668" spans="1:3" x14ac:dyDescent="0.3">
      <c r="A2668" s="42">
        <v>10000000259</v>
      </c>
      <c r="B2668" s="3" t="s">
        <v>956</v>
      </c>
      <c r="C2668" s="4">
        <f t="shared" ca="1" si="23"/>
        <v>46000</v>
      </c>
    </row>
    <row r="2669" spans="1:3" x14ac:dyDescent="0.3">
      <c r="A2669" s="42">
        <v>10000000391</v>
      </c>
      <c r="B2669" s="3" t="s">
        <v>987</v>
      </c>
      <c r="C2669" s="4">
        <f t="shared" ca="1" si="23"/>
        <v>46000</v>
      </c>
    </row>
    <row r="2670" spans="1:3" x14ac:dyDescent="0.3">
      <c r="A2670" s="42">
        <v>10000000289</v>
      </c>
      <c r="B2670" s="3" t="s">
        <v>827</v>
      </c>
      <c r="C2670" s="4">
        <f t="shared" ca="1" si="23"/>
        <v>46000</v>
      </c>
    </row>
    <row r="2671" spans="1:3" x14ac:dyDescent="0.3">
      <c r="A2671" s="42">
        <v>10000000640</v>
      </c>
      <c r="B2671" s="3" t="s">
        <v>878</v>
      </c>
      <c r="C2671" s="4">
        <f t="shared" ca="1" si="23"/>
        <v>46000</v>
      </c>
    </row>
    <row r="2672" spans="1:3" x14ac:dyDescent="0.3">
      <c r="A2672" s="42">
        <v>10000000459</v>
      </c>
      <c r="B2672" s="3" t="s">
        <v>956</v>
      </c>
      <c r="C2672" s="4">
        <f t="shared" ca="1" si="23"/>
        <v>46000</v>
      </c>
    </row>
    <row r="2673" spans="1:3" x14ac:dyDescent="0.3">
      <c r="A2673" s="42">
        <v>10000000465</v>
      </c>
      <c r="B2673" s="3" t="s">
        <v>961</v>
      </c>
      <c r="C2673" s="4">
        <f t="shared" ca="1" si="23"/>
        <v>46000</v>
      </c>
    </row>
    <row r="2674" spans="1:3" x14ac:dyDescent="0.3">
      <c r="A2674" s="42">
        <v>10000000199</v>
      </c>
      <c r="B2674" s="3" t="s">
        <v>936</v>
      </c>
      <c r="C2674" s="4">
        <f t="shared" ca="1" si="23"/>
        <v>46000</v>
      </c>
    </row>
    <row r="2675" spans="1:3" x14ac:dyDescent="0.3">
      <c r="A2675" s="42">
        <v>10000000344</v>
      </c>
      <c r="B2675" s="3" t="s">
        <v>854</v>
      </c>
      <c r="C2675" s="4">
        <f t="shared" ca="1" si="23"/>
        <v>46000</v>
      </c>
    </row>
    <row r="2676" spans="1:3" x14ac:dyDescent="0.3">
      <c r="A2676" s="42">
        <v>10000000186</v>
      </c>
      <c r="B2676" s="3" t="s">
        <v>980</v>
      </c>
      <c r="C2676" s="4">
        <f t="shared" ca="1" si="23"/>
        <v>46000</v>
      </c>
    </row>
    <row r="2677" spans="1:3" x14ac:dyDescent="0.3">
      <c r="A2677" s="42">
        <v>10000000072</v>
      </c>
      <c r="B2677" s="3" t="s">
        <v>972</v>
      </c>
      <c r="C2677" s="4">
        <f t="shared" ca="1" si="23"/>
        <v>46000</v>
      </c>
    </row>
    <row r="2678" spans="1:3" x14ac:dyDescent="0.3">
      <c r="A2678" s="42">
        <v>10000000155</v>
      </c>
      <c r="B2678" s="3" t="s">
        <v>983</v>
      </c>
      <c r="C2678" s="4">
        <f t="shared" ca="1" si="23"/>
        <v>46000</v>
      </c>
    </row>
    <row r="2679" spans="1:3" x14ac:dyDescent="0.3">
      <c r="A2679" s="42">
        <v>10000000219</v>
      </c>
      <c r="B2679" s="3" t="s">
        <v>975</v>
      </c>
      <c r="C2679" s="4">
        <f t="shared" ca="1" si="23"/>
        <v>46000</v>
      </c>
    </row>
    <row r="2680" spans="1:3" x14ac:dyDescent="0.3">
      <c r="A2680" s="42">
        <v>10000000465</v>
      </c>
      <c r="B2680" s="3" t="s">
        <v>961</v>
      </c>
      <c r="C2680" s="4">
        <f t="shared" ca="1" si="23"/>
        <v>46000</v>
      </c>
    </row>
    <row r="2681" spans="1:3" x14ac:dyDescent="0.3">
      <c r="A2681" s="42">
        <v>10000000008</v>
      </c>
      <c r="B2681" s="3" t="s">
        <v>933</v>
      </c>
      <c r="C2681" s="4">
        <f t="shared" ca="1" si="23"/>
        <v>46000</v>
      </c>
    </row>
    <row r="2682" spans="1:3" x14ac:dyDescent="0.3">
      <c r="A2682" s="42">
        <v>10000000473</v>
      </c>
      <c r="B2682" s="3" t="s">
        <v>941</v>
      </c>
      <c r="C2682" s="4">
        <f t="shared" ca="1" si="23"/>
        <v>46000</v>
      </c>
    </row>
    <row r="2683" spans="1:3" x14ac:dyDescent="0.3">
      <c r="A2683" s="42">
        <v>10000000057</v>
      </c>
      <c r="B2683" s="3" t="s">
        <v>966</v>
      </c>
      <c r="C2683" s="4">
        <f t="shared" ca="1" si="23"/>
        <v>46000</v>
      </c>
    </row>
    <row r="2684" spans="1:3" x14ac:dyDescent="0.3">
      <c r="A2684" s="42">
        <v>10000000293</v>
      </c>
      <c r="B2684" s="3" t="s">
        <v>969</v>
      </c>
      <c r="C2684" s="4">
        <f t="shared" ca="1" si="23"/>
        <v>46000</v>
      </c>
    </row>
    <row r="2685" spans="1:3" x14ac:dyDescent="0.3">
      <c r="A2685" s="42">
        <v>10000000323</v>
      </c>
      <c r="B2685" s="3" t="s">
        <v>988</v>
      </c>
      <c r="C2685" s="4">
        <f t="shared" ca="1" si="23"/>
        <v>46000</v>
      </c>
    </row>
    <row r="2686" spans="1:3" x14ac:dyDescent="0.3">
      <c r="A2686" s="42">
        <v>10000000180</v>
      </c>
      <c r="B2686" s="3" t="s">
        <v>991</v>
      </c>
      <c r="C2686" s="4">
        <f t="shared" ca="1" si="23"/>
        <v>46000</v>
      </c>
    </row>
    <row r="2687" spans="1:3" x14ac:dyDescent="0.3">
      <c r="A2687" s="42">
        <v>10000000346</v>
      </c>
      <c r="B2687" s="3" t="s">
        <v>826</v>
      </c>
      <c r="C2687" s="4">
        <f t="shared" ca="1" si="23"/>
        <v>46000</v>
      </c>
    </row>
    <row r="2688" spans="1:3" x14ac:dyDescent="0.3">
      <c r="A2688" s="42">
        <v>10000000640</v>
      </c>
      <c r="B2688" s="3" t="s">
        <v>878</v>
      </c>
      <c r="C2688" s="4">
        <f t="shared" ca="1" si="23"/>
        <v>46000</v>
      </c>
    </row>
    <row r="2689" spans="1:3" x14ac:dyDescent="0.3">
      <c r="A2689" s="42">
        <v>10000000111</v>
      </c>
      <c r="B2689" s="3" t="s">
        <v>1017</v>
      </c>
      <c r="C2689" s="4">
        <f t="shared" ca="1" si="23"/>
        <v>46000</v>
      </c>
    </row>
    <row r="2690" spans="1:3" x14ac:dyDescent="0.3">
      <c r="A2690" s="42">
        <v>10000000169</v>
      </c>
      <c r="B2690" s="3" t="s">
        <v>946</v>
      </c>
      <c r="C2690" s="4">
        <f t="shared" ca="1" si="23"/>
        <v>46000</v>
      </c>
    </row>
    <row r="2691" spans="1:3" x14ac:dyDescent="0.3">
      <c r="A2691" s="42">
        <v>10000000062</v>
      </c>
      <c r="B2691" s="3" t="s">
        <v>863</v>
      </c>
      <c r="C2691" s="4">
        <f t="shared" ca="1" si="23"/>
        <v>46000</v>
      </c>
    </row>
    <row r="2692" spans="1:3" x14ac:dyDescent="0.3">
      <c r="A2692" s="42">
        <v>10000000141</v>
      </c>
      <c r="B2692" s="3" t="s">
        <v>859</v>
      </c>
      <c r="C2692" s="4">
        <f t="shared" ca="1" si="23"/>
        <v>46000</v>
      </c>
    </row>
    <row r="2693" spans="1:3" x14ac:dyDescent="0.3">
      <c r="A2693" s="42">
        <v>10000000297</v>
      </c>
      <c r="B2693" s="3" t="s">
        <v>892</v>
      </c>
      <c r="C2693" s="4">
        <f t="shared" ca="1" si="23"/>
        <v>46000</v>
      </c>
    </row>
    <row r="2694" spans="1:3" x14ac:dyDescent="0.3">
      <c r="A2694" s="42">
        <v>10000000601</v>
      </c>
      <c r="B2694" s="3" t="s">
        <v>1015</v>
      </c>
      <c r="C2694" s="4">
        <f t="shared" ca="1" si="23"/>
        <v>46000</v>
      </c>
    </row>
    <row r="2695" spans="1:3" x14ac:dyDescent="0.3">
      <c r="A2695" s="42">
        <v>10000000392</v>
      </c>
      <c r="B2695" s="3" t="s">
        <v>934</v>
      </c>
      <c r="C2695" s="4">
        <f t="shared" ca="1" si="23"/>
        <v>46000</v>
      </c>
    </row>
    <row r="2696" spans="1:3" x14ac:dyDescent="0.3">
      <c r="A2696" s="42">
        <v>10000000075</v>
      </c>
      <c r="B2696" s="3" t="s">
        <v>931</v>
      </c>
      <c r="C2696" s="4">
        <f t="shared" ca="1" si="23"/>
        <v>46000</v>
      </c>
    </row>
    <row r="2697" spans="1:3" x14ac:dyDescent="0.3">
      <c r="A2697" s="42">
        <v>10000000443</v>
      </c>
      <c r="B2697" s="3" t="s">
        <v>944</v>
      </c>
      <c r="C2697" s="4">
        <f t="shared" ca="1" si="23"/>
        <v>46000</v>
      </c>
    </row>
    <row r="2698" spans="1:3" x14ac:dyDescent="0.3">
      <c r="A2698" s="42">
        <v>10000000041</v>
      </c>
      <c r="B2698" s="3" t="s">
        <v>1013</v>
      </c>
      <c r="C2698" s="4">
        <f t="shared" ca="1" si="23"/>
        <v>46000</v>
      </c>
    </row>
    <row r="2699" spans="1:3" x14ac:dyDescent="0.3">
      <c r="A2699" s="42">
        <v>10000000551</v>
      </c>
      <c r="B2699" s="3" t="s">
        <v>862</v>
      </c>
      <c r="C2699" s="4">
        <f t="shared" ca="1" si="23"/>
        <v>46000</v>
      </c>
    </row>
    <row r="2700" spans="1:3" x14ac:dyDescent="0.3">
      <c r="A2700" s="42">
        <v>10000000168</v>
      </c>
      <c r="B2700" s="3" t="s">
        <v>903</v>
      </c>
      <c r="C2700" s="4">
        <f t="shared" ca="1" si="23"/>
        <v>46000</v>
      </c>
    </row>
    <row r="2701" spans="1:3" x14ac:dyDescent="0.3">
      <c r="A2701" s="42">
        <v>10000000227</v>
      </c>
      <c r="B2701" s="3" t="s">
        <v>828</v>
      </c>
      <c r="C2701" s="4">
        <f t="shared" ca="1" si="23"/>
        <v>46000</v>
      </c>
    </row>
    <row r="2702" spans="1:3" x14ac:dyDescent="0.3">
      <c r="A2702" s="42">
        <v>10000000079</v>
      </c>
      <c r="B2702" s="3" t="s">
        <v>901</v>
      </c>
      <c r="C2702" s="4">
        <f t="shared" ca="1" si="23"/>
        <v>46000</v>
      </c>
    </row>
    <row r="2703" spans="1:3" x14ac:dyDescent="0.3">
      <c r="A2703" s="42">
        <v>10000000136</v>
      </c>
      <c r="B2703" s="3" t="s">
        <v>965</v>
      </c>
      <c r="C2703" s="4">
        <f t="shared" ca="1" si="23"/>
        <v>46000</v>
      </c>
    </row>
    <row r="2704" spans="1:3" x14ac:dyDescent="0.3">
      <c r="A2704" s="42">
        <v>10000000665</v>
      </c>
      <c r="B2704" s="3" t="s">
        <v>961</v>
      </c>
      <c r="C2704" s="4">
        <f t="shared" ca="1" si="23"/>
        <v>46000</v>
      </c>
    </row>
    <row r="2705" spans="1:3" x14ac:dyDescent="0.3">
      <c r="A2705" s="42">
        <v>10000000694</v>
      </c>
      <c r="B2705" s="3" t="s">
        <v>948</v>
      </c>
      <c r="C2705" s="4">
        <f t="shared" ca="1" si="23"/>
        <v>46000</v>
      </c>
    </row>
    <row r="2706" spans="1:3" x14ac:dyDescent="0.3">
      <c r="A2706" s="42">
        <v>10000000564</v>
      </c>
      <c r="B2706" s="3" t="s">
        <v>869</v>
      </c>
      <c r="C2706" s="4">
        <f t="shared" ca="1" si="23"/>
        <v>46000</v>
      </c>
    </row>
    <row r="2707" spans="1:3" x14ac:dyDescent="0.3">
      <c r="A2707" s="42">
        <v>10000000114</v>
      </c>
      <c r="B2707" s="3" t="s">
        <v>1000</v>
      </c>
      <c r="C2707" s="4">
        <f t="shared" ca="1" si="23"/>
        <v>46000</v>
      </c>
    </row>
    <row r="2708" spans="1:3" x14ac:dyDescent="0.3">
      <c r="A2708" s="42">
        <v>10000000311</v>
      </c>
      <c r="B2708" s="3" t="s">
        <v>1017</v>
      </c>
      <c r="C2708" s="4">
        <f t="shared" ca="1" si="23"/>
        <v>46000</v>
      </c>
    </row>
    <row r="2709" spans="1:3" x14ac:dyDescent="0.3">
      <c r="A2709" s="42">
        <v>10000000390</v>
      </c>
      <c r="B2709" s="3" t="s">
        <v>860</v>
      </c>
      <c r="C2709" s="4">
        <f t="shared" ca="1" si="23"/>
        <v>46000</v>
      </c>
    </row>
    <row r="2710" spans="1:3" x14ac:dyDescent="0.3">
      <c r="A2710" s="42">
        <v>10000000042</v>
      </c>
      <c r="B2710" s="3" t="s">
        <v>849</v>
      </c>
      <c r="C2710" s="4">
        <f t="shared" ca="1" si="23"/>
        <v>46000</v>
      </c>
    </row>
    <row r="2711" spans="1:3" x14ac:dyDescent="0.3">
      <c r="A2711" s="42">
        <v>10000000694</v>
      </c>
      <c r="B2711" s="3" t="s">
        <v>948</v>
      </c>
      <c r="C2711" s="4">
        <f t="shared" ca="1" si="23"/>
        <v>46000</v>
      </c>
    </row>
    <row r="2712" spans="1:3" x14ac:dyDescent="0.3">
      <c r="A2712" s="42">
        <v>10000000015</v>
      </c>
      <c r="B2712" s="3" t="s">
        <v>913</v>
      </c>
      <c r="C2712" s="4">
        <f t="shared" ca="1" si="23"/>
        <v>46000</v>
      </c>
    </row>
    <row r="2713" spans="1:3" x14ac:dyDescent="0.3">
      <c r="A2713" s="42">
        <v>10000000048</v>
      </c>
      <c r="B2713" s="3" t="s">
        <v>856</v>
      </c>
      <c r="C2713" s="4">
        <f t="shared" ca="1" si="23"/>
        <v>46000</v>
      </c>
    </row>
    <row r="2714" spans="1:3" x14ac:dyDescent="0.3">
      <c r="A2714" s="42">
        <v>10000000223</v>
      </c>
      <c r="B2714" s="3" t="s">
        <v>838</v>
      </c>
      <c r="C2714" s="4">
        <f t="shared" ca="1" si="23"/>
        <v>46000</v>
      </c>
    </row>
    <row r="2715" spans="1:3" x14ac:dyDescent="0.3">
      <c r="A2715" s="42">
        <v>10000000547</v>
      </c>
      <c r="B2715" s="3" t="s">
        <v>982</v>
      </c>
      <c r="C2715" s="4">
        <f t="shared" ca="1" si="23"/>
        <v>46000</v>
      </c>
    </row>
    <row r="2716" spans="1:3" x14ac:dyDescent="0.3">
      <c r="A2716" s="42">
        <v>10000000569</v>
      </c>
      <c r="B2716" s="3" t="s">
        <v>946</v>
      </c>
      <c r="C2716" s="4">
        <f t="shared" ca="1" si="23"/>
        <v>46000</v>
      </c>
    </row>
    <row r="2717" spans="1:3" x14ac:dyDescent="0.3">
      <c r="A2717" s="42">
        <v>10000000072</v>
      </c>
      <c r="B2717" s="3" t="s">
        <v>972</v>
      </c>
      <c r="C2717" s="4">
        <f t="shared" ca="1" si="23"/>
        <v>46000</v>
      </c>
    </row>
    <row r="2718" spans="1:3" x14ac:dyDescent="0.3">
      <c r="A2718" s="42">
        <v>10000000625</v>
      </c>
      <c r="B2718" s="3" t="s">
        <v>872</v>
      </c>
      <c r="C2718" s="4">
        <f t="shared" ca="1" si="23"/>
        <v>46000</v>
      </c>
    </row>
    <row r="2719" spans="1:3" x14ac:dyDescent="0.3">
      <c r="A2719" s="42">
        <v>10000000486</v>
      </c>
      <c r="B2719" s="3" t="s">
        <v>875</v>
      </c>
      <c r="C2719" s="4">
        <f t="shared" ca="1" si="23"/>
        <v>46000</v>
      </c>
    </row>
    <row r="2720" spans="1:3" x14ac:dyDescent="0.3">
      <c r="A2720" s="42">
        <v>10000000671</v>
      </c>
      <c r="B2720" s="3" t="s">
        <v>882</v>
      </c>
      <c r="C2720" s="4">
        <f t="shared" ca="1" si="23"/>
        <v>46000</v>
      </c>
    </row>
    <row r="2721" spans="1:3" x14ac:dyDescent="0.3">
      <c r="A2721" s="42">
        <v>10000000643</v>
      </c>
      <c r="B2721" s="3" t="s">
        <v>944</v>
      </c>
      <c r="C2721" s="4">
        <f t="shared" ca="1" si="23"/>
        <v>46000</v>
      </c>
    </row>
    <row r="2722" spans="1:3" x14ac:dyDescent="0.3">
      <c r="A2722" s="42">
        <v>10000000682</v>
      </c>
      <c r="B2722" s="3" t="s">
        <v>861</v>
      </c>
      <c r="C2722" s="4">
        <f t="shared" ca="1" si="23"/>
        <v>46000</v>
      </c>
    </row>
    <row r="2723" spans="1:3" x14ac:dyDescent="0.3">
      <c r="A2723" s="42">
        <v>10000000020</v>
      </c>
      <c r="B2723" s="3" t="s">
        <v>851</v>
      </c>
      <c r="C2723" s="4">
        <f t="shared" ca="1" si="23"/>
        <v>46000</v>
      </c>
    </row>
    <row r="2724" spans="1:3" x14ac:dyDescent="0.3">
      <c r="A2724" s="42">
        <v>10000000515</v>
      </c>
      <c r="B2724" s="3" t="s">
        <v>870</v>
      </c>
      <c r="C2724" s="4">
        <f t="shared" ca="1" si="23"/>
        <v>46000</v>
      </c>
    </row>
    <row r="2725" spans="1:3" x14ac:dyDescent="0.3">
      <c r="A2725" s="42">
        <v>10000000695</v>
      </c>
      <c r="B2725" s="3" t="s">
        <v>908</v>
      </c>
      <c r="C2725" s="4">
        <f t="shared" ca="1" si="23"/>
        <v>46000</v>
      </c>
    </row>
    <row r="2726" spans="1:3" x14ac:dyDescent="0.3">
      <c r="A2726" s="42">
        <v>10000000631</v>
      </c>
      <c r="B2726" s="3" t="s">
        <v>947</v>
      </c>
      <c r="C2726" s="4">
        <f t="shared" ca="1" si="23"/>
        <v>46000</v>
      </c>
    </row>
    <row r="2727" spans="1:3" x14ac:dyDescent="0.3">
      <c r="A2727" s="42">
        <v>10000000259</v>
      </c>
      <c r="B2727" s="3" t="s">
        <v>956</v>
      </c>
      <c r="C2727" s="4">
        <f t="shared" ca="1" si="23"/>
        <v>46000</v>
      </c>
    </row>
    <row r="2728" spans="1:3" x14ac:dyDescent="0.3">
      <c r="A2728" s="42">
        <v>10000000543</v>
      </c>
      <c r="B2728" s="3" t="s">
        <v>1014</v>
      </c>
      <c r="C2728" s="4">
        <f t="shared" ca="1" si="23"/>
        <v>46000</v>
      </c>
    </row>
    <row r="2729" spans="1:3" x14ac:dyDescent="0.3">
      <c r="A2729" s="42">
        <v>10000000624</v>
      </c>
      <c r="B2729" s="3" t="s">
        <v>891</v>
      </c>
      <c r="C2729" s="4">
        <f t="shared" ca="1" si="23"/>
        <v>46000</v>
      </c>
    </row>
    <row r="2730" spans="1:3" x14ac:dyDescent="0.3">
      <c r="A2730" s="42">
        <v>10000000085</v>
      </c>
      <c r="B2730" s="3" t="s">
        <v>962</v>
      </c>
      <c r="C2730" s="4">
        <f t="shared" ca="1" si="23"/>
        <v>46000</v>
      </c>
    </row>
    <row r="2731" spans="1:3" x14ac:dyDescent="0.3">
      <c r="A2731" s="42">
        <v>10000000404</v>
      </c>
      <c r="B2731" s="3" t="s">
        <v>925</v>
      </c>
      <c r="C2731" s="4">
        <f t="shared" ca="1" si="23"/>
        <v>46000</v>
      </c>
    </row>
    <row r="2732" spans="1:3" x14ac:dyDescent="0.3">
      <c r="A2732" s="42">
        <v>10000000632</v>
      </c>
      <c r="B2732" s="3" t="s">
        <v>896</v>
      </c>
      <c r="C2732" s="4">
        <f t="shared" ca="1" si="23"/>
        <v>46000</v>
      </c>
    </row>
    <row r="2733" spans="1:3" x14ac:dyDescent="0.3">
      <c r="A2733" s="42">
        <v>10000000631</v>
      </c>
      <c r="B2733" s="3" t="s">
        <v>947</v>
      </c>
      <c r="C2733" s="4">
        <f t="shared" ca="1" si="23"/>
        <v>46000</v>
      </c>
    </row>
    <row r="2734" spans="1:3" x14ac:dyDescent="0.3">
      <c r="A2734" s="42">
        <v>10000000103</v>
      </c>
      <c r="B2734" s="3" t="s">
        <v>853</v>
      </c>
      <c r="C2734" s="4">
        <f t="shared" ca="1" si="23"/>
        <v>46000</v>
      </c>
    </row>
    <row r="2735" spans="1:3" x14ac:dyDescent="0.3">
      <c r="A2735" s="42">
        <v>10000000178</v>
      </c>
      <c r="B2735" s="3" t="s">
        <v>890</v>
      </c>
      <c r="C2735" s="4">
        <f t="shared" ca="1" si="23"/>
        <v>46000</v>
      </c>
    </row>
    <row r="2736" spans="1:3" x14ac:dyDescent="0.3">
      <c r="A2736" s="42">
        <v>10000000382</v>
      </c>
      <c r="B2736" s="3" t="s">
        <v>955</v>
      </c>
      <c r="C2736" s="4">
        <f t="shared" ca="1" si="23"/>
        <v>46000</v>
      </c>
    </row>
    <row r="2737" spans="1:3" x14ac:dyDescent="0.3">
      <c r="A2737" s="42">
        <v>10000000633</v>
      </c>
      <c r="B2737" s="3" t="s">
        <v>876</v>
      </c>
      <c r="C2737" s="4">
        <f t="shared" ca="1" si="23"/>
        <v>46000</v>
      </c>
    </row>
    <row r="2738" spans="1:3" x14ac:dyDescent="0.3">
      <c r="A2738" s="42">
        <v>10000000399</v>
      </c>
      <c r="B2738" s="3" t="s">
        <v>936</v>
      </c>
      <c r="C2738" s="4">
        <f t="shared" ca="1" si="23"/>
        <v>46000</v>
      </c>
    </row>
    <row r="2739" spans="1:3" x14ac:dyDescent="0.3">
      <c r="A2739" s="42">
        <v>10000000403</v>
      </c>
      <c r="B2739" s="3" t="s">
        <v>952</v>
      </c>
      <c r="C2739" s="4">
        <f t="shared" ca="1" si="23"/>
        <v>46000</v>
      </c>
    </row>
    <row r="2740" spans="1:3" x14ac:dyDescent="0.3">
      <c r="A2740" s="42">
        <v>10000000298</v>
      </c>
      <c r="B2740" s="3" t="s">
        <v>1016</v>
      </c>
      <c r="C2740" s="4">
        <f t="shared" ca="1" si="23"/>
        <v>46000</v>
      </c>
    </row>
    <row r="2741" spans="1:3" x14ac:dyDescent="0.3">
      <c r="A2741" s="42">
        <v>10000000349</v>
      </c>
      <c r="B2741" s="3" t="s">
        <v>1012</v>
      </c>
      <c r="C2741" s="4">
        <f t="shared" ca="1" si="23"/>
        <v>46000</v>
      </c>
    </row>
    <row r="2742" spans="1:3" x14ac:dyDescent="0.3">
      <c r="A2742" s="42">
        <v>10000000362</v>
      </c>
      <c r="B2742" s="3" t="s">
        <v>926</v>
      </c>
      <c r="C2742" s="4">
        <f t="shared" ca="1" si="23"/>
        <v>46000</v>
      </c>
    </row>
    <row r="2743" spans="1:3" x14ac:dyDescent="0.3">
      <c r="A2743" s="42">
        <v>10000000337</v>
      </c>
      <c r="B2743" s="3" t="s">
        <v>923</v>
      </c>
      <c r="C2743" s="4">
        <f t="shared" ca="1" si="23"/>
        <v>46000</v>
      </c>
    </row>
    <row r="2744" spans="1:3" x14ac:dyDescent="0.3">
      <c r="A2744" s="42">
        <v>10000000541</v>
      </c>
      <c r="B2744" s="3" t="s">
        <v>859</v>
      </c>
      <c r="C2744" s="4">
        <f t="shared" ca="1" si="23"/>
        <v>46000</v>
      </c>
    </row>
    <row r="2745" spans="1:3" x14ac:dyDescent="0.3">
      <c r="A2745" s="42">
        <v>10000000569</v>
      </c>
      <c r="B2745" s="3" t="s">
        <v>946</v>
      </c>
      <c r="C2745" s="4">
        <f t="shared" ca="1" si="23"/>
        <v>46000</v>
      </c>
    </row>
    <row r="2746" spans="1:3" x14ac:dyDescent="0.3">
      <c r="A2746" s="42">
        <v>10000000117</v>
      </c>
      <c r="B2746" s="3" t="s">
        <v>918</v>
      </c>
      <c r="C2746" s="4">
        <f t="shared" ca="1" si="23"/>
        <v>46000</v>
      </c>
    </row>
    <row r="2747" spans="1:3" x14ac:dyDescent="0.3">
      <c r="A2747" s="42">
        <v>10000000637</v>
      </c>
      <c r="B2747" s="3" t="s">
        <v>885</v>
      </c>
      <c r="C2747" s="4">
        <f t="shared" ca="1" si="23"/>
        <v>46000</v>
      </c>
    </row>
    <row r="2748" spans="1:3" x14ac:dyDescent="0.3">
      <c r="A2748" s="42">
        <v>10000000283</v>
      </c>
      <c r="B2748" s="3" t="s">
        <v>958</v>
      </c>
      <c r="C2748" s="4">
        <f t="shared" ca="1" si="23"/>
        <v>46000</v>
      </c>
    </row>
    <row r="2749" spans="1:3" x14ac:dyDescent="0.3">
      <c r="A2749" s="42">
        <v>10000000529</v>
      </c>
      <c r="B2749" s="3" t="s">
        <v>909</v>
      </c>
      <c r="C2749" s="4">
        <f t="shared" ca="1" si="23"/>
        <v>46000</v>
      </c>
    </row>
    <row r="2750" spans="1:3" x14ac:dyDescent="0.3">
      <c r="A2750" s="42">
        <v>10000000321</v>
      </c>
      <c r="B2750" s="3" t="s">
        <v>884</v>
      </c>
      <c r="C2750" s="4">
        <f t="shared" ca="1" si="23"/>
        <v>46000</v>
      </c>
    </row>
    <row r="2751" spans="1:3" x14ac:dyDescent="0.3">
      <c r="A2751" s="42">
        <v>10000000365</v>
      </c>
      <c r="B2751" s="3" t="s">
        <v>914</v>
      </c>
      <c r="C2751" s="4">
        <f t="shared" ca="1" si="23"/>
        <v>46000</v>
      </c>
    </row>
    <row r="2752" spans="1:3" x14ac:dyDescent="0.3">
      <c r="A2752" s="42">
        <v>10000000252</v>
      </c>
      <c r="B2752" s="3" t="s">
        <v>976</v>
      </c>
      <c r="C2752" s="4">
        <f t="shared" ca="1" si="23"/>
        <v>46000</v>
      </c>
    </row>
    <row r="2753" spans="1:3" x14ac:dyDescent="0.3">
      <c r="A2753" s="42">
        <v>10000000349</v>
      </c>
      <c r="B2753" s="3" t="s">
        <v>1012</v>
      </c>
      <c r="C2753" s="4">
        <f t="shared" ca="1" si="23"/>
        <v>46000</v>
      </c>
    </row>
    <row r="2754" spans="1:3" x14ac:dyDescent="0.3">
      <c r="A2754" s="42">
        <v>10000000496</v>
      </c>
      <c r="B2754" s="3" t="s">
        <v>879</v>
      </c>
      <c r="C2754" s="4">
        <f t="shared" ca="1" si="23"/>
        <v>46000</v>
      </c>
    </row>
    <row r="2755" spans="1:3" x14ac:dyDescent="0.3">
      <c r="A2755" s="42">
        <v>10000000064</v>
      </c>
      <c r="B2755" s="3" t="s">
        <v>858</v>
      </c>
      <c r="C2755" s="4">
        <f t="shared" ca="1" si="23"/>
        <v>46000</v>
      </c>
    </row>
    <row r="2756" spans="1:3" x14ac:dyDescent="0.3">
      <c r="A2756" s="42">
        <v>10000000098</v>
      </c>
      <c r="B2756" s="3" t="s">
        <v>1016</v>
      </c>
      <c r="C2756" s="4">
        <f t="shared" ca="1" si="23"/>
        <v>46000</v>
      </c>
    </row>
    <row r="2757" spans="1:3" x14ac:dyDescent="0.3">
      <c r="A2757" s="42">
        <v>10000000281</v>
      </c>
      <c r="B2757" s="3" t="s">
        <v>964</v>
      </c>
      <c r="C2757" s="4">
        <f t="shared" ca="1" si="23"/>
        <v>46000</v>
      </c>
    </row>
    <row r="2758" spans="1:3" x14ac:dyDescent="0.3">
      <c r="A2758" s="42">
        <v>10000000420</v>
      </c>
      <c r="B2758" s="3" t="s">
        <v>851</v>
      </c>
      <c r="C2758" s="4">
        <f t="shared" ca="1" si="23"/>
        <v>46000</v>
      </c>
    </row>
    <row r="2759" spans="1:3" x14ac:dyDescent="0.3">
      <c r="A2759" s="42">
        <v>10000000375</v>
      </c>
      <c r="B2759" s="3" t="s">
        <v>943</v>
      </c>
      <c r="C2759" s="4">
        <f t="shared" ca="1" si="23"/>
        <v>46000</v>
      </c>
    </row>
    <row r="2760" spans="1:3" x14ac:dyDescent="0.3">
      <c r="A2760" s="42">
        <v>10000000386</v>
      </c>
      <c r="B2760" s="3" t="s">
        <v>980</v>
      </c>
      <c r="C2760" s="4">
        <f t="shared" ca="1" si="23"/>
        <v>46000</v>
      </c>
    </row>
    <row r="2761" spans="1:3" x14ac:dyDescent="0.3">
      <c r="A2761" s="42">
        <v>10000000405</v>
      </c>
      <c r="B2761" s="3" t="s">
        <v>855</v>
      </c>
      <c r="C2761" s="4">
        <f t="shared" ca="1" si="23"/>
        <v>46000</v>
      </c>
    </row>
    <row r="2762" spans="1:3" x14ac:dyDescent="0.3">
      <c r="A2762" s="42">
        <v>10000000686</v>
      </c>
      <c r="B2762" s="3" t="s">
        <v>875</v>
      </c>
      <c r="C2762" s="4">
        <f t="shared" ca="1" si="23"/>
        <v>46000</v>
      </c>
    </row>
    <row r="2763" spans="1:3" x14ac:dyDescent="0.3">
      <c r="A2763" s="42">
        <v>10000000651</v>
      </c>
      <c r="B2763" s="3" t="s">
        <v>973</v>
      </c>
      <c r="C2763" s="4">
        <f t="shared" ca="1" si="23"/>
        <v>46000</v>
      </c>
    </row>
    <row r="2764" spans="1:3" x14ac:dyDescent="0.3">
      <c r="A2764" s="42">
        <v>10000000105</v>
      </c>
      <c r="B2764" s="3" t="s">
        <v>968</v>
      </c>
      <c r="C2764" s="4">
        <f t="shared" ca="1" si="23"/>
        <v>46000</v>
      </c>
    </row>
    <row r="2765" spans="1:3" x14ac:dyDescent="0.3">
      <c r="A2765" s="42">
        <v>10000000230</v>
      </c>
      <c r="B2765" s="3" t="s">
        <v>990</v>
      </c>
      <c r="C2765" s="4">
        <f t="shared" ca="1" si="23"/>
        <v>46000</v>
      </c>
    </row>
    <row r="2766" spans="1:3" x14ac:dyDescent="0.3">
      <c r="A2766" s="42">
        <v>10000000068</v>
      </c>
      <c r="B2766" s="3" t="s">
        <v>916</v>
      </c>
      <c r="C2766" s="4">
        <f t="shared" ca="1" si="23"/>
        <v>46000</v>
      </c>
    </row>
    <row r="2767" spans="1:3" x14ac:dyDescent="0.3">
      <c r="A2767" s="42">
        <v>10000000559</v>
      </c>
      <c r="B2767" s="3" t="s">
        <v>998</v>
      </c>
      <c r="C2767" s="4">
        <f t="shared" ca="1" si="23"/>
        <v>46000</v>
      </c>
    </row>
    <row r="2768" spans="1:3" x14ac:dyDescent="0.3">
      <c r="A2768" s="42">
        <v>10000000567</v>
      </c>
      <c r="B2768" s="3" t="s">
        <v>984</v>
      </c>
      <c r="C2768" s="4">
        <f t="shared" ca="1" si="23"/>
        <v>46000</v>
      </c>
    </row>
    <row r="2769" spans="1:3" x14ac:dyDescent="0.3">
      <c r="A2769" s="42">
        <v>10000000144</v>
      </c>
      <c r="B2769" s="3" t="s">
        <v>854</v>
      </c>
      <c r="C2769" s="4">
        <f t="shared" ca="1" si="23"/>
        <v>46000</v>
      </c>
    </row>
    <row r="2770" spans="1:3" x14ac:dyDescent="0.3">
      <c r="A2770" s="42">
        <v>10000000631</v>
      </c>
      <c r="B2770" s="3" t="s">
        <v>947</v>
      </c>
      <c r="C2770" s="4">
        <f t="shared" ca="1" si="23"/>
        <v>46000</v>
      </c>
    </row>
    <row r="2771" spans="1:3" x14ac:dyDescent="0.3">
      <c r="A2771" s="42">
        <v>10000000186</v>
      </c>
      <c r="B2771" s="3" t="s">
        <v>980</v>
      </c>
      <c r="C2771" s="4">
        <f t="shared" ca="1" si="23"/>
        <v>46000</v>
      </c>
    </row>
    <row r="2772" spans="1:3" x14ac:dyDescent="0.3">
      <c r="A2772" s="42">
        <v>10000000421</v>
      </c>
      <c r="B2772" s="3" t="s">
        <v>917</v>
      </c>
      <c r="C2772" s="4">
        <f t="shared" ca="1" si="23"/>
        <v>46000</v>
      </c>
    </row>
    <row r="2773" spans="1:3" x14ac:dyDescent="0.3">
      <c r="A2773" s="42">
        <v>10000000032</v>
      </c>
      <c r="B2773" s="3" t="s">
        <v>896</v>
      </c>
      <c r="C2773" s="4">
        <f t="shared" ca="1" si="23"/>
        <v>46000</v>
      </c>
    </row>
    <row r="2774" spans="1:3" x14ac:dyDescent="0.3">
      <c r="A2774" s="42">
        <v>10000000496</v>
      </c>
      <c r="B2774" s="3" t="s">
        <v>879</v>
      </c>
      <c r="C2774" s="4">
        <f t="shared" ca="1" si="23"/>
        <v>46000</v>
      </c>
    </row>
    <row r="2775" spans="1:3" x14ac:dyDescent="0.3">
      <c r="A2775" s="42">
        <v>10000000154</v>
      </c>
      <c r="B2775" s="3" t="s">
        <v>840</v>
      </c>
      <c r="C2775" s="4">
        <f t="shared" ca="1" si="23"/>
        <v>46000</v>
      </c>
    </row>
    <row r="2776" spans="1:3" x14ac:dyDescent="0.3">
      <c r="A2776" s="42">
        <v>10000000047</v>
      </c>
      <c r="B2776" s="3" t="s">
        <v>967</v>
      </c>
      <c r="C2776" s="4">
        <f t="shared" ca="1" si="23"/>
        <v>46000</v>
      </c>
    </row>
    <row r="2777" spans="1:3" x14ac:dyDescent="0.3">
      <c r="A2777" s="42">
        <v>10000000207</v>
      </c>
      <c r="B2777" s="3" t="s">
        <v>902</v>
      </c>
      <c r="C2777" s="4">
        <f t="shared" ca="1" si="23"/>
        <v>46000</v>
      </c>
    </row>
    <row r="2778" spans="1:3" x14ac:dyDescent="0.3">
      <c r="A2778" s="42">
        <v>10000000640</v>
      </c>
      <c r="B2778" s="3" t="s">
        <v>878</v>
      </c>
      <c r="C2778" s="4">
        <f t="shared" ca="1" si="23"/>
        <v>46000</v>
      </c>
    </row>
    <row r="2779" spans="1:3" x14ac:dyDescent="0.3">
      <c r="A2779" s="42">
        <v>10000000694</v>
      </c>
      <c r="B2779" s="3" t="s">
        <v>948</v>
      </c>
      <c r="C2779" s="4">
        <f t="shared" ca="1" si="23"/>
        <v>46000</v>
      </c>
    </row>
    <row r="2780" spans="1:3" x14ac:dyDescent="0.3">
      <c r="A2780" s="42">
        <v>10000000187</v>
      </c>
      <c r="B2780" s="3" t="s">
        <v>905</v>
      </c>
      <c r="C2780" s="4">
        <f t="shared" ca="1" si="23"/>
        <v>46000</v>
      </c>
    </row>
    <row r="2781" spans="1:3" x14ac:dyDescent="0.3">
      <c r="A2781" s="42">
        <v>10000000616</v>
      </c>
      <c r="B2781" s="3" t="s">
        <v>874</v>
      </c>
      <c r="C2781" s="4">
        <f t="shared" ca="1" si="23"/>
        <v>46000</v>
      </c>
    </row>
    <row r="2782" spans="1:3" x14ac:dyDescent="0.3">
      <c r="A2782" s="42">
        <v>10000000331</v>
      </c>
      <c r="B2782" s="3" t="s">
        <v>945</v>
      </c>
      <c r="C2782" s="4">
        <f t="shared" ca="1" si="23"/>
        <v>46000</v>
      </c>
    </row>
    <row r="2783" spans="1:3" x14ac:dyDescent="0.3">
      <c r="A2783" s="42">
        <v>10000000440</v>
      </c>
      <c r="B2783" s="3" t="s">
        <v>878</v>
      </c>
      <c r="C2783" s="4">
        <f t="shared" ca="1" si="23"/>
        <v>46000</v>
      </c>
    </row>
    <row r="2784" spans="1:3" x14ac:dyDescent="0.3">
      <c r="A2784" s="42">
        <v>10000000419</v>
      </c>
      <c r="B2784" s="3" t="s">
        <v>975</v>
      </c>
      <c r="C2784" s="4">
        <f t="shared" ca="1" si="23"/>
        <v>46000</v>
      </c>
    </row>
    <row r="2785" spans="1:3" x14ac:dyDescent="0.3">
      <c r="A2785" s="42">
        <v>10000000629</v>
      </c>
      <c r="B2785" s="3" t="s">
        <v>898</v>
      </c>
      <c r="C2785" s="4">
        <f t="shared" ca="1" si="23"/>
        <v>46000</v>
      </c>
    </row>
    <row r="2786" spans="1:3" x14ac:dyDescent="0.3">
      <c r="A2786" s="42">
        <v>10000000318</v>
      </c>
      <c r="B2786" s="3" t="s">
        <v>1007</v>
      </c>
      <c r="C2786" s="4">
        <f t="shared" ca="1" si="23"/>
        <v>46000</v>
      </c>
    </row>
    <row r="2787" spans="1:3" x14ac:dyDescent="0.3">
      <c r="A2787" s="42">
        <v>10000000516</v>
      </c>
      <c r="B2787" s="3" t="s">
        <v>847</v>
      </c>
      <c r="C2787" s="4">
        <f t="shared" ca="1" si="23"/>
        <v>46000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F4DC-A50E-6B4F-BA60-88593D56B710}">
  <sheetPr>
    <tabColor rgb="FFCCE9FF"/>
  </sheetPr>
  <dimension ref="A1:H2611"/>
  <sheetViews>
    <sheetView workbookViewId="0">
      <selection activeCell="J11" sqref="J11"/>
    </sheetView>
  </sheetViews>
  <sheetFormatPr defaultColWidth="10.90625" defaultRowHeight="13" x14ac:dyDescent="0.3"/>
  <cols>
    <col min="1" max="1" width="29.7265625" style="2" customWidth="1"/>
    <col min="2" max="2" width="32.453125" style="2" bestFit="1" customWidth="1"/>
    <col min="3" max="3" width="13" style="2" bestFit="1" customWidth="1"/>
    <col min="4" max="4" width="11.453125" style="2" bestFit="1" customWidth="1"/>
    <col min="5" max="5" width="16.81640625" style="2" bestFit="1" customWidth="1"/>
    <col min="6" max="6" width="9" style="2" bestFit="1" customWidth="1"/>
    <col min="7" max="7" width="7.1796875" style="2" bestFit="1" customWidth="1"/>
    <col min="8" max="8" width="10" style="2" bestFit="1" customWidth="1"/>
    <col min="9" max="16384" width="10.90625" style="2"/>
  </cols>
  <sheetData>
    <row r="1" spans="1:8" ht="25" customHeight="1" thickBot="1" x14ac:dyDescent="0.35">
      <c r="A1" s="1" t="s">
        <v>1020</v>
      </c>
      <c r="B1" s="1" t="s">
        <v>1021</v>
      </c>
      <c r="C1" s="1" t="s">
        <v>22</v>
      </c>
      <c r="D1" s="1" t="s">
        <v>1022</v>
      </c>
      <c r="E1" s="1" t="s">
        <v>1023</v>
      </c>
      <c r="F1" s="1" t="s">
        <v>1024</v>
      </c>
      <c r="G1" s="1" t="s">
        <v>1025</v>
      </c>
      <c r="H1" s="1" t="s">
        <v>1026</v>
      </c>
    </row>
    <row r="2" spans="1:8" ht="13.5" thickTop="1" x14ac:dyDescent="0.3">
      <c r="A2" s="42" t="s">
        <v>1027</v>
      </c>
      <c r="B2" s="3" t="s">
        <v>1028</v>
      </c>
      <c r="C2" s="4">
        <f t="shared" ref="C2:C75" ca="1" si="0">TODAY()-737</f>
        <v>45300</v>
      </c>
      <c r="D2" s="4">
        <f ca="1">TODAY()-722</f>
        <v>45315</v>
      </c>
      <c r="E2" s="3" t="s">
        <v>1029</v>
      </c>
      <c r="F2" s="43" t="b">
        <v>1</v>
      </c>
      <c r="G2" s="43" t="b">
        <v>1</v>
      </c>
      <c r="H2" s="44">
        <v>1650</v>
      </c>
    </row>
    <row r="3" spans="1:8" x14ac:dyDescent="0.3">
      <c r="A3" s="42" t="s">
        <v>1030</v>
      </c>
      <c r="B3" s="3" t="s">
        <v>1031</v>
      </c>
      <c r="C3" s="4">
        <f t="shared" ca="1" si="0"/>
        <v>45300</v>
      </c>
      <c r="D3" s="4">
        <f ca="1">TODAY()-727</f>
        <v>45310</v>
      </c>
      <c r="E3" s="3" t="s">
        <v>1032</v>
      </c>
      <c r="F3" s="43" t="b">
        <v>1</v>
      </c>
      <c r="G3" s="43" t="b">
        <v>0</v>
      </c>
      <c r="H3" s="44">
        <v>2170</v>
      </c>
    </row>
    <row r="4" spans="1:8" x14ac:dyDescent="0.3">
      <c r="A4" s="42" t="s">
        <v>1033</v>
      </c>
      <c r="B4" s="3" t="s">
        <v>1034</v>
      </c>
      <c r="C4" s="4">
        <f t="shared" ca="1" si="0"/>
        <v>45300</v>
      </c>
      <c r="D4" s="4">
        <f ca="1">TODAY()-726</f>
        <v>45311</v>
      </c>
      <c r="E4" s="3" t="s">
        <v>1029</v>
      </c>
      <c r="F4" s="43" t="b">
        <v>1</v>
      </c>
      <c r="G4" s="43" t="b">
        <v>1</v>
      </c>
      <c r="H4" s="44">
        <v>2110</v>
      </c>
    </row>
    <row r="5" spans="1:8" x14ac:dyDescent="0.3">
      <c r="A5" s="42" t="s">
        <v>1035</v>
      </c>
      <c r="B5" s="3" t="s">
        <v>1036</v>
      </c>
      <c r="C5" s="4">
        <f t="shared" ca="1" si="0"/>
        <v>45300</v>
      </c>
      <c r="D5" s="42"/>
      <c r="E5" s="3" t="s">
        <v>1037</v>
      </c>
      <c r="F5" s="43" t="b">
        <v>0</v>
      </c>
      <c r="G5" s="43" t="b">
        <v>0</v>
      </c>
      <c r="H5" s="44">
        <v>240</v>
      </c>
    </row>
    <row r="6" spans="1:8" x14ac:dyDescent="0.3">
      <c r="A6" s="42" t="s">
        <v>1038</v>
      </c>
      <c r="B6" s="3" t="s">
        <v>1039</v>
      </c>
      <c r="C6" s="4">
        <f t="shared" ca="1" si="0"/>
        <v>45300</v>
      </c>
      <c r="D6" s="4">
        <f ca="1">TODAY()-719</f>
        <v>45318</v>
      </c>
      <c r="E6" s="3" t="s">
        <v>1029</v>
      </c>
      <c r="F6" s="43" t="b">
        <v>1</v>
      </c>
      <c r="G6" s="43" t="b">
        <v>1</v>
      </c>
      <c r="H6" s="44">
        <v>130</v>
      </c>
    </row>
    <row r="7" spans="1:8" x14ac:dyDescent="0.3">
      <c r="A7" s="42" t="s">
        <v>1040</v>
      </c>
      <c r="B7" s="3" t="s">
        <v>1041</v>
      </c>
      <c r="C7" s="4">
        <f t="shared" ca="1" si="0"/>
        <v>45300</v>
      </c>
      <c r="D7" s="4">
        <f ca="1">TODAY()-725</f>
        <v>45312</v>
      </c>
      <c r="E7" s="3" t="s">
        <v>1029</v>
      </c>
      <c r="F7" s="43" t="b">
        <v>1</v>
      </c>
      <c r="G7" s="43" t="b">
        <v>1</v>
      </c>
      <c r="H7" s="44">
        <v>1280</v>
      </c>
    </row>
    <row r="8" spans="1:8" x14ac:dyDescent="0.3">
      <c r="A8" s="42" t="s">
        <v>1042</v>
      </c>
      <c r="B8" s="3" t="s">
        <v>1043</v>
      </c>
      <c r="C8" s="4">
        <f t="shared" ca="1" si="0"/>
        <v>45300</v>
      </c>
      <c r="D8" s="4">
        <f ca="1">TODAY()-719</f>
        <v>45318</v>
      </c>
      <c r="E8" s="3" t="s">
        <v>1029</v>
      </c>
      <c r="F8" s="43" t="b">
        <v>1</v>
      </c>
      <c r="G8" s="43" t="b">
        <v>1</v>
      </c>
      <c r="H8" s="44">
        <v>1580</v>
      </c>
    </row>
    <row r="9" spans="1:8" x14ac:dyDescent="0.3">
      <c r="A9" s="42" t="s">
        <v>1044</v>
      </c>
      <c r="B9" s="3" t="s">
        <v>1045</v>
      </c>
      <c r="C9" s="4">
        <f t="shared" ca="1" si="0"/>
        <v>45300</v>
      </c>
      <c r="D9" s="4">
        <f ca="1">TODAY()-707</f>
        <v>45330</v>
      </c>
      <c r="E9" s="3" t="s">
        <v>1029</v>
      </c>
      <c r="F9" s="43" t="b">
        <v>1</v>
      </c>
      <c r="G9" s="43" t="b">
        <v>1</v>
      </c>
      <c r="H9" s="44">
        <v>1310</v>
      </c>
    </row>
    <row r="10" spans="1:8" x14ac:dyDescent="0.3">
      <c r="A10" s="42" t="s">
        <v>1046</v>
      </c>
      <c r="B10" s="3" t="s">
        <v>1047</v>
      </c>
      <c r="C10" s="4">
        <f t="shared" ca="1" si="0"/>
        <v>45300</v>
      </c>
      <c r="D10" s="4">
        <f ca="1">TODAY()-727</f>
        <v>45310</v>
      </c>
      <c r="E10" s="3" t="s">
        <v>1029</v>
      </c>
      <c r="F10" s="43" t="b">
        <v>1</v>
      </c>
      <c r="G10" s="43" t="b">
        <v>1</v>
      </c>
      <c r="H10" s="44">
        <v>2270</v>
      </c>
    </row>
    <row r="11" spans="1:8" x14ac:dyDescent="0.3">
      <c r="A11" s="42" t="s">
        <v>1048</v>
      </c>
      <c r="B11" s="3" t="s">
        <v>1049</v>
      </c>
      <c r="C11" s="4">
        <f t="shared" ca="1" si="0"/>
        <v>45300</v>
      </c>
      <c r="D11" s="42"/>
      <c r="E11" s="3" t="s">
        <v>1037</v>
      </c>
      <c r="F11" s="43" t="b">
        <v>0</v>
      </c>
      <c r="G11" s="43" t="b">
        <v>0</v>
      </c>
      <c r="H11" s="44">
        <v>2500</v>
      </c>
    </row>
    <row r="12" spans="1:8" x14ac:dyDescent="0.3">
      <c r="A12" s="42" t="s">
        <v>1050</v>
      </c>
      <c r="B12" s="3" t="s">
        <v>1051</v>
      </c>
      <c r="C12" s="4">
        <f t="shared" ca="1" si="0"/>
        <v>45300</v>
      </c>
      <c r="D12" s="4">
        <f ca="1">TODAY()-717</f>
        <v>45320</v>
      </c>
      <c r="E12" s="3" t="s">
        <v>1029</v>
      </c>
      <c r="F12" s="43" t="b">
        <v>1</v>
      </c>
      <c r="G12" s="43" t="b">
        <v>1</v>
      </c>
      <c r="H12" s="44">
        <v>2330</v>
      </c>
    </row>
    <row r="13" spans="1:8" x14ac:dyDescent="0.3">
      <c r="A13" s="42" t="s">
        <v>1052</v>
      </c>
      <c r="B13" s="3" t="s">
        <v>1053</v>
      </c>
      <c r="C13" s="4">
        <f t="shared" ca="1" si="0"/>
        <v>45300</v>
      </c>
      <c r="D13" s="4">
        <f ca="1">TODAY()-726</f>
        <v>45311</v>
      </c>
      <c r="E13" s="3" t="s">
        <v>1032</v>
      </c>
      <c r="F13" s="43" t="b">
        <v>1</v>
      </c>
      <c r="G13" s="43" t="b">
        <v>0</v>
      </c>
      <c r="H13" s="44">
        <v>640</v>
      </c>
    </row>
    <row r="14" spans="1:8" x14ac:dyDescent="0.3">
      <c r="A14" s="42" t="s">
        <v>1054</v>
      </c>
      <c r="B14" s="3" t="s">
        <v>1055</v>
      </c>
      <c r="C14" s="4">
        <f t="shared" ca="1" si="0"/>
        <v>45300</v>
      </c>
      <c r="D14" s="4">
        <f ca="1">TODAY()-721</f>
        <v>45316</v>
      </c>
      <c r="E14" s="3" t="s">
        <v>1029</v>
      </c>
      <c r="F14" s="43" t="b">
        <v>1</v>
      </c>
      <c r="G14" s="43" t="b">
        <v>1</v>
      </c>
      <c r="H14" s="44">
        <v>6360</v>
      </c>
    </row>
    <row r="15" spans="1:8" x14ac:dyDescent="0.3">
      <c r="A15" s="42" t="s">
        <v>1056</v>
      </c>
      <c r="B15" s="3" t="s">
        <v>1057</v>
      </c>
      <c r="C15" s="4">
        <f t="shared" ca="1" si="0"/>
        <v>45300</v>
      </c>
      <c r="D15" s="4">
        <f t="shared" ref="D15:D16" ca="1" si="1">TODAY()-718</f>
        <v>45319</v>
      </c>
      <c r="E15" s="3" t="s">
        <v>1032</v>
      </c>
      <c r="F15" s="43" t="b">
        <v>1</v>
      </c>
      <c r="G15" s="43" t="b">
        <v>0</v>
      </c>
      <c r="H15" s="44">
        <v>1490</v>
      </c>
    </row>
    <row r="16" spans="1:8" x14ac:dyDescent="0.3">
      <c r="A16" s="42" t="s">
        <v>1058</v>
      </c>
      <c r="B16" s="3" t="s">
        <v>1059</v>
      </c>
      <c r="C16" s="4">
        <f t="shared" ca="1" si="0"/>
        <v>45300</v>
      </c>
      <c r="D16" s="4">
        <f t="shared" ca="1" si="1"/>
        <v>45319</v>
      </c>
      <c r="E16" s="3" t="s">
        <v>1029</v>
      </c>
      <c r="F16" s="43" t="b">
        <v>1</v>
      </c>
      <c r="G16" s="43" t="b">
        <v>1</v>
      </c>
      <c r="H16" s="44">
        <v>800</v>
      </c>
    </row>
    <row r="17" spans="1:8" x14ac:dyDescent="0.3">
      <c r="A17" s="42" t="s">
        <v>1060</v>
      </c>
      <c r="B17" s="3" t="s">
        <v>1061</v>
      </c>
      <c r="C17" s="4">
        <f t="shared" ca="1" si="0"/>
        <v>45300</v>
      </c>
      <c r="D17" s="42"/>
      <c r="E17" s="3" t="s">
        <v>1037</v>
      </c>
      <c r="F17" s="43" t="b">
        <v>0</v>
      </c>
      <c r="G17" s="43" t="b">
        <v>0</v>
      </c>
      <c r="H17" s="44">
        <v>1510</v>
      </c>
    </row>
    <row r="18" spans="1:8" x14ac:dyDescent="0.3">
      <c r="A18" s="42" t="s">
        <v>1062</v>
      </c>
      <c r="B18" s="3" t="s">
        <v>1063</v>
      </c>
      <c r="C18" s="4">
        <f t="shared" ca="1" si="0"/>
        <v>45300</v>
      </c>
      <c r="D18" s="4">
        <f ca="1">TODAY()-719</f>
        <v>45318</v>
      </c>
      <c r="E18" s="3" t="s">
        <v>1032</v>
      </c>
      <c r="F18" s="43" t="b">
        <v>1</v>
      </c>
      <c r="G18" s="43" t="b">
        <v>0</v>
      </c>
      <c r="H18" s="44">
        <v>310</v>
      </c>
    </row>
    <row r="19" spans="1:8" x14ac:dyDescent="0.3">
      <c r="A19" s="42" t="s">
        <v>1064</v>
      </c>
      <c r="B19" s="3" t="s">
        <v>1065</v>
      </c>
      <c r="C19" s="4">
        <f t="shared" ca="1" si="0"/>
        <v>45300</v>
      </c>
      <c r="D19" s="4">
        <f ca="1">TODAY()-720</f>
        <v>45317</v>
      </c>
      <c r="E19" s="3" t="s">
        <v>1029</v>
      </c>
      <c r="F19" s="43" t="b">
        <v>1</v>
      </c>
      <c r="G19" s="43" t="b">
        <v>1</v>
      </c>
      <c r="H19" s="44">
        <v>1210</v>
      </c>
    </row>
    <row r="20" spans="1:8" x14ac:dyDescent="0.3">
      <c r="A20" s="42" t="s">
        <v>1054</v>
      </c>
      <c r="B20" s="3" t="s">
        <v>1055</v>
      </c>
      <c r="C20" s="4">
        <f t="shared" ca="1" si="0"/>
        <v>45300</v>
      </c>
      <c r="D20" s="4">
        <f ca="1">TODAY()-716</f>
        <v>45321</v>
      </c>
      <c r="E20" s="3" t="s">
        <v>1029</v>
      </c>
      <c r="F20" s="43" t="b">
        <v>1</v>
      </c>
      <c r="G20" s="43" t="b">
        <v>1</v>
      </c>
      <c r="H20" s="44">
        <v>6360</v>
      </c>
    </row>
    <row r="21" spans="1:8" x14ac:dyDescent="0.3">
      <c r="A21" s="42" t="s">
        <v>1066</v>
      </c>
      <c r="B21" s="3" t="s">
        <v>1067</v>
      </c>
      <c r="C21" s="4">
        <f t="shared" ca="1" si="0"/>
        <v>45300</v>
      </c>
      <c r="D21" s="4">
        <f ca="1">TODAY()-713</f>
        <v>45324</v>
      </c>
      <c r="E21" s="3" t="s">
        <v>1029</v>
      </c>
      <c r="F21" s="43" t="b">
        <v>1</v>
      </c>
      <c r="G21" s="43" t="b">
        <v>1</v>
      </c>
      <c r="H21" s="44">
        <v>820</v>
      </c>
    </row>
    <row r="22" spans="1:8" x14ac:dyDescent="0.3">
      <c r="A22" s="42" t="s">
        <v>1068</v>
      </c>
      <c r="B22" s="3" t="s">
        <v>1069</v>
      </c>
      <c r="C22" s="4">
        <f t="shared" ca="1" si="0"/>
        <v>45300</v>
      </c>
      <c r="D22" s="42"/>
      <c r="E22" s="3" t="s">
        <v>1070</v>
      </c>
      <c r="F22" s="43" t="b">
        <v>0</v>
      </c>
      <c r="G22" s="43" t="b">
        <v>0</v>
      </c>
      <c r="H22" s="44">
        <v>1450</v>
      </c>
    </row>
    <row r="23" spans="1:8" x14ac:dyDescent="0.3">
      <c r="A23" s="42" t="s">
        <v>1071</v>
      </c>
      <c r="B23" s="3" t="s">
        <v>1072</v>
      </c>
      <c r="C23" s="4">
        <f t="shared" ca="1" si="0"/>
        <v>45300</v>
      </c>
      <c r="D23" s="4">
        <f ca="1">TODAY()-710</f>
        <v>45327</v>
      </c>
      <c r="E23" s="3" t="s">
        <v>1029</v>
      </c>
      <c r="F23" s="43" t="b">
        <v>1</v>
      </c>
      <c r="G23" s="43" t="b">
        <v>1</v>
      </c>
      <c r="H23" s="44">
        <v>760</v>
      </c>
    </row>
    <row r="24" spans="1:8" x14ac:dyDescent="0.3">
      <c r="A24" s="42" t="s">
        <v>1073</v>
      </c>
      <c r="B24" s="3" t="s">
        <v>1074</v>
      </c>
      <c r="C24" s="4">
        <f t="shared" ca="1" si="0"/>
        <v>45300</v>
      </c>
      <c r="D24" s="4">
        <f ca="1">TODAY()-708</f>
        <v>45329</v>
      </c>
      <c r="E24" s="3" t="s">
        <v>1032</v>
      </c>
      <c r="F24" s="43" t="b">
        <v>1</v>
      </c>
      <c r="G24" s="43" t="b">
        <v>0</v>
      </c>
      <c r="H24" s="44">
        <v>1320</v>
      </c>
    </row>
    <row r="25" spans="1:8" x14ac:dyDescent="0.3">
      <c r="A25" s="42" t="s">
        <v>1075</v>
      </c>
      <c r="B25" s="3" t="s">
        <v>1076</v>
      </c>
      <c r="C25" s="4">
        <f t="shared" ca="1" si="0"/>
        <v>45300</v>
      </c>
      <c r="D25" s="42"/>
      <c r="E25" s="3" t="s">
        <v>1077</v>
      </c>
      <c r="F25" s="43" t="b">
        <v>0</v>
      </c>
      <c r="G25" s="43" t="b">
        <v>0</v>
      </c>
      <c r="H25" s="44">
        <v>740</v>
      </c>
    </row>
    <row r="26" spans="1:8" x14ac:dyDescent="0.3">
      <c r="A26" s="42" t="s">
        <v>1058</v>
      </c>
      <c r="B26" s="3" t="s">
        <v>1078</v>
      </c>
      <c r="C26" s="4">
        <f t="shared" ca="1" si="0"/>
        <v>45300</v>
      </c>
      <c r="D26" s="4">
        <f ca="1">TODAY()-724</f>
        <v>45313</v>
      </c>
      <c r="E26" s="3" t="s">
        <v>1029</v>
      </c>
      <c r="F26" s="43" t="b">
        <v>1</v>
      </c>
      <c r="G26" s="43" t="b">
        <v>1</v>
      </c>
      <c r="H26" s="44">
        <v>2060</v>
      </c>
    </row>
    <row r="27" spans="1:8" x14ac:dyDescent="0.3">
      <c r="A27" s="42" t="s">
        <v>1079</v>
      </c>
      <c r="B27" s="3" t="s">
        <v>1080</v>
      </c>
      <c r="C27" s="4">
        <f t="shared" ca="1" si="0"/>
        <v>45300</v>
      </c>
      <c r="D27" s="4">
        <f ca="1">TODAY()-707</f>
        <v>45330</v>
      </c>
      <c r="E27" s="3" t="s">
        <v>1029</v>
      </c>
      <c r="F27" s="43" t="b">
        <v>1</v>
      </c>
      <c r="G27" s="43" t="b">
        <v>1</v>
      </c>
      <c r="H27" s="44">
        <v>640</v>
      </c>
    </row>
    <row r="28" spans="1:8" x14ac:dyDescent="0.3">
      <c r="A28" s="42" t="s">
        <v>1081</v>
      </c>
      <c r="B28" s="3" t="s">
        <v>1082</v>
      </c>
      <c r="C28" s="4">
        <f t="shared" ca="1" si="0"/>
        <v>45300</v>
      </c>
      <c r="D28" s="4">
        <f ca="1">TODAY()-717</f>
        <v>45320</v>
      </c>
      <c r="E28" s="3" t="s">
        <v>1029</v>
      </c>
      <c r="F28" s="43" t="b">
        <v>1</v>
      </c>
      <c r="G28" s="43" t="b">
        <v>1</v>
      </c>
      <c r="H28" s="44">
        <v>2430</v>
      </c>
    </row>
    <row r="29" spans="1:8" x14ac:dyDescent="0.3">
      <c r="A29" s="42" t="s">
        <v>1083</v>
      </c>
      <c r="B29" s="3" t="s">
        <v>1084</v>
      </c>
      <c r="C29" s="4">
        <f t="shared" ca="1" si="0"/>
        <v>45300</v>
      </c>
      <c r="D29" s="4">
        <f ca="1">TODAY()-727</f>
        <v>45310</v>
      </c>
      <c r="E29" s="3" t="s">
        <v>1029</v>
      </c>
      <c r="F29" s="43" t="b">
        <v>1</v>
      </c>
      <c r="G29" s="43" t="b">
        <v>1</v>
      </c>
      <c r="H29" s="44">
        <v>730</v>
      </c>
    </row>
    <row r="30" spans="1:8" x14ac:dyDescent="0.3">
      <c r="A30" s="42" t="s">
        <v>1085</v>
      </c>
      <c r="B30" s="3" t="s">
        <v>1086</v>
      </c>
      <c r="C30" s="4">
        <f t="shared" ca="1" si="0"/>
        <v>45300</v>
      </c>
      <c r="D30" s="4">
        <f ca="1">TODAY()-723</f>
        <v>45314</v>
      </c>
      <c r="E30" s="3" t="s">
        <v>1029</v>
      </c>
      <c r="F30" s="43" t="b">
        <v>1</v>
      </c>
      <c r="G30" s="43" t="b">
        <v>1</v>
      </c>
      <c r="H30" s="44">
        <v>390</v>
      </c>
    </row>
    <row r="31" spans="1:8" x14ac:dyDescent="0.3">
      <c r="A31" s="42" t="s">
        <v>1087</v>
      </c>
      <c r="B31" s="3" t="s">
        <v>1088</v>
      </c>
      <c r="C31" s="4">
        <f t="shared" ca="1" si="0"/>
        <v>45300</v>
      </c>
      <c r="D31" s="4">
        <f ca="1">TODAY()-709</f>
        <v>45328</v>
      </c>
      <c r="E31" s="3" t="s">
        <v>1032</v>
      </c>
      <c r="F31" s="43" t="b">
        <v>1</v>
      </c>
      <c r="G31" s="43" t="b">
        <v>0</v>
      </c>
      <c r="H31" s="44">
        <v>850</v>
      </c>
    </row>
    <row r="32" spans="1:8" x14ac:dyDescent="0.3">
      <c r="A32" s="42" t="s">
        <v>1089</v>
      </c>
      <c r="B32" s="3" t="s">
        <v>1090</v>
      </c>
      <c r="C32" s="4">
        <f t="shared" ca="1" si="0"/>
        <v>45300</v>
      </c>
      <c r="D32" s="4">
        <f ca="1">TODAY()-708</f>
        <v>45329</v>
      </c>
      <c r="E32" s="3" t="s">
        <v>1032</v>
      </c>
      <c r="F32" s="43" t="b">
        <v>1</v>
      </c>
      <c r="G32" s="43" t="b">
        <v>0</v>
      </c>
      <c r="H32" s="44">
        <v>1740</v>
      </c>
    </row>
    <row r="33" spans="1:8" x14ac:dyDescent="0.3">
      <c r="A33" s="42" t="s">
        <v>1091</v>
      </c>
      <c r="B33" s="3" t="s">
        <v>1092</v>
      </c>
      <c r="C33" s="4">
        <f t="shared" ca="1" si="0"/>
        <v>45300</v>
      </c>
      <c r="D33" s="4">
        <f ca="1">TODAY()-724</f>
        <v>45313</v>
      </c>
      <c r="E33" s="3" t="s">
        <v>1032</v>
      </c>
      <c r="F33" s="43" t="b">
        <v>1</v>
      </c>
      <c r="G33" s="43" t="b">
        <v>0</v>
      </c>
      <c r="H33" s="44">
        <v>580</v>
      </c>
    </row>
    <row r="34" spans="1:8" x14ac:dyDescent="0.3">
      <c r="A34" s="42" t="s">
        <v>1093</v>
      </c>
      <c r="B34" s="3" t="s">
        <v>1094</v>
      </c>
      <c r="C34" s="4">
        <f t="shared" ca="1" si="0"/>
        <v>45300</v>
      </c>
      <c r="D34" s="4">
        <f ca="1">TODAY()-712</f>
        <v>45325</v>
      </c>
      <c r="E34" s="3" t="s">
        <v>1032</v>
      </c>
      <c r="F34" s="43" t="b">
        <v>1</v>
      </c>
      <c r="G34" s="43" t="b">
        <v>0</v>
      </c>
      <c r="H34" s="44">
        <v>890</v>
      </c>
    </row>
    <row r="35" spans="1:8" x14ac:dyDescent="0.3">
      <c r="A35" s="42" t="s">
        <v>1095</v>
      </c>
      <c r="B35" s="3" t="s">
        <v>1096</v>
      </c>
      <c r="C35" s="4">
        <f t="shared" ca="1" si="0"/>
        <v>45300</v>
      </c>
      <c r="D35" s="42"/>
      <c r="E35" s="3" t="s">
        <v>1037</v>
      </c>
      <c r="F35" s="43" t="b">
        <v>0</v>
      </c>
      <c r="G35" s="43" t="b">
        <v>0</v>
      </c>
      <c r="H35" s="44">
        <v>1170</v>
      </c>
    </row>
    <row r="36" spans="1:8" x14ac:dyDescent="0.3">
      <c r="A36" s="42" t="s">
        <v>1060</v>
      </c>
      <c r="B36" s="3" t="s">
        <v>1061</v>
      </c>
      <c r="C36" s="4">
        <f t="shared" ca="1" si="0"/>
        <v>45300</v>
      </c>
      <c r="D36" s="42"/>
      <c r="E36" s="3" t="s">
        <v>1037</v>
      </c>
      <c r="F36" s="43" t="b">
        <v>0</v>
      </c>
      <c r="G36" s="43" t="b">
        <v>0</v>
      </c>
      <c r="H36" s="44">
        <v>1510</v>
      </c>
    </row>
    <row r="37" spans="1:8" x14ac:dyDescent="0.3">
      <c r="A37" s="42" t="s">
        <v>1097</v>
      </c>
      <c r="B37" s="3" t="s">
        <v>1098</v>
      </c>
      <c r="C37" s="4">
        <f t="shared" ca="1" si="0"/>
        <v>45300</v>
      </c>
      <c r="D37" s="4">
        <f ca="1">TODAY()-720</f>
        <v>45317</v>
      </c>
      <c r="E37" s="3" t="s">
        <v>1029</v>
      </c>
      <c r="F37" s="43" t="b">
        <v>1</v>
      </c>
      <c r="G37" s="43" t="b">
        <v>1</v>
      </c>
      <c r="H37" s="44">
        <v>1110</v>
      </c>
    </row>
    <row r="38" spans="1:8" x14ac:dyDescent="0.3">
      <c r="A38" s="42" t="s">
        <v>1099</v>
      </c>
      <c r="B38" s="3" t="s">
        <v>1100</v>
      </c>
      <c r="C38" s="4">
        <f t="shared" ca="1" si="0"/>
        <v>45300</v>
      </c>
      <c r="D38" s="42"/>
      <c r="E38" s="3" t="s">
        <v>1101</v>
      </c>
      <c r="F38" s="43" t="b">
        <v>0</v>
      </c>
      <c r="G38" s="43" t="b">
        <v>0</v>
      </c>
      <c r="H38" s="44">
        <v>1040</v>
      </c>
    </row>
    <row r="39" spans="1:8" x14ac:dyDescent="0.3">
      <c r="A39" s="42" t="s">
        <v>1060</v>
      </c>
      <c r="B39" s="3" t="s">
        <v>1102</v>
      </c>
      <c r="C39" s="4">
        <f t="shared" ca="1" si="0"/>
        <v>45300</v>
      </c>
      <c r="D39" s="42"/>
      <c r="E39" s="3" t="s">
        <v>1103</v>
      </c>
      <c r="F39" s="43" t="b">
        <v>0</v>
      </c>
      <c r="G39" s="43" t="b">
        <v>0</v>
      </c>
      <c r="H39" s="44">
        <v>740</v>
      </c>
    </row>
    <row r="40" spans="1:8" x14ac:dyDescent="0.3">
      <c r="A40" s="42" t="s">
        <v>1104</v>
      </c>
      <c r="B40" s="3" t="s">
        <v>1105</v>
      </c>
      <c r="C40" s="4">
        <f t="shared" ca="1" si="0"/>
        <v>45300</v>
      </c>
      <c r="D40" s="4">
        <f ca="1">TODAY()-723</f>
        <v>45314</v>
      </c>
      <c r="E40" s="3" t="s">
        <v>1032</v>
      </c>
      <c r="F40" s="43" t="b">
        <v>1</v>
      </c>
      <c r="G40" s="43" t="b">
        <v>0</v>
      </c>
      <c r="H40" s="44">
        <v>150</v>
      </c>
    </row>
    <row r="41" spans="1:8" x14ac:dyDescent="0.3">
      <c r="A41" s="42" t="s">
        <v>1106</v>
      </c>
      <c r="B41" s="3" t="s">
        <v>1107</v>
      </c>
      <c r="C41" s="4">
        <f t="shared" ca="1" si="0"/>
        <v>45300</v>
      </c>
      <c r="D41" s="42"/>
      <c r="E41" s="3" t="s">
        <v>1108</v>
      </c>
      <c r="F41" s="43" t="b">
        <v>0</v>
      </c>
      <c r="G41" s="43" t="b">
        <v>0</v>
      </c>
      <c r="H41" s="44">
        <v>1870</v>
      </c>
    </row>
    <row r="42" spans="1:8" x14ac:dyDescent="0.3">
      <c r="A42" s="42" t="s">
        <v>1109</v>
      </c>
      <c r="B42" s="3" t="s">
        <v>1110</v>
      </c>
      <c r="C42" s="4">
        <f t="shared" ca="1" si="0"/>
        <v>45300</v>
      </c>
      <c r="D42" s="4">
        <f ca="1">TODAY()-717</f>
        <v>45320</v>
      </c>
      <c r="E42" s="3" t="s">
        <v>1029</v>
      </c>
      <c r="F42" s="43" t="b">
        <v>1</v>
      </c>
      <c r="G42" s="43" t="b">
        <v>1</v>
      </c>
      <c r="H42" s="44">
        <v>260</v>
      </c>
    </row>
    <row r="43" spans="1:8" x14ac:dyDescent="0.3">
      <c r="A43" s="42" t="s">
        <v>1111</v>
      </c>
      <c r="B43" s="3" t="s">
        <v>1112</v>
      </c>
      <c r="C43" s="4">
        <f t="shared" ca="1" si="0"/>
        <v>45300</v>
      </c>
      <c r="D43" s="4">
        <f ca="1">TODAY()-712</f>
        <v>45325</v>
      </c>
      <c r="E43" s="3" t="s">
        <v>1029</v>
      </c>
      <c r="F43" s="43" t="b">
        <v>1</v>
      </c>
      <c r="G43" s="43" t="b">
        <v>1</v>
      </c>
      <c r="H43" s="44">
        <v>2180</v>
      </c>
    </row>
    <row r="44" spans="1:8" x14ac:dyDescent="0.3">
      <c r="A44" s="42" t="s">
        <v>1113</v>
      </c>
      <c r="B44" s="3" t="s">
        <v>1114</v>
      </c>
      <c r="C44" s="4">
        <f t="shared" ca="1" si="0"/>
        <v>45300</v>
      </c>
      <c r="D44" s="4">
        <f ca="1">TODAY()-711</f>
        <v>45326</v>
      </c>
      <c r="E44" s="3" t="s">
        <v>1029</v>
      </c>
      <c r="F44" s="43" t="b">
        <v>1</v>
      </c>
      <c r="G44" s="43" t="b">
        <v>1</v>
      </c>
      <c r="H44" s="44">
        <v>390</v>
      </c>
    </row>
    <row r="45" spans="1:8" x14ac:dyDescent="0.3">
      <c r="A45" s="42" t="s">
        <v>1115</v>
      </c>
      <c r="B45" s="3" t="s">
        <v>1116</v>
      </c>
      <c r="C45" s="4">
        <f t="shared" ca="1" si="0"/>
        <v>45300</v>
      </c>
      <c r="D45" s="4">
        <f ca="1">TODAY()-714</f>
        <v>45323</v>
      </c>
      <c r="E45" s="3" t="s">
        <v>1032</v>
      </c>
      <c r="F45" s="43" t="b">
        <v>1</v>
      </c>
      <c r="G45" s="43" t="b">
        <v>0</v>
      </c>
      <c r="H45" s="44">
        <v>780</v>
      </c>
    </row>
    <row r="46" spans="1:8" x14ac:dyDescent="0.3">
      <c r="A46" s="42" t="s">
        <v>1117</v>
      </c>
      <c r="B46" s="3" t="s">
        <v>1118</v>
      </c>
      <c r="C46" s="4">
        <f t="shared" ca="1" si="0"/>
        <v>45300</v>
      </c>
      <c r="D46" s="4">
        <f ca="1">TODAY()-709</f>
        <v>45328</v>
      </c>
      <c r="E46" s="3" t="s">
        <v>1032</v>
      </c>
      <c r="F46" s="43" t="b">
        <v>1</v>
      </c>
      <c r="G46" s="43" t="b">
        <v>0</v>
      </c>
      <c r="H46" s="44">
        <v>410</v>
      </c>
    </row>
    <row r="47" spans="1:8" x14ac:dyDescent="0.3">
      <c r="A47" s="42" t="s">
        <v>1035</v>
      </c>
      <c r="B47" s="3" t="s">
        <v>1036</v>
      </c>
      <c r="C47" s="4">
        <f t="shared" ca="1" si="0"/>
        <v>45300</v>
      </c>
      <c r="D47" s="42"/>
      <c r="E47" s="3" t="s">
        <v>1037</v>
      </c>
      <c r="F47" s="43" t="b">
        <v>0</v>
      </c>
      <c r="G47" s="43" t="b">
        <v>0</v>
      </c>
      <c r="H47" s="44">
        <v>240</v>
      </c>
    </row>
    <row r="48" spans="1:8" x14ac:dyDescent="0.3">
      <c r="A48" s="42" t="s">
        <v>1119</v>
      </c>
      <c r="B48" s="3" t="s">
        <v>1120</v>
      </c>
      <c r="C48" s="4">
        <f t="shared" ca="1" si="0"/>
        <v>45300</v>
      </c>
      <c r="D48" s="4">
        <f ca="1">TODAY()-722</f>
        <v>45315</v>
      </c>
      <c r="E48" s="3" t="s">
        <v>1029</v>
      </c>
      <c r="F48" s="43" t="b">
        <v>1</v>
      </c>
      <c r="G48" s="43" t="b">
        <v>1</v>
      </c>
      <c r="H48" s="44">
        <v>1450</v>
      </c>
    </row>
    <row r="49" spans="1:8" x14ac:dyDescent="0.3">
      <c r="A49" s="42" t="s">
        <v>1121</v>
      </c>
      <c r="B49" s="3" t="s">
        <v>1122</v>
      </c>
      <c r="C49" s="4">
        <f t="shared" ca="1" si="0"/>
        <v>45300</v>
      </c>
      <c r="D49" s="4">
        <f ca="1">TODAY()-720</f>
        <v>45317</v>
      </c>
      <c r="E49" s="3" t="s">
        <v>1029</v>
      </c>
      <c r="F49" s="43" t="b">
        <v>1</v>
      </c>
      <c r="G49" s="43" t="b">
        <v>1</v>
      </c>
      <c r="H49" s="44">
        <v>1420</v>
      </c>
    </row>
    <row r="50" spans="1:8" x14ac:dyDescent="0.3">
      <c r="A50" s="42" t="s">
        <v>1123</v>
      </c>
      <c r="B50" s="3" t="s">
        <v>1124</v>
      </c>
      <c r="C50" s="4">
        <f t="shared" ca="1" si="0"/>
        <v>45300</v>
      </c>
      <c r="D50" s="4">
        <f ca="1">TODAY()-710</f>
        <v>45327</v>
      </c>
      <c r="E50" s="3" t="s">
        <v>1029</v>
      </c>
      <c r="F50" s="43" t="b">
        <v>1</v>
      </c>
      <c r="G50" s="43" t="b">
        <v>1</v>
      </c>
      <c r="H50" s="44">
        <v>3030</v>
      </c>
    </row>
    <row r="51" spans="1:8" x14ac:dyDescent="0.3">
      <c r="A51" s="42" t="s">
        <v>1125</v>
      </c>
      <c r="B51" s="3" t="s">
        <v>1126</v>
      </c>
      <c r="C51" s="4">
        <f t="shared" ca="1" si="0"/>
        <v>45300</v>
      </c>
      <c r="D51" s="4">
        <f ca="1">TODAY()-724</f>
        <v>45313</v>
      </c>
      <c r="E51" s="3" t="s">
        <v>1029</v>
      </c>
      <c r="F51" s="43" t="b">
        <v>1</v>
      </c>
      <c r="G51" s="43" t="b">
        <v>1</v>
      </c>
      <c r="H51" s="44">
        <v>1840</v>
      </c>
    </row>
    <row r="52" spans="1:8" x14ac:dyDescent="0.3">
      <c r="A52" s="42" t="s">
        <v>1127</v>
      </c>
      <c r="B52" s="3" t="s">
        <v>1128</v>
      </c>
      <c r="C52" s="4">
        <f t="shared" ca="1" si="0"/>
        <v>45300</v>
      </c>
      <c r="D52" s="4">
        <f ca="1">TODAY()-721</f>
        <v>45316</v>
      </c>
      <c r="E52" s="3" t="s">
        <v>1032</v>
      </c>
      <c r="F52" s="43" t="b">
        <v>1</v>
      </c>
      <c r="G52" s="43" t="b">
        <v>0</v>
      </c>
      <c r="H52" s="44">
        <v>820</v>
      </c>
    </row>
    <row r="53" spans="1:8" x14ac:dyDescent="0.3">
      <c r="A53" s="42" t="s">
        <v>1129</v>
      </c>
      <c r="B53" s="3" t="s">
        <v>1130</v>
      </c>
      <c r="C53" s="4">
        <f t="shared" ca="1" si="0"/>
        <v>45300</v>
      </c>
      <c r="D53" s="4">
        <f ca="1">TODAY()-712</f>
        <v>45325</v>
      </c>
      <c r="E53" s="3" t="s">
        <v>1029</v>
      </c>
      <c r="F53" s="43" t="b">
        <v>1</v>
      </c>
      <c r="G53" s="43" t="b">
        <v>1</v>
      </c>
      <c r="H53" s="44">
        <v>1540</v>
      </c>
    </row>
    <row r="54" spans="1:8" x14ac:dyDescent="0.3">
      <c r="A54" s="42" t="s">
        <v>1131</v>
      </c>
      <c r="B54" s="3" t="s">
        <v>1132</v>
      </c>
      <c r="C54" s="4">
        <f t="shared" ca="1" si="0"/>
        <v>45300</v>
      </c>
      <c r="D54" s="4">
        <f ca="1">TODAY()-715</f>
        <v>45322</v>
      </c>
      <c r="E54" s="3" t="s">
        <v>1029</v>
      </c>
      <c r="F54" s="43" t="b">
        <v>1</v>
      </c>
      <c r="G54" s="43" t="b">
        <v>1</v>
      </c>
      <c r="H54" s="44">
        <v>2250</v>
      </c>
    </row>
    <row r="55" spans="1:8" x14ac:dyDescent="0.3">
      <c r="A55" s="42" t="s">
        <v>1133</v>
      </c>
      <c r="B55" s="3" t="s">
        <v>1134</v>
      </c>
      <c r="C55" s="4">
        <f t="shared" ca="1" si="0"/>
        <v>45300</v>
      </c>
      <c r="D55" s="4">
        <f ca="1">TODAY()-718</f>
        <v>45319</v>
      </c>
      <c r="E55" s="3" t="s">
        <v>1029</v>
      </c>
      <c r="F55" s="43" t="b">
        <v>1</v>
      </c>
      <c r="G55" s="43" t="b">
        <v>1</v>
      </c>
      <c r="H55" s="44">
        <v>120</v>
      </c>
    </row>
    <row r="56" spans="1:8" x14ac:dyDescent="0.3">
      <c r="A56" s="42" t="s">
        <v>1135</v>
      </c>
      <c r="B56" s="3" t="s">
        <v>1136</v>
      </c>
      <c r="C56" s="4">
        <f t="shared" ca="1" si="0"/>
        <v>45300</v>
      </c>
      <c r="D56" s="4">
        <f ca="1">TODAY()-720</f>
        <v>45317</v>
      </c>
      <c r="E56" s="3" t="s">
        <v>1029</v>
      </c>
      <c r="F56" s="43" t="b">
        <v>1</v>
      </c>
      <c r="G56" s="43" t="b">
        <v>1</v>
      </c>
      <c r="H56" s="44">
        <v>560</v>
      </c>
    </row>
    <row r="57" spans="1:8" x14ac:dyDescent="0.3">
      <c r="A57" s="42" t="s">
        <v>1137</v>
      </c>
      <c r="B57" s="3" t="s">
        <v>1138</v>
      </c>
      <c r="C57" s="4">
        <f t="shared" ca="1" si="0"/>
        <v>45300</v>
      </c>
      <c r="D57" s="4">
        <f ca="1">TODAY()-723</f>
        <v>45314</v>
      </c>
      <c r="E57" s="3" t="s">
        <v>1029</v>
      </c>
      <c r="F57" s="43" t="b">
        <v>1</v>
      </c>
      <c r="G57" s="43" t="b">
        <v>1</v>
      </c>
      <c r="H57" s="44">
        <v>2440</v>
      </c>
    </row>
    <row r="58" spans="1:8" x14ac:dyDescent="0.3">
      <c r="A58" s="42" t="s">
        <v>1139</v>
      </c>
      <c r="B58" s="3" t="s">
        <v>1140</v>
      </c>
      <c r="C58" s="4">
        <f t="shared" ca="1" si="0"/>
        <v>45300</v>
      </c>
      <c r="D58" s="4">
        <f ca="1">TODAY()-725</f>
        <v>45312</v>
      </c>
      <c r="E58" s="3" t="s">
        <v>1029</v>
      </c>
      <c r="F58" s="43" t="b">
        <v>1</v>
      </c>
      <c r="G58" s="43" t="b">
        <v>1</v>
      </c>
      <c r="H58" s="44">
        <v>2460</v>
      </c>
    </row>
    <row r="59" spans="1:8" x14ac:dyDescent="0.3">
      <c r="A59" s="42" t="s">
        <v>1141</v>
      </c>
      <c r="B59" s="3" t="s">
        <v>1142</v>
      </c>
      <c r="C59" s="4">
        <f t="shared" ca="1" si="0"/>
        <v>45300</v>
      </c>
      <c r="D59" s="4">
        <f ca="1">TODAY()-716</f>
        <v>45321</v>
      </c>
      <c r="E59" s="3" t="s">
        <v>1032</v>
      </c>
      <c r="F59" s="43" t="b">
        <v>1</v>
      </c>
      <c r="G59" s="43" t="b">
        <v>0</v>
      </c>
      <c r="H59" s="44">
        <v>1670</v>
      </c>
    </row>
    <row r="60" spans="1:8" x14ac:dyDescent="0.3">
      <c r="A60" s="42" t="s">
        <v>1143</v>
      </c>
      <c r="B60" s="3" t="s">
        <v>1144</v>
      </c>
      <c r="C60" s="4">
        <f t="shared" ca="1" si="0"/>
        <v>45300</v>
      </c>
      <c r="D60" s="4">
        <f ca="1">TODAY()-721</f>
        <v>45316</v>
      </c>
      <c r="E60" s="3" t="s">
        <v>1029</v>
      </c>
      <c r="F60" s="43" t="b">
        <v>1</v>
      </c>
      <c r="G60" s="43" t="b">
        <v>1</v>
      </c>
      <c r="H60" s="44">
        <v>560</v>
      </c>
    </row>
    <row r="61" spans="1:8" x14ac:dyDescent="0.3">
      <c r="A61" s="42" t="s">
        <v>1145</v>
      </c>
      <c r="B61" s="3" t="s">
        <v>1146</v>
      </c>
      <c r="C61" s="4">
        <f t="shared" ca="1" si="0"/>
        <v>45300</v>
      </c>
      <c r="D61" s="42"/>
      <c r="E61" s="3" t="s">
        <v>1077</v>
      </c>
      <c r="F61" s="43" t="b">
        <v>0</v>
      </c>
      <c r="G61" s="43" t="b">
        <v>0</v>
      </c>
      <c r="H61" s="44">
        <v>950</v>
      </c>
    </row>
    <row r="62" spans="1:8" x14ac:dyDescent="0.3">
      <c r="A62" s="42" t="s">
        <v>1147</v>
      </c>
      <c r="B62" s="3" t="s">
        <v>1148</v>
      </c>
      <c r="C62" s="4">
        <f t="shared" ca="1" si="0"/>
        <v>45300</v>
      </c>
      <c r="D62" s="4">
        <f ca="1">TODAY()-727</f>
        <v>45310</v>
      </c>
      <c r="E62" s="3" t="s">
        <v>1029</v>
      </c>
      <c r="F62" s="43" t="b">
        <v>1</v>
      </c>
      <c r="G62" s="43" t="b">
        <v>1</v>
      </c>
      <c r="H62" s="44">
        <v>800</v>
      </c>
    </row>
    <row r="63" spans="1:8" x14ac:dyDescent="0.3">
      <c r="A63" s="42" t="s">
        <v>1149</v>
      </c>
      <c r="B63" s="3" t="s">
        <v>1150</v>
      </c>
      <c r="C63" s="4">
        <f t="shared" ca="1" si="0"/>
        <v>45300</v>
      </c>
      <c r="D63" s="4">
        <f ca="1">TODAY()-716</f>
        <v>45321</v>
      </c>
      <c r="E63" s="3" t="s">
        <v>1029</v>
      </c>
      <c r="F63" s="43" t="b">
        <v>1</v>
      </c>
      <c r="G63" s="43" t="b">
        <v>1</v>
      </c>
      <c r="H63" s="44">
        <v>2330</v>
      </c>
    </row>
    <row r="64" spans="1:8" x14ac:dyDescent="0.3">
      <c r="A64" s="42" t="s">
        <v>1151</v>
      </c>
      <c r="B64" s="3" t="s">
        <v>1152</v>
      </c>
      <c r="C64" s="4">
        <f t="shared" ca="1" si="0"/>
        <v>45300</v>
      </c>
      <c r="D64" s="4">
        <f ca="1">TODAY()-726</f>
        <v>45311</v>
      </c>
      <c r="E64" s="3" t="s">
        <v>1032</v>
      </c>
      <c r="F64" s="43" t="b">
        <v>1</v>
      </c>
      <c r="G64" s="43" t="b">
        <v>0</v>
      </c>
      <c r="H64" s="44">
        <v>2260</v>
      </c>
    </row>
    <row r="65" spans="1:8" x14ac:dyDescent="0.3">
      <c r="A65" s="42" t="s">
        <v>1153</v>
      </c>
      <c r="B65" s="3" t="s">
        <v>1154</v>
      </c>
      <c r="C65" s="4">
        <f t="shared" ca="1" si="0"/>
        <v>45300</v>
      </c>
      <c r="D65" s="4">
        <f ca="1">TODAY()-717</f>
        <v>45320</v>
      </c>
      <c r="E65" s="3" t="s">
        <v>1029</v>
      </c>
      <c r="F65" s="43" t="b">
        <v>1</v>
      </c>
      <c r="G65" s="43" t="b">
        <v>1</v>
      </c>
      <c r="H65" s="44">
        <v>2340</v>
      </c>
    </row>
    <row r="66" spans="1:8" x14ac:dyDescent="0.3">
      <c r="A66" s="42" t="s">
        <v>1155</v>
      </c>
      <c r="B66" s="3" t="s">
        <v>1156</v>
      </c>
      <c r="C66" s="4">
        <f t="shared" ca="1" si="0"/>
        <v>45300</v>
      </c>
      <c r="D66" s="4">
        <f ca="1">TODAY()-712</f>
        <v>45325</v>
      </c>
      <c r="E66" s="3" t="s">
        <v>1029</v>
      </c>
      <c r="F66" s="43" t="b">
        <v>1</v>
      </c>
      <c r="G66" s="43" t="b">
        <v>1</v>
      </c>
      <c r="H66" s="44">
        <v>1200</v>
      </c>
    </row>
    <row r="67" spans="1:8" x14ac:dyDescent="0.3">
      <c r="A67" s="42" t="s">
        <v>1157</v>
      </c>
      <c r="B67" s="3" t="s">
        <v>1158</v>
      </c>
      <c r="C67" s="4">
        <f t="shared" ca="1" si="0"/>
        <v>45300</v>
      </c>
      <c r="D67" s="4">
        <f ca="1">TODAY()-718</f>
        <v>45319</v>
      </c>
      <c r="E67" s="3" t="s">
        <v>1029</v>
      </c>
      <c r="F67" s="43" t="b">
        <v>1</v>
      </c>
      <c r="G67" s="43" t="b">
        <v>1</v>
      </c>
      <c r="H67" s="44">
        <v>360</v>
      </c>
    </row>
    <row r="68" spans="1:8" x14ac:dyDescent="0.3">
      <c r="A68" s="42" t="s">
        <v>1159</v>
      </c>
      <c r="B68" s="3" t="s">
        <v>1160</v>
      </c>
      <c r="C68" s="4">
        <f t="shared" ca="1" si="0"/>
        <v>45300</v>
      </c>
      <c r="D68" s="4">
        <f t="shared" ref="D68:D69" ca="1" si="2">TODAY()-710</f>
        <v>45327</v>
      </c>
      <c r="E68" s="3" t="s">
        <v>1032</v>
      </c>
      <c r="F68" s="43" t="b">
        <v>1</v>
      </c>
      <c r="G68" s="43" t="b">
        <v>0</v>
      </c>
      <c r="H68" s="44">
        <v>2060</v>
      </c>
    </row>
    <row r="69" spans="1:8" x14ac:dyDescent="0.3">
      <c r="A69" s="42" t="s">
        <v>1161</v>
      </c>
      <c r="B69" s="3" t="s">
        <v>1162</v>
      </c>
      <c r="C69" s="4">
        <f t="shared" ca="1" si="0"/>
        <v>45300</v>
      </c>
      <c r="D69" s="4">
        <f t="shared" ca="1" si="2"/>
        <v>45327</v>
      </c>
      <c r="E69" s="3" t="s">
        <v>1029</v>
      </c>
      <c r="F69" s="43" t="b">
        <v>1</v>
      </c>
      <c r="G69" s="43" t="b">
        <v>1</v>
      </c>
      <c r="H69" s="44">
        <v>4090</v>
      </c>
    </row>
    <row r="70" spans="1:8" x14ac:dyDescent="0.3">
      <c r="A70" s="42" t="s">
        <v>1163</v>
      </c>
      <c r="B70" s="3" t="s">
        <v>1164</v>
      </c>
      <c r="C70" s="4">
        <f t="shared" ca="1" si="0"/>
        <v>45300</v>
      </c>
      <c r="D70" s="4">
        <f ca="1">TODAY()-725</f>
        <v>45312</v>
      </c>
      <c r="E70" s="3" t="s">
        <v>1029</v>
      </c>
      <c r="F70" s="43" t="b">
        <v>1</v>
      </c>
      <c r="G70" s="43" t="b">
        <v>1</v>
      </c>
      <c r="H70" s="44">
        <v>2000</v>
      </c>
    </row>
    <row r="71" spans="1:8" x14ac:dyDescent="0.3">
      <c r="A71" s="42" t="s">
        <v>1165</v>
      </c>
      <c r="B71" s="3" t="s">
        <v>1166</v>
      </c>
      <c r="C71" s="4">
        <f t="shared" ca="1" si="0"/>
        <v>45300</v>
      </c>
      <c r="D71" s="4">
        <f ca="1">TODAY()-716</f>
        <v>45321</v>
      </c>
      <c r="E71" s="3" t="s">
        <v>1032</v>
      </c>
      <c r="F71" s="43" t="b">
        <v>1</v>
      </c>
      <c r="G71" s="43" t="b">
        <v>0</v>
      </c>
      <c r="H71" s="44">
        <v>1140</v>
      </c>
    </row>
    <row r="72" spans="1:8" x14ac:dyDescent="0.3">
      <c r="A72" s="42" t="s">
        <v>1167</v>
      </c>
      <c r="B72" s="3" t="s">
        <v>1168</v>
      </c>
      <c r="C72" s="4">
        <f t="shared" ca="1" si="0"/>
        <v>45300</v>
      </c>
      <c r="D72" s="42"/>
      <c r="E72" s="3" t="s">
        <v>1101</v>
      </c>
      <c r="F72" s="43" t="b">
        <v>0</v>
      </c>
      <c r="G72" s="43" t="b">
        <v>0</v>
      </c>
      <c r="H72" s="44">
        <v>250</v>
      </c>
    </row>
    <row r="73" spans="1:8" x14ac:dyDescent="0.3">
      <c r="A73" s="42" t="s">
        <v>1169</v>
      </c>
      <c r="B73" s="3" t="s">
        <v>1170</v>
      </c>
      <c r="C73" s="4">
        <f t="shared" ca="1" si="0"/>
        <v>45300</v>
      </c>
      <c r="D73" s="4">
        <f ca="1">TODAY()-716</f>
        <v>45321</v>
      </c>
      <c r="E73" s="3" t="s">
        <v>1029</v>
      </c>
      <c r="F73" s="43" t="b">
        <v>1</v>
      </c>
      <c r="G73" s="43" t="b">
        <v>1</v>
      </c>
      <c r="H73" s="44">
        <v>1220</v>
      </c>
    </row>
    <row r="74" spans="1:8" x14ac:dyDescent="0.3">
      <c r="A74" s="42" t="s">
        <v>1171</v>
      </c>
      <c r="B74" s="3" t="s">
        <v>1172</v>
      </c>
      <c r="C74" s="4">
        <f t="shared" ca="1" si="0"/>
        <v>45300</v>
      </c>
      <c r="D74" s="42"/>
      <c r="E74" s="3" t="s">
        <v>1077</v>
      </c>
      <c r="F74" s="43" t="b">
        <v>0</v>
      </c>
      <c r="G74" s="43" t="b">
        <v>0</v>
      </c>
      <c r="H74" s="44">
        <v>550</v>
      </c>
    </row>
    <row r="75" spans="1:8" x14ac:dyDescent="0.3">
      <c r="A75" s="42" t="s">
        <v>1173</v>
      </c>
      <c r="B75" s="3" t="s">
        <v>1174</v>
      </c>
      <c r="C75" s="4">
        <f t="shared" ca="1" si="0"/>
        <v>45300</v>
      </c>
      <c r="D75" s="4">
        <f ca="1">TODAY()-713</f>
        <v>45324</v>
      </c>
      <c r="E75" s="3" t="s">
        <v>1032</v>
      </c>
      <c r="F75" s="43" t="b">
        <v>1</v>
      </c>
      <c r="G75" s="43" t="b">
        <v>0</v>
      </c>
      <c r="H75" s="44">
        <v>640</v>
      </c>
    </row>
    <row r="76" spans="1:8" x14ac:dyDescent="0.3">
      <c r="A76" s="42" t="s">
        <v>1175</v>
      </c>
      <c r="B76" s="3" t="s">
        <v>1176</v>
      </c>
      <c r="C76" s="4">
        <f t="shared" ref="C76:C155" ca="1" si="3">TODAY()-707</f>
        <v>45330</v>
      </c>
      <c r="D76" s="4">
        <f ca="1">TODAY()-685</f>
        <v>45352</v>
      </c>
      <c r="E76" s="3" t="s">
        <v>1029</v>
      </c>
      <c r="F76" s="43" t="b">
        <v>1</v>
      </c>
      <c r="G76" s="43" t="b">
        <v>1</v>
      </c>
      <c r="H76" s="44">
        <v>2190</v>
      </c>
    </row>
    <row r="77" spans="1:8" x14ac:dyDescent="0.3">
      <c r="A77" s="42" t="s">
        <v>1177</v>
      </c>
      <c r="B77" s="3" t="s">
        <v>1178</v>
      </c>
      <c r="C77" s="4">
        <f t="shared" ca="1" si="3"/>
        <v>45330</v>
      </c>
      <c r="D77" s="4">
        <f ca="1">TODAY()-697</f>
        <v>45340</v>
      </c>
      <c r="E77" s="3" t="s">
        <v>1029</v>
      </c>
      <c r="F77" s="43" t="b">
        <v>1</v>
      </c>
      <c r="G77" s="43" t="b">
        <v>1</v>
      </c>
      <c r="H77" s="44">
        <v>1020</v>
      </c>
    </row>
    <row r="78" spans="1:8" x14ac:dyDescent="0.3">
      <c r="A78" s="42" t="s">
        <v>1179</v>
      </c>
      <c r="B78" s="3" t="s">
        <v>1180</v>
      </c>
      <c r="C78" s="4">
        <f t="shared" ca="1" si="3"/>
        <v>45330</v>
      </c>
      <c r="D78" s="4">
        <f ca="1">TODAY()-694</f>
        <v>45343</v>
      </c>
      <c r="E78" s="3" t="s">
        <v>1029</v>
      </c>
      <c r="F78" s="43" t="b">
        <v>1</v>
      </c>
      <c r="G78" s="43" t="b">
        <v>1</v>
      </c>
      <c r="H78" s="44">
        <v>1570</v>
      </c>
    </row>
    <row r="79" spans="1:8" x14ac:dyDescent="0.3">
      <c r="A79" s="42" t="s">
        <v>1181</v>
      </c>
      <c r="B79" s="3" t="s">
        <v>1182</v>
      </c>
      <c r="C79" s="4">
        <f t="shared" ca="1" si="3"/>
        <v>45330</v>
      </c>
      <c r="D79" s="4">
        <f ca="1">TODAY()-685</f>
        <v>45352</v>
      </c>
      <c r="E79" s="3" t="s">
        <v>1029</v>
      </c>
      <c r="F79" s="43" t="b">
        <v>1</v>
      </c>
      <c r="G79" s="43" t="b">
        <v>1</v>
      </c>
      <c r="H79" s="44">
        <v>1840</v>
      </c>
    </row>
    <row r="80" spans="1:8" x14ac:dyDescent="0.3">
      <c r="A80" s="42" t="s">
        <v>1141</v>
      </c>
      <c r="B80" s="3" t="s">
        <v>1183</v>
      </c>
      <c r="C80" s="4">
        <f t="shared" ca="1" si="3"/>
        <v>45330</v>
      </c>
      <c r="D80" s="42"/>
      <c r="E80" s="3" t="s">
        <v>1101</v>
      </c>
      <c r="F80" s="43" t="b">
        <v>0</v>
      </c>
      <c r="G80" s="43" t="b">
        <v>0</v>
      </c>
      <c r="H80" s="44">
        <v>130</v>
      </c>
    </row>
    <row r="81" spans="1:8" x14ac:dyDescent="0.3">
      <c r="A81" s="42" t="s">
        <v>1184</v>
      </c>
      <c r="B81" s="3" t="s">
        <v>1185</v>
      </c>
      <c r="C81" s="4">
        <f t="shared" ca="1" si="3"/>
        <v>45330</v>
      </c>
      <c r="D81" s="4">
        <f ca="1">TODAY()-691</f>
        <v>45346</v>
      </c>
      <c r="E81" s="3" t="s">
        <v>1029</v>
      </c>
      <c r="F81" s="43" t="b">
        <v>1</v>
      </c>
      <c r="G81" s="43" t="b">
        <v>1</v>
      </c>
      <c r="H81" s="44">
        <v>340</v>
      </c>
    </row>
    <row r="82" spans="1:8" x14ac:dyDescent="0.3">
      <c r="A82" s="42" t="s">
        <v>1186</v>
      </c>
      <c r="B82" s="3" t="s">
        <v>1187</v>
      </c>
      <c r="C82" s="4">
        <f t="shared" ca="1" si="3"/>
        <v>45330</v>
      </c>
      <c r="D82" s="4">
        <f ca="1">TODAY()-695</f>
        <v>45342</v>
      </c>
      <c r="E82" s="3" t="s">
        <v>1032</v>
      </c>
      <c r="F82" s="43" t="b">
        <v>1</v>
      </c>
      <c r="G82" s="43" t="b">
        <v>0</v>
      </c>
      <c r="H82" s="44">
        <v>2330</v>
      </c>
    </row>
    <row r="83" spans="1:8" x14ac:dyDescent="0.3">
      <c r="A83" s="42" t="s">
        <v>1188</v>
      </c>
      <c r="B83" s="3" t="s">
        <v>1189</v>
      </c>
      <c r="C83" s="4">
        <f t="shared" ca="1" si="3"/>
        <v>45330</v>
      </c>
      <c r="D83" s="42"/>
      <c r="E83" s="3" t="s">
        <v>1037</v>
      </c>
      <c r="F83" s="43" t="b">
        <v>0</v>
      </c>
      <c r="G83" s="43" t="b">
        <v>0</v>
      </c>
      <c r="H83" s="44">
        <v>2470</v>
      </c>
    </row>
    <row r="84" spans="1:8" x14ac:dyDescent="0.3">
      <c r="A84" s="42" t="s">
        <v>1190</v>
      </c>
      <c r="B84" s="3" t="s">
        <v>1191</v>
      </c>
      <c r="C84" s="4">
        <f t="shared" ca="1" si="3"/>
        <v>45330</v>
      </c>
      <c r="D84" s="42"/>
      <c r="E84" s="3" t="s">
        <v>1103</v>
      </c>
      <c r="F84" s="43" t="b">
        <v>0</v>
      </c>
      <c r="G84" s="43" t="b">
        <v>0</v>
      </c>
      <c r="H84" s="44">
        <v>200</v>
      </c>
    </row>
    <row r="85" spans="1:8" x14ac:dyDescent="0.3">
      <c r="A85" s="42" t="s">
        <v>1192</v>
      </c>
      <c r="B85" s="3" t="s">
        <v>1193</v>
      </c>
      <c r="C85" s="4">
        <f t="shared" ca="1" si="3"/>
        <v>45330</v>
      </c>
      <c r="D85" s="4">
        <f ca="1">TODAY()-692</f>
        <v>45345</v>
      </c>
      <c r="E85" s="3" t="s">
        <v>1032</v>
      </c>
      <c r="F85" s="43" t="b">
        <v>1</v>
      </c>
      <c r="G85" s="43" t="b">
        <v>0</v>
      </c>
      <c r="H85" s="44">
        <v>1690</v>
      </c>
    </row>
    <row r="86" spans="1:8" x14ac:dyDescent="0.3">
      <c r="A86" s="42" t="s">
        <v>1194</v>
      </c>
      <c r="B86" s="3" t="s">
        <v>1195</v>
      </c>
      <c r="C86" s="4">
        <f t="shared" ca="1" si="3"/>
        <v>45330</v>
      </c>
      <c r="D86" s="4">
        <f ca="1">TODAY()-694</f>
        <v>45343</v>
      </c>
      <c r="E86" s="3" t="s">
        <v>1032</v>
      </c>
      <c r="F86" s="43" t="b">
        <v>1</v>
      </c>
      <c r="G86" s="43" t="b">
        <v>0</v>
      </c>
      <c r="H86" s="44">
        <v>1600</v>
      </c>
    </row>
    <row r="87" spans="1:8" x14ac:dyDescent="0.3">
      <c r="A87" s="42" t="s">
        <v>1196</v>
      </c>
      <c r="B87" s="3" t="s">
        <v>1197</v>
      </c>
      <c r="C87" s="4">
        <f t="shared" ca="1" si="3"/>
        <v>45330</v>
      </c>
      <c r="D87" s="4">
        <f ca="1">TODAY()-679</f>
        <v>45358</v>
      </c>
      <c r="E87" s="3" t="s">
        <v>1029</v>
      </c>
      <c r="F87" s="43" t="b">
        <v>1</v>
      </c>
      <c r="G87" s="43" t="b">
        <v>1</v>
      </c>
      <c r="H87" s="44">
        <v>650</v>
      </c>
    </row>
    <row r="88" spans="1:8" x14ac:dyDescent="0.3">
      <c r="A88" s="42" t="s">
        <v>1198</v>
      </c>
      <c r="B88" s="3" t="s">
        <v>1199</v>
      </c>
      <c r="C88" s="4">
        <f t="shared" ca="1" si="3"/>
        <v>45330</v>
      </c>
      <c r="D88" s="4">
        <f ca="1">TODAY()-688</f>
        <v>45349</v>
      </c>
      <c r="E88" s="3" t="s">
        <v>1029</v>
      </c>
      <c r="F88" s="43" t="b">
        <v>1</v>
      </c>
      <c r="G88" s="43" t="b">
        <v>1</v>
      </c>
      <c r="H88" s="44">
        <v>190</v>
      </c>
    </row>
    <row r="89" spans="1:8" x14ac:dyDescent="0.3">
      <c r="A89" s="42" t="s">
        <v>1200</v>
      </c>
      <c r="B89" s="3" t="s">
        <v>1201</v>
      </c>
      <c r="C89" s="4">
        <f t="shared" ca="1" si="3"/>
        <v>45330</v>
      </c>
      <c r="D89" s="42"/>
      <c r="E89" s="3" t="s">
        <v>1037</v>
      </c>
      <c r="F89" s="43" t="b">
        <v>0</v>
      </c>
      <c r="G89" s="43" t="b">
        <v>0</v>
      </c>
      <c r="H89" s="44">
        <v>2470</v>
      </c>
    </row>
    <row r="90" spans="1:8" x14ac:dyDescent="0.3">
      <c r="A90" s="42" t="s">
        <v>1060</v>
      </c>
      <c r="B90" s="3" t="s">
        <v>1102</v>
      </c>
      <c r="C90" s="4">
        <f t="shared" ca="1" si="3"/>
        <v>45330</v>
      </c>
      <c r="D90" s="42"/>
      <c r="E90" s="3" t="s">
        <v>1103</v>
      </c>
      <c r="F90" s="43" t="b">
        <v>0</v>
      </c>
      <c r="G90" s="43" t="b">
        <v>0</v>
      </c>
      <c r="H90" s="44">
        <v>740</v>
      </c>
    </row>
    <row r="91" spans="1:8" x14ac:dyDescent="0.3">
      <c r="A91" s="42" t="s">
        <v>1071</v>
      </c>
      <c r="B91" s="3" t="s">
        <v>1202</v>
      </c>
      <c r="C91" s="4">
        <f t="shared" ca="1" si="3"/>
        <v>45330</v>
      </c>
      <c r="D91" s="4">
        <f ca="1">TODAY()-678</f>
        <v>45359</v>
      </c>
      <c r="E91" s="3" t="s">
        <v>1032</v>
      </c>
      <c r="F91" s="43" t="b">
        <v>1</v>
      </c>
      <c r="G91" s="43" t="b">
        <v>0</v>
      </c>
      <c r="H91" s="44">
        <v>1940</v>
      </c>
    </row>
    <row r="92" spans="1:8" x14ac:dyDescent="0.3">
      <c r="A92" s="42" t="s">
        <v>1203</v>
      </c>
      <c r="B92" s="3" t="s">
        <v>1204</v>
      </c>
      <c r="C92" s="4">
        <f t="shared" ca="1" si="3"/>
        <v>45330</v>
      </c>
      <c r="D92" s="4">
        <f ca="1">TODAY()-692</f>
        <v>45345</v>
      </c>
      <c r="E92" s="3" t="s">
        <v>1032</v>
      </c>
      <c r="F92" s="43" t="b">
        <v>1</v>
      </c>
      <c r="G92" s="43" t="b">
        <v>0</v>
      </c>
      <c r="H92" s="44">
        <v>410</v>
      </c>
    </row>
    <row r="93" spans="1:8" x14ac:dyDescent="0.3">
      <c r="A93" s="42" t="s">
        <v>1205</v>
      </c>
      <c r="B93" s="3" t="s">
        <v>1206</v>
      </c>
      <c r="C93" s="4">
        <f t="shared" ca="1" si="3"/>
        <v>45330</v>
      </c>
      <c r="D93" s="4">
        <f ca="1">TODAY()-687</f>
        <v>45350</v>
      </c>
      <c r="E93" s="3" t="s">
        <v>1029</v>
      </c>
      <c r="F93" s="43" t="b">
        <v>1</v>
      </c>
      <c r="G93" s="43" t="b">
        <v>1</v>
      </c>
      <c r="H93" s="44">
        <v>200</v>
      </c>
    </row>
    <row r="94" spans="1:8" x14ac:dyDescent="0.3">
      <c r="A94" s="42" t="s">
        <v>1207</v>
      </c>
      <c r="B94" s="3" t="s">
        <v>1208</v>
      </c>
      <c r="C94" s="4">
        <f t="shared" ca="1" si="3"/>
        <v>45330</v>
      </c>
      <c r="D94" s="4">
        <f ca="1">TODAY()-693</f>
        <v>45344</v>
      </c>
      <c r="E94" s="3" t="s">
        <v>1032</v>
      </c>
      <c r="F94" s="43" t="b">
        <v>1</v>
      </c>
      <c r="G94" s="43" t="b">
        <v>0</v>
      </c>
      <c r="H94" s="44">
        <v>510</v>
      </c>
    </row>
    <row r="95" spans="1:8" x14ac:dyDescent="0.3">
      <c r="A95" s="42" t="s">
        <v>1209</v>
      </c>
      <c r="B95" s="3" t="s">
        <v>1210</v>
      </c>
      <c r="C95" s="4">
        <f t="shared" ca="1" si="3"/>
        <v>45330</v>
      </c>
      <c r="D95" s="4">
        <f ca="1">TODAY()-685</f>
        <v>45352</v>
      </c>
      <c r="E95" s="3" t="s">
        <v>1029</v>
      </c>
      <c r="F95" s="43" t="b">
        <v>1</v>
      </c>
      <c r="G95" s="43" t="b">
        <v>1</v>
      </c>
      <c r="H95" s="44">
        <v>150</v>
      </c>
    </row>
    <row r="96" spans="1:8" x14ac:dyDescent="0.3">
      <c r="A96" s="42" t="s">
        <v>1139</v>
      </c>
      <c r="B96" s="3" t="s">
        <v>1140</v>
      </c>
      <c r="C96" s="4">
        <f t="shared" ca="1" si="3"/>
        <v>45330</v>
      </c>
      <c r="D96" s="4">
        <f ca="1">TODAY()-678</f>
        <v>45359</v>
      </c>
      <c r="E96" s="3" t="s">
        <v>1029</v>
      </c>
      <c r="F96" s="43" t="b">
        <v>1</v>
      </c>
      <c r="G96" s="43" t="b">
        <v>1</v>
      </c>
      <c r="H96" s="44">
        <v>2460</v>
      </c>
    </row>
    <row r="97" spans="1:8" x14ac:dyDescent="0.3">
      <c r="A97" s="42" t="s">
        <v>1211</v>
      </c>
      <c r="B97" s="3" t="s">
        <v>1212</v>
      </c>
      <c r="C97" s="4">
        <f t="shared" ca="1" si="3"/>
        <v>45330</v>
      </c>
      <c r="D97" s="4">
        <f ca="1">TODAY()-695</f>
        <v>45342</v>
      </c>
      <c r="E97" s="3" t="s">
        <v>1029</v>
      </c>
      <c r="F97" s="43" t="b">
        <v>1</v>
      </c>
      <c r="G97" s="43" t="b">
        <v>1</v>
      </c>
      <c r="H97" s="44">
        <v>4300</v>
      </c>
    </row>
    <row r="98" spans="1:8" x14ac:dyDescent="0.3">
      <c r="A98" s="42" t="s">
        <v>1213</v>
      </c>
      <c r="B98" s="3" t="s">
        <v>1214</v>
      </c>
      <c r="C98" s="4">
        <f t="shared" ca="1" si="3"/>
        <v>45330</v>
      </c>
      <c r="D98" s="42"/>
      <c r="E98" s="3" t="s">
        <v>1077</v>
      </c>
      <c r="F98" s="43" t="b">
        <v>0</v>
      </c>
      <c r="G98" s="43" t="b">
        <v>0</v>
      </c>
      <c r="H98" s="44">
        <v>1440</v>
      </c>
    </row>
    <row r="99" spans="1:8" x14ac:dyDescent="0.3">
      <c r="A99" s="42" t="s">
        <v>1215</v>
      </c>
      <c r="B99" s="3" t="s">
        <v>1216</v>
      </c>
      <c r="C99" s="4">
        <f t="shared" ca="1" si="3"/>
        <v>45330</v>
      </c>
      <c r="D99" s="4">
        <f ca="1">TODAY()-694</f>
        <v>45343</v>
      </c>
      <c r="E99" s="3" t="s">
        <v>1029</v>
      </c>
      <c r="F99" s="43" t="b">
        <v>1</v>
      </c>
      <c r="G99" s="43" t="b">
        <v>1</v>
      </c>
      <c r="H99" s="44">
        <v>1330</v>
      </c>
    </row>
    <row r="100" spans="1:8" x14ac:dyDescent="0.3">
      <c r="A100" s="42" t="s">
        <v>1179</v>
      </c>
      <c r="B100" s="3" t="s">
        <v>1180</v>
      </c>
      <c r="C100" s="4">
        <f t="shared" ca="1" si="3"/>
        <v>45330</v>
      </c>
      <c r="D100" s="4">
        <f ca="1">TODAY()-683</f>
        <v>45354</v>
      </c>
      <c r="E100" s="3" t="s">
        <v>1029</v>
      </c>
      <c r="F100" s="43" t="b">
        <v>1</v>
      </c>
      <c r="G100" s="43" t="b">
        <v>1</v>
      </c>
      <c r="H100" s="44">
        <v>1570</v>
      </c>
    </row>
    <row r="101" spans="1:8" x14ac:dyDescent="0.3">
      <c r="A101" s="42" t="s">
        <v>1217</v>
      </c>
      <c r="B101" s="3" t="s">
        <v>1218</v>
      </c>
      <c r="C101" s="4">
        <f t="shared" ca="1" si="3"/>
        <v>45330</v>
      </c>
      <c r="D101" s="4">
        <f ca="1">TODAY()-696</f>
        <v>45341</v>
      </c>
      <c r="E101" s="3" t="s">
        <v>1032</v>
      </c>
      <c r="F101" s="43" t="b">
        <v>1</v>
      </c>
      <c r="G101" s="43" t="b">
        <v>0</v>
      </c>
      <c r="H101" s="44">
        <v>1190</v>
      </c>
    </row>
    <row r="102" spans="1:8" x14ac:dyDescent="0.3">
      <c r="A102" s="42" t="s">
        <v>1219</v>
      </c>
      <c r="B102" s="3" t="s">
        <v>1220</v>
      </c>
      <c r="C102" s="4">
        <f t="shared" ca="1" si="3"/>
        <v>45330</v>
      </c>
      <c r="D102" s="4">
        <f t="shared" ref="D102:D103" ca="1" si="4">TODAY()-680</f>
        <v>45357</v>
      </c>
      <c r="E102" s="3" t="s">
        <v>1032</v>
      </c>
      <c r="F102" s="43" t="b">
        <v>1</v>
      </c>
      <c r="G102" s="43" t="b">
        <v>0</v>
      </c>
      <c r="H102" s="44">
        <v>730</v>
      </c>
    </row>
    <row r="103" spans="1:8" x14ac:dyDescent="0.3">
      <c r="A103" s="42" t="s">
        <v>1221</v>
      </c>
      <c r="B103" s="3" t="s">
        <v>1222</v>
      </c>
      <c r="C103" s="4">
        <f t="shared" ca="1" si="3"/>
        <v>45330</v>
      </c>
      <c r="D103" s="4">
        <f t="shared" ca="1" si="4"/>
        <v>45357</v>
      </c>
      <c r="E103" s="3" t="s">
        <v>1029</v>
      </c>
      <c r="F103" s="43" t="b">
        <v>1</v>
      </c>
      <c r="G103" s="43" t="b">
        <v>1</v>
      </c>
      <c r="H103" s="44">
        <v>20000</v>
      </c>
    </row>
    <row r="104" spans="1:8" x14ac:dyDescent="0.3">
      <c r="A104" s="42" t="s">
        <v>1223</v>
      </c>
      <c r="B104" s="3" t="s">
        <v>1224</v>
      </c>
      <c r="C104" s="4">
        <f t="shared" ca="1" si="3"/>
        <v>45330</v>
      </c>
      <c r="D104" s="4">
        <f ca="1">TODAY()-686</f>
        <v>45351</v>
      </c>
      <c r="E104" s="3" t="s">
        <v>1029</v>
      </c>
      <c r="F104" s="43" t="b">
        <v>1</v>
      </c>
      <c r="G104" s="43" t="b">
        <v>1</v>
      </c>
      <c r="H104" s="44">
        <v>670</v>
      </c>
    </row>
    <row r="105" spans="1:8" x14ac:dyDescent="0.3">
      <c r="A105" s="42" t="s">
        <v>1225</v>
      </c>
      <c r="B105" s="3" t="s">
        <v>1226</v>
      </c>
      <c r="C105" s="4">
        <f t="shared" ca="1" si="3"/>
        <v>45330</v>
      </c>
      <c r="D105" s="4">
        <f ca="1">TODAY()-692</f>
        <v>45345</v>
      </c>
      <c r="E105" s="3" t="s">
        <v>1029</v>
      </c>
      <c r="F105" s="43" t="b">
        <v>1</v>
      </c>
      <c r="G105" s="43" t="b">
        <v>1</v>
      </c>
      <c r="H105" s="44">
        <v>1230</v>
      </c>
    </row>
    <row r="106" spans="1:8" x14ac:dyDescent="0.3">
      <c r="A106" s="42" t="s">
        <v>1227</v>
      </c>
      <c r="B106" s="3" t="s">
        <v>1228</v>
      </c>
      <c r="C106" s="4">
        <f t="shared" ca="1" si="3"/>
        <v>45330</v>
      </c>
      <c r="D106" s="4">
        <f ca="1">TODAY()-690</f>
        <v>45347</v>
      </c>
      <c r="E106" s="3" t="s">
        <v>1029</v>
      </c>
      <c r="F106" s="43" t="b">
        <v>1</v>
      </c>
      <c r="G106" s="43" t="b">
        <v>1</v>
      </c>
      <c r="H106" s="44">
        <v>480</v>
      </c>
    </row>
    <row r="107" spans="1:8" x14ac:dyDescent="0.3">
      <c r="A107" s="42" t="s">
        <v>1229</v>
      </c>
      <c r="B107" s="3" t="s">
        <v>1230</v>
      </c>
      <c r="C107" s="4">
        <f t="shared" ca="1" si="3"/>
        <v>45330</v>
      </c>
      <c r="D107" s="42"/>
      <c r="E107" s="3" t="s">
        <v>1108</v>
      </c>
      <c r="F107" s="43" t="b">
        <v>0</v>
      </c>
      <c r="G107" s="43" t="b">
        <v>0</v>
      </c>
      <c r="H107" s="44">
        <v>280</v>
      </c>
    </row>
    <row r="108" spans="1:8" x14ac:dyDescent="0.3">
      <c r="A108" s="42" t="s">
        <v>1231</v>
      </c>
      <c r="B108" s="3" t="s">
        <v>1232</v>
      </c>
      <c r="C108" s="4">
        <f t="shared" ca="1" si="3"/>
        <v>45330</v>
      </c>
      <c r="D108" s="4">
        <f ca="1">TODAY()-680</f>
        <v>45357</v>
      </c>
      <c r="E108" s="3" t="s">
        <v>1029</v>
      </c>
      <c r="F108" s="43" t="b">
        <v>1</v>
      </c>
      <c r="G108" s="43" t="b">
        <v>1</v>
      </c>
      <c r="H108" s="44">
        <v>230</v>
      </c>
    </row>
    <row r="109" spans="1:8" x14ac:dyDescent="0.3">
      <c r="A109" s="42" t="s">
        <v>1233</v>
      </c>
      <c r="B109" s="3" t="s">
        <v>1234</v>
      </c>
      <c r="C109" s="4">
        <f t="shared" ca="1" si="3"/>
        <v>45330</v>
      </c>
      <c r="D109" s="4">
        <f ca="1">TODAY()-677</f>
        <v>45360</v>
      </c>
      <c r="E109" s="3" t="s">
        <v>1029</v>
      </c>
      <c r="F109" s="43" t="b">
        <v>1</v>
      </c>
      <c r="G109" s="43" t="b">
        <v>1</v>
      </c>
      <c r="H109" s="44">
        <v>1820</v>
      </c>
    </row>
    <row r="110" spans="1:8" x14ac:dyDescent="0.3">
      <c r="A110" s="42" t="s">
        <v>1235</v>
      </c>
      <c r="B110" s="3" t="s">
        <v>1236</v>
      </c>
      <c r="C110" s="4">
        <f t="shared" ca="1" si="3"/>
        <v>45330</v>
      </c>
      <c r="D110" s="4">
        <f ca="1">TODAY()-691</f>
        <v>45346</v>
      </c>
      <c r="E110" s="3" t="s">
        <v>1029</v>
      </c>
      <c r="F110" s="43" t="b">
        <v>1</v>
      </c>
      <c r="G110" s="43" t="b">
        <v>1</v>
      </c>
      <c r="H110" s="44">
        <v>1000</v>
      </c>
    </row>
    <row r="111" spans="1:8" x14ac:dyDescent="0.3">
      <c r="A111" s="42" t="s">
        <v>1237</v>
      </c>
      <c r="B111" s="3" t="s">
        <v>1201</v>
      </c>
      <c r="C111" s="4">
        <f t="shared" ca="1" si="3"/>
        <v>45330</v>
      </c>
      <c r="D111" s="4">
        <f ca="1">TODAY()-697</f>
        <v>45340</v>
      </c>
      <c r="E111" s="3" t="s">
        <v>1032</v>
      </c>
      <c r="F111" s="43" t="b">
        <v>1</v>
      </c>
      <c r="G111" s="43" t="b">
        <v>0</v>
      </c>
      <c r="H111" s="44">
        <v>510</v>
      </c>
    </row>
    <row r="112" spans="1:8" x14ac:dyDescent="0.3">
      <c r="A112" s="42" t="s">
        <v>1238</v>
      </c>
      <c r="B112" s="3" t="s">
        <v>1239</v>
      </c>
      <c r="C112" s="4">
        <f t="shared" ca="1" si="3"/>
        <v>45330</v>
      </c>
      <c r="D112" s="4">
        <f t="shared" ref="D112:D113" ca="1" si="5">TODAY()-683</f>
        <v>45354</v>
      </c>
      <c r="E112" s="3" t="s">
        <v>1032</v>
      </c>
      <c r="F112" s="43" t="b">
        <v>1</v>
      </c>
      <c r="G112" s="43" t="b">
        <v>0</v>
      </c>
      <c r="H112" s="44">
        <v>560</v>
      </c>
    </row>
    <row r="113" spans="1:8" x14ac:dyDescent="0.3">
      <c r="A113" s="42" t="s">
        <v>1240</v>
      </c>
      <c r="B113" s="3" t="s">
        <v>1241</v>
      </c>
      <c r="C113" s="4">
        <f t="shared" ca="1" si="3"/>
        <v>45330</v>
      </c>
      <c r="D113" s="4">
        <f t="shared" ca="1" si="5"/>
        <v>45354</v>
      </c>
      <c r="E113" s="3" t="s">
        <v>1032</v>
      </c>
      <c r="F113" s="43" t="b">
        <v>1</v>
      </c>
      <c r="G113" s="43" t="b">
        <v>0</v>
      </c>
      <c r="H113" s="44">
        <v>870</v>
      </c>
    </row>
    <row r="114" spans="1:8" x14ac:dyDescent="0.3">
      <c r="A114" s="42" t="s">
        <v>1242</v>
      </c>
      <c r="B114" s="3" t="s">
        <v>1243</v>
      </c>
      <c r="C114" s="4">
        <f t="shared" ca="1" si="3"/>
        <v>45330</v>
      </c>
      <c r="D114" s="4">
        <f ca="1">TODAY()-686</f>
        <v>45351</v>
      </c>
      <c r="E114" s="3" t="s">
        <v>1029</v>
      </c>
      <c r="F114" s="43" t="b">
        <v>1</v>
      </c>
      <c r="G114" s="43" t="b">
        <v>1</v>
      </c>
      <c r="H114" s="44">
        <v>1420</v>
      </c>
    </row>
    <row r="115" spans="1:8" x14ac:dyDescent="0.3">
      <c r="A115" s="42" t="s">
        <v>1244</v>
      </c>
      <c r="B115" s="3" t="s">
        <v>1222</v>
      </c>
      <c r="C115" s="4">
        <f t="shared" ca="1" si="3"/>
        <v>45330</v>
      </c>
      <c r="D115" s="42"/>
      <c r="E115" s="3" t="s">
        <v>1037</v>
      </c>
      <c r="F115" s="43" t="b">
        <v>0</v>
      </c>
      <c r="G115" s="43" t="b">
        <v>0</v>
      </c>
      <c r="H115" s="44">
        <v>1250</v>
      </c>
    </row>
    <row r="116" spans="1:8" x14ac:dyDescent="0.3">
      <c r="A116" s="42" t="s">
        <v>1245</v>
      </c>
      <c r="B116" s="3" t="s">
        <v>1246</v>
      </c>
      <c r="C116" s="4">
        <f t="shared" ca="1" si="3"/>
        <v>45330</v>
      </c>
      <c r="D116" s="4">
        <f ca="1">TODAY()-691</f>
        <v>45346</v>
      </c>
      <c r="E116" s="3" t="s">
        <v>1029</v>
      </c>
      <c r="F116" s="43" t="b">
        <v>1</v>
      </c>
      <c r="G116" s="43" t="b">
        <v>1</v>
      </c>
      <c r="H116" s="44">
        <v>1270</v>
      </c>
    </row>
    <row r="117" spans="1:8" x14ac:dyDescent="0.3">
      <c r="A117" s="42" t="s">
        <v>1147</v>
      </c>
      <c r="B117" s="3" t="s">
        <v>1247</v>
      </c>
      <c r="C117" s="4">
        <f t="shared" ca="1" si="3"/>
        <v>45330</v>
      </c>
      <c r="D117" s="4">
        <f ca="1">TODAY()-681</f>
        <v>45356</v>
      </c>
      <c r="E117" s="3" t="s">
        <v>1029</v>
      </c>
      <c r="F117" s="43" t="b">
        <v>1</v>
      </c>
      <c r="G117" s="43" t="b">
        <v>1</v>
      </c>
      <c r="H117" s="44">
        <v>1530</v>
      </c>
    </row>
    <row r="118" spans="1:8" x14ac:dyDescent="0.3">
      <c r="A118" s="42" t="s">
        <v>1161</v>
      </c>
      <c r="B118" s="3" t="s">
        <v>1248</v>
      </c>
      <c r="C118" s="4">
        <f t="shared" ca="1" si="3"/>
        <v>45330</v>
      </c>
      <c r="D118" s="4">
        <f ca="1">TODAY()-683</f>
        <v>45354</v>
      </c>
      <c r="E118" s="3" t="s">
        <v>1029</v>
      </c>
      <c r="F118" s="43" t="b">
        <v>1</v>
      </c>
      <c r="G118" s="43" t="b">
        <v>1</v>
      </c>
      <c r="H118" s="44">
        <v>2440</v>
      </c>
    </row>
    <row r="119" spans="1:8" x14ac:dyDescent="0.3">
      <c r="A119" s="42" t="s">
        <v>1249</v>
      </c>
      <c r="B119" s="3" t="s">
        <v>1250</v>
      </c>
      <c r="C119" s="4">
        <f t="shared" ca="1" si="3"/>
        <v>45330</v>
      </c>
      <c r="D119" s="4">
        <f ca="1">TODAY()-693</f>
        <v>45344</v>
      </c>
      <c r="E119" s="3" t="s">
        <v>1029</v>
      </c>
      <c r="F119" s="43" t="b">
        <v>1</v>
      </c>
      <c r="G119" s="43" t="b">
        <v>1</v>
      </c>
      <c r="H119" s="44">
        <v>630</v>
      </c>
    </row>
    <row r="120" spans="1:8" x14ac:dyDescent="0.3">
      <c r="A120" s="42" t="s">
        <v>1027</v>
      </c>
      <c r="B120" s="3" t="s">
        <v>1251</v>
      </c>
      <c r="C120" s="4">
        <f t="shared" ca="1" si="3"/>
        <v>45330</v>
      </c>
      <c r="D120" s="4">
        <f ca="1">TODAY()-690</f>
        <v>45347</v>
      </c>
      <c r="E120" s="3" t="s">
        <v>1032</v>
      </c>
      <c r="F120" s="43" t="b">
        <v>1</v>
      </c>
      <c r="G120" s="43" t="b">
        <v>0</v>
      </c>
      <c r="H120" s="44">
        <v>210</v>
      </c>
    </row>
    <row r="121" spans="1:8" x14ac:dyDescent="0.3">
      <c r="A121" s="42" t="s">
        <v>1207</v>
      </c>
      <c r="B121" s="3" t="s">
        <v>1208</v>
      </c>
      <c r="C121" s="4">
        <f t="shared" ca="1" si="3"/>
        <v>45330</v>
      </c>
      <c r="D121" s="4">
        <f ca="1">TODAY()-683</f>
        <v>45354</v>
      </c>
      <c r="E121" s="3" t="s">
        <v>1032</v>
      </c>
      <c r="F121" s="43" t="b">
        <v>1</v>
      </c>
      <c r="G121" s="43" t="b">
        <v>0</v>
      </c>
      <c r="H121" s="44">
        <v>510</v>
      </c>
    </row>
    <row r="122" spans="1:8" x14ac:dyDescent="0.3">
      <c r="A122" s="42" t="s">
        <v>1252</v>
      </c>
      <c r="B122" s="3" t="s">
        <v>1253</v>
      </c>
      <c r="C122" s="4">
        <f t="shared" ca="1" si="3"/>
        <v>45330</v>
      </c>
      <c r="D122" s="4">
        <f ca="1">TODAY()-680</f>
        <v>45357</v>
      </c>
      <c r="E122" s="3" t="s">
        <v>1032</v>
      </c>
      <c r="F122" s="43" t="b">
        <v>1</v>
      </c>
      <c r="G122" s="43" t="b">
        <v>0</v>
      </c>
      <c r="H122" s="44">
        <v>1790</v>
      </c>
    </row>
    <row r="123" spans="1:8" x14ac:dyDescent="0.3">
      <c r="A123" s="42" t="s">
        <v>1254</v>
      </c>
      <c r="B123" s="3" t="s">
        <v>1255</v>
      </c>
      <c r="C123" s="4">
        <f t="shared" ca="1" si="3"/>
        <v>45330</v>
      </c>
      <c r="D123" s="4">
        <f ca="1">TODAY()-696</f>
        <v>45341</v>
      </c>
      <c r="E123" s="3" t="s">
        <v>1029</v>
      </c>
      <c r="F123" s="43" t="b">
        <v>1</v>
      </c>
      <c r="G123" s="43" t="b">
        <v>1</v>
      </c>
      <c r="H123" s="44">
        <v>1210</v>
      </c>
    </row>
    <row r="124" spans="1:8" x14ac:dyDescent="0.3">
      <c r="A124" s="42" t="s">
        <v>1256</v>
      </c>
      <c r="B124" s="3" t="s">
        <v>1257</v>
      </c>
      <c r="C124" s="4">
        <f t="shared" ca="1" si="3"/>
        <v>45330</v>
      </c>
      <c r="D124" s="4">
        <f ca="1">TODAY()-678</f>
        <v>45359</v>
      </c>
      <c r="E124" s="3" t="s">
        <v>1032</v>
      </c>
      <c r="F124" s="43" t="b">
        <v>1</v>
      </c>
      <c r="G124" s="43" t="b">
        <v>0</v>
      </c>
      <c r="H124" s="44">
        <v>590</v>
      </c>
    </row>
    <row r="125" spans="1:8" x14ac:dyDescent="0.3">
      <c r="A125" s="42" t="s">
        <v>1215</v>
      </c>
      <c r="B125" s="3" t="s">
        <v>1216</v>
      </c>
      <c r="C125" s="4">
        <f t="shared" ca="1" si="3"/>
        <v>45330</v>
      </c>
      <c r="D125" s="4">
        <f ca="1">TODAY()-685</f>
        <v>45352</v>
      </c>
      <c r="E125" s="3" t="s">
        <v>1029</v>
      </c>
      <c r="F125" s="43" t="b">
        <v>1</v>
      </c>
      <c r="G125" s="43" t="b">
        <v>1</v>
      </c>
      <c r="H125" s="44">
        <v>1330</v>
      </c>
    </row>
    <row r="126" spans="1:8" x14ac:dyDescent="0.3">
      <c r="A126" s="42" t="s">
        <v>1258</v>
      </c>
      <c r="B126" s="3" t="s">
        <v>1259</v>
      </c>
      <c r="C126" s="4">
        <f t="shared" ca="1" si="3"/>
        <v>45330</v>
      </c>
      <c r="D126" s="4">
        <f ca="1">TODAY()-677</f>
        <v>45360</v>
      </c>
      <c r="E126" s="3" t="s">
        <v>1032</v>
      </c>
      <c r="F126" s="43" t="b">
        <v>1</v>
      </c>
      <c r="G126" s="43" t="b">
        <v>0</v>
      </c>
      <c r="H126" s="44">
        <v>1510</v>
      </c>
    </row>
    <row r="127" spans="1:8" x14ac:dyDescent="0.3">
      <c r="A127" s="42" t="s">
        <v>1123</v>
      </c>
      <c r="B127" s="3" t="s">
        <v>1260</v>
      </c>
      <c r="C127" s="4">
        <f t="shared" ca="1" si="3"/>
        <v>45330</v>
      </c>
      <c r="D127" s="4">
        <f ca="1">TODAY()-692</f>
        <v>45345</v>
      </c>
      <c r="E127" s="3" t="s">
        <v>1029</v>
      </c>
      <c r="F127" s="43" t="b">
        <v>1</v>
      </c>
      <c r="G127" s="43" t="b">
        <v>1</v>
      </c>
      <c r="H127" s="44">
        <v>630</v>
      </c>
    </row>
    <row r="128" spans="1:8" x14ac:dyDescent="0.3">
      <c r="A128" s="42" t="s">
        <v>1261</v>
      </c>
      <c r="B128" s="3" t="s">
        <v>1259</v>
      </c>
      <c r="C128" s="4">
        <f t="shared" ca="1" si="3"/>
        <v>45330</v>
      </c>
      <c r="D128" s="42"/>
      <c r="E128" s="3" t="s">
        <v>1101</v>
      </c>
      <c r="F128" s="43" t="b">
        <v>0</v>
      </c>
      <c r="G128" s="43" t="b">
        <v>0</v>
      </c>
      <c r="H128" s="44">
        <v>840</v>
      </c>
    </row>
    <row r="129" spans="1:8" x14ac:dyDescent="0.3">
      <c r="A129" s="42" t="s">
        <v>1262</v>
      </c>
      <c r="B129" s="3" t="s">
        <v>1201</v>
      </c>
      <c r="C129" s="4">
        <f t="shared" ca="1" si="3"/>
        <v>45330</v>
      </c>
      <c r="D129" s="42"/>
      <c r="E129" s="3" t="s">
        <v>1108</v>
      </c>
      <c r="F129" s="43" t="b">
        <v>0</v>
      </c>
      <c r="G129" s="43" t="b">
        <v>0</v>
      </c>
      <c r="H129" s="44">
        <v>240</v>
      </c>
    </row>
    <row r="130" spans="1:8" x14ac:dyDescent="0.3">
      <c r="A130" s="42" t="s">
        <v>1263</v>
      </c>
      <c r="B130" s="3" t="s">
        <v>1201</v>
      </c>
      <c r="C130" s="4">
        <f t="shared" ca="1" si="3"/>
        <v>45330</v>
      </c>
      <c r="D130" s="4">
        <f ca="1">TODAY()-677</f>
        <v>45360</v>
      </c>
      <c r="E130" s="3" t="s">
        <v>1029</v>
      </c>
      <c r="F130" s="43" t="b">
        <v>1</v>
      </c>
      <c r="G130" s="43" t="b">
        <v>1</v>
      </c>
      <c r="H130" s="44">
        <v>5880</v>
      </c>
    </row>
    <row r="131" spans="1:8" x14ac:dyDescent="0.3">
      <c r="A131" s="42" t="s">
        <v>1264</v>
      </c>
      <c r="B131" s="3" t="s">
        <v>1265</v>
      </c>
      <c r="C131" s="4">
        <f t="shared" ca="1" si="3"/>
        <v>45330</v>
      </c>
      <c r="D131" s="4">
        <f ca="1">TODAY()-696</f>
        <v>45341</v>
      </c>
      <c r="E131" s="3" t="s">
        <v>1029</v>
      </c>
      <c r="F131" s="43" t="b">
        <v>1</v>
      </c>
      <c r="G131" s="43" t="b">
        <v>1</v>
      </c>
      <c r="H131" s="44">
        <v>1230</v>
      </c>
    </row>
    <row r="132" spans="1:8" x14ac:dyDescent="0.3">
      <c r="A132" s="42" t="s">
        <v>1200</v>
      </c>
      <c r="B132" s="3" t="s">
        <v>1201</v>
      </c>
      <c r="C132" s="4">
        <f t="shared" ca="1" si="3"/>
        <v>45330</v>
      </c>
      <c r="D132" s="42"/>
      <c r="E132" s="3" t="s">
        <v>1037</v>
      </c>
      <c r="F132" s="43" t="b">
        <v>0</v>
      </c>
      <c r="G132" s="43" t="b">
        <v>0</v>
      </c>
      <c r="H132" s="44">
        <v>2470</v>
      </c>
    </row>
    <row r="133" spans="1:8" x14ac:dyDescent="0.3">
      <c r="A133" s="42" t="s">
        <v>1266</v>
      </c>
      <c r="B133" s="3" t="s">
        <v>1267</v>
      </c>
      <c r="C133" s="4">
        <f t="shared" ca="1" si="3"/>
        <v>45330</v>
      </c>
      <c r="D133" s="4">
        <f ca="1">TODAY()-680</f>
        <v>45357</v>
      </c>
      <c r="E133" s="3" t="s">
        <v>1029</v>
      </c>
      <c r="F133" s="43" t="b">
        <v>1</v>
      </c>
      <c r="G133" s="43" t="b">
        <v>1</v>
      </c>
      <c r="H133" s="44">
        <v>1110</v>
      </c>
    </row>
    <row r="134" spans="1:8" x14ac:dyDescent="0.3">
      <c r="A134" s="42" t="s">
        <v>1268</v>
      </c>
      <c r="B134" s="3" t="s">
        <v>1269</v>
      </c>
      <c r="C134" s="4">
        <f t="shared" ca="1" si="3"/>
        <v>45330</v>
      </c>
      <c r="D134" s="4">
        <f ca="1">TODAY()-693</f>
        <v>45344</v>
      </c>
      <c r="E134" s="3" t="s">
        <v>1029</v>
      </c>
      <c r="F134" s="43" t="b">
        <v>1</v>
      </c>
      <c r="G134" s="43" t="b">
        <v>1</v>
      </c>
      <c r="H134" s="44">
        <v>830</v>
      </c>
    </row>
    <row r="135" spans="1:8" x14ac:dyDescent="0.3">
      <c r="A135" s="42" t="s">
        <v>1159</v>
      </c>
      <c r="B135" s="3" t="s">
        <v>1160</v>
      </c>
      <c r="C135" s="4">
        <f t="shared" ca="1" si="3"/>
        <v>45330</v>
      </c>
      <c r="D135" s="4">
        <f ca="1">TODAY()-686</f>
        <v>45351</v>
      </c>
      <c r="E135" s="3" t="s">
        <v>1032</v>
      </c>
      <c r="F135" s="43" t="b">
        <v>1</v>
      </c>
      <c r="G135" s="43" t="b">
        <v>0</v>
      </c>
      <c r="H135" s="44">
        <v>2060</v>
      </c>
    </row>
    <row r="136" spans="1:8" x14ac:dyDescent="0.3">
      <c r="A136" s="42" t="s">
        <v>1117</v>
      </c>
      <c r="B136" s="3" t="s">
        <v>1118</v>
      </c>
      <c r="C136" s="4">
        <f t="shared" ca="1" si="3"/>
        <v>45330</v>
      </c>
      <c r="D136" s="4">
        <f ca="1">TODAY()-693</f>
        <v>45344</v>
      </c>
      <c r="E136" s="3" t="s">
        <v>1032</v>
      </c>
      <c r="F136" s="43" t="b">
        <v>1</v>
      </c>
      <c r="G136" s="43" t="b">
        <v>0</v>
      </c>
      <c r="H136" s="44">
        <v>410</v>
      </c>
    </row>
    <row r="137" spans="1:8" x14ac:dyDescent="0.3">
      <c r="A137" s="42" t="s">
        <v>1196</v>
      </c>
      <c r="B137" s="3" t="s">
        <v>1197</v>
      </c>
      <c r="C137" s="4">
        <f t="shared" ca="1" si="3"/>
        <v>45330</v>
      </c>
      <c r="D137" s="4">
        <f ca="1">TODAY()-680</f>
        <v>45357</v>
      </c>
      <c r="E137" s="3" t="s">
        <v>1029</v>
      </c>
      <c r="F137" s="43" t="b">
        <v>1</v>
      </c>
      <c r="G137" s="43" t="b">
        <v>1</v>
      </c>
      <c r="H137" s="44">
        <v>650</v>
      </c>
    </row>
    <row r="138" spans="1:8" x14ac:dyDescent="0.3">
      <c r="A138" s="42" t="s">
        <v>1270</v>
      </c>
      <c r="B138" s="3" t="s">
        <v>1271</v>
      </c>
      <c r="C138" s="4">
        <f t="shared" ca="1" si="3"/>
        <v>45330</v>
      </c>
      <c r="D138" s="42"/>
      <c r="E138" s="3" t="s">
        <v>1101</v>
      </c>
      <c r="F138" s="43" t="b">
        <v>0</v>
      </c>
      <c r="G138" s="43" t="b">
        <v>0</v>
      </c>
      <c r="H138" s="44">
        <v>1140</v>
      </c>
    </row>
    <row r="139" spans="1:8" x14ac:dyDescent="0.3">
      <c r="A139" s="42" t="s">
        <v>1272</v>
      </c>
      <c r="B139" s="3" t="s">
        <v>1273</v>
      </c>
      <c r="C139" s="4">
        <f t="shared" ca="1" si="3"/>
        <v>45330</v>
      </c>
      <c r="D139" s="4">
        <f ca="1">TODAY()-683</f>
        <v>45354</v>
      </c>
      <c r="E139" s="3" t="s">
        <v>1029</v>
      </c>
      <c r="F139" s="43" t="b">
        <v>1</v>
      </c>
      <c r="G139" s="43" t="b">
        <v>1</v>
      </c>
      <c r="H139" s="44">
        <v>880</v>
      </c>
    </row>
    <row r="140" spans="1:8" x14ac:dyDescent="0.3">
      <c r="A140" s="42" t="s">
        <v>1225</v>
      </c>
      <c r="B140" s="3" t="s">
        <v>1274</v>
      </c>
      <c r="C140" s="4">
        <f t="shared" ca="1" si="3"/>
        <v>45330</v>
      </c>
      <c r="D140" s="4">
        <f ca="1">TODAY()-690</f>
        <v>45347</v>
      </c>
      <c r="E140" s="3" t="s">
        <v>1029</v>
      </c>
      <c r="F140" s="43" t="b">
        <v>1</v>
      </c>
      <c r="G140" s="43" t="b">
        <v>1</v>
      </c>
      <c r="H140" s="44">
        <v>670</v>
      </c>
    </row>
    <row r="141" spans="1:8" x14ac:dyDescent="0.3">
      <c r="A141" s="42" t="s">
        <v>1227</v>
      </c>
      <c r="B141" s="3" t="s">
        <v>1275</v>
      </c>
      <c r="C141" s="4">
        <f t="shared" ca="1" si="3"/>
        <v>45330</v>
      </c>
      <c r="D141" s="4">
        <f ca="1">TODAY()-677</f>
        <v>45360</v>
      </c>
      <c r="E141" s="3" t="s">
        <v>1032</v>
      </c>
      <c r="F141" s="43" t="b">
        <v>1</v>
      </c>
      <c r="G141" s="43" t="b">
        <v>0</v>
      </c>
      <c r="H141" s="44">
        <v>970</v>
      </c>
    </row>
    <row r="142" spans="1:8" x14ac:dyDescent="0.3">
      <c r="A142" s="42" t="s">
        <v>1276</v>
      </c>
      <c r="B142" s="3" t="s">
        <v>1114</v>
      </c>
      <c r="C142" s="4">
        <f t="shared" ca="1" si="3"/>
        <v>45330</v>
      </c>
      <c r="D142" s="42"/>
      <c r="E142" s="3" t="s">
        <v>1077</v>
      </c>
      <c r="F142" s="43" t="b">
        <v>0</v>
      </c>
      <c r="G142" s="43" t="b">
        <v>0</v>
      </c>
      <c r="H142" s="44">
        <v>550</v>
      </c>
    </row>
    <row r="143" spans="1:8" x14ac:dyDescent="0.3">
      <c r="A143" s="42" t="s">
        <v>1089</v>
      </c>
      <c r="B143" s="3" t="s">
        <v>1222</v>
      </c>
      <c r="C143" s="4">
        <f t="shared" ca="1" si="3"/>
        <v>45330</v>
      </c>
      <c r="D143" s="42"/>
      <c r="E143" s="3" t="s">
        <v>1103</v>
      </c>
      <c r="F143" s="43" t="b">
        <v>0</v>
      </c>
      <c r="G143" s="43" t="b">
        <v>0</v>
      </c>
      <c r="H143" s="44">
        <v>1440</v>
      </c>
    </row>
    <row r="144" spans="1:8" x14ac:dyDescent="0.3">
      <c r="A144" s="42" t="s">
        <v>1277</v>
      </c>
      <c r="B144" s="3" t="s">
        <v>1067</v>
      </c>
      <c r="C144" s="4">
        <f t="shared" ca="1" si="3"/>
        <v>45330</v>
      </c>
      <c r="D144" s="42"/>
      <c r="E144" s="3" t="s">
        <v>1077</v>
      </c>
      <c r="F144" s="43" t="b">
        <v>0</v>
      </c>
      <c r="G144" s="43" t="b">
        <v>0</v>
      </c>
      <c r="H144" s="44">
        <v>470</v>
      </c>
    </row>
    <row r="145" spans="1:8" x14ac:dyDescent="0.3">
      <c r="A145" s="42" t="s">
        <v>1165</v>
      </c>
      <c r="B145" s="3" t="s">
        <v>1166</v>
      </c>
      <c r="C145" s="4">
        <f t="shared" ca="1" si="3"/>
        <v>45330</v>
      </c>
      <c r="D145" s="4">
        <f ca="1">TODAY()-689</f>
        <v>45348</v>
      </c>
      <c r="E145" s="3" t="s">
        <v>1032</v>
      </c>
      <c r="F145" s="43" t="b">
        <v>1</v>
      </c>
      <c r="G145" s="43" t="b">
        <v>0</v>
      </c>
      <c r="H145" s="44">
        <v>1140</v>
      </c>
    </row>
    <row r="146" spans="1:8" x14ac:dyDescent="0.3">
      <c r="A146" s="42" t="s">
        <v>1127</v>
      </c>
      <c r="B146" s="3" t="s">
        <v>1128</v>
      </c>
      <c r="C146" s="4">
        <f t="shared" ca="1" si="3"/>
        <v>45330</v>
      </c>
      <c r="D146" s="4">
        <f ca="1">TODAY()-677</f>
        <v>45360</v>
      </c>
      <c r="E146" s="3" t="s">
        <v>1032</v>
      </c>
      <c r="F146" s="43" t="b">
        <v>1</v>
      </c>
      <c r="G146" s="43" t="b">
        <v>0</v>
      </c>
      <c r="H146" s="44">
        <v>820</v>
      </c>
    </row>
    <row r="147" spans="1:8" x14ac:dyDescent="0.3">
      <c r="A147" s="42" t="s">
        <v>1278</v>
      </c>
      <c r="B147" s="3" t="s">
        <v>1279</v>
      </c>
      <c r="C147" s="4">
        <f t="shared" ca="1" si="3"/>
        <v>45330</v>
      </c>
      <c r="D147" s="42"/>
      <c r="E147" s="3" t="s">
        <v>1103</v>
      </c>
      <c r="F147" s="43" t="b">
        <v>0</v>
      </c>
      <c r="G147" s="43" t="b">
        <v>0</v>
      </c>
      <c r="H147" s="44">
        <v>2070</v>
      </c>
    </row>
    <row r="148" spans="1:8" x14ac:dyDescent="0.3">
      <c r="A148" s="42" t="s">
        <v>1280</v>
      </c>
      <c r="B148" s="3" t="s">
        <v>1136</v>
      </c>
      <c r="C148" s="4">
        <f t="shared" ca="1" si="3"/>
        <v>45330</v>
      </c>
      <c r="D148" s="4">
        <f t="shared" ref="D148:D149" ca="1" si="6">TODAY()-692</f>
        <v>45345</v>
      </c>
      <c r="E148" s="3" t="s">
        <v>1032</v>
      </c>
      <c r="F148" s="43" t="b">
        <v>1</v>
      </c>
      <c r="G148" s="43" t="b">
        <v>0</v>
      </c>
      <c r="H148" s="44">
        <v>1460</v>
      </c>
    </row>
    <row r="149" spans="1:8" x14ac:dyDescent="0.3">
      <c r="A149" s="42" t="s">
        <v>1281</v>
      </c>
      <c r="B149" s="3" t="s">
        <v>1282</v>
      </c>
      <c r="C149" s="4">
        <f t="shared" ca="1" si="3"/>
        <v>45330</v>
      </c>
      <c r="D149" s="4">
        <f t="shared" ca="1" si="6"/>
        <v>45345</v>
      </c>
      <c r="E149" s="3" t="s">
        <v>1029</v>
      </c>
      <c r="F149" s="43" t="b">
        <v>1</v>
      </c>
      <c r="G149" s="43" t="b">
        <v>1</v>
      </c>
      <c r="H149" s="44">
        <v>2350</v>
      </c>
    </row>
    <row r="150" spans="1:8" x14ac:dyDescent="0.3">
      <c r="A150" s="42" t="s">
        <v>1283</v>
      </c>
      <c r="B150" s="3" t="s">
        <v>1284</v>
      </c>
      <c r="C150" s="4">
        <f t="shared" ca="1" si="3"/>
        <v>45330</v>
      </c>
      <c r="D150" s="4">
        <f ca="1">TODAY()-683</f>
        <v>45354</v>
      </c>
      <c r="E150" s="3" t="s">
        <v>1029</v>
      </c>
      <c r="F150" s="43" t="b">
        <v>1</v>
      </c>
      <c r="G150" s="43" t="b">
        <v>1</v>
      </c>
      <c r="H150" s="44">
        <v>690</v>
      </c>
    </row>
    <row r="151" spans="1:8" x14ac:dyDescent="0.3">
      <c r="A151" s="42" t="s">
        <v>1177</v>
      </c>
      <c r="B151" s="3" t="s">
        <v>1178</v>
      </c>
      <c r="C151" s="4">
        <f t="shared" ca="1" si="3"/>
        <v>45330</v>
      </c>
      <c r="D151" s="4">
        <f ca="1">TODAY()-677</f>
        <v>45360</v>
      </c>
      <c r="E151" s="3" t="s">
        <v>1029</v>
      </c>
      <c r="F151" s="43" t="b">
        <v>1</v>
      </c>
      <c r="G151" s="43" t="b">
        <v>1</v>
      </c>
      <c r="H151" s="44">
        <v>1020</v>
      </c>
    </row>
    <row r="152" spans="1:8" x14ac:dyDescent="0.3">
      <c r="A152" s="42" t="s">
        <v>1285</v>
      </c>
      <c r="B152" s="3" t="s">
        <v>1201</v>
      </c>
      <c r="C152" s="4">
        <f t="shared" ca="1" si="3"/>
        <v>45330</v>
      </c>
      <c r="D152" s="4">
        <f ca="1">TODAY()-681</f>
        <v>45356</v>
      </c>
      <c r="E152" s="3" t="s">
        <v>1029</v>
      </c>
      <c r="F152" s="43" t="b">
        <v>1</v>
      </c>
      <c r="G152" s="43" t="b">
        <v>1</v>
      </c>
      <c r="H152" s="44">
        <v>1520</v>
      </c>
    </row>
    <row r="153" spans="1:8" x14ac:dyDescent="0.3">
      <c r="A153" s="42" t="s">
        <v>1286</v>
      </c>
      <c r="B153" s="3" t="s">
        <v>1287</v>
      </c>
      <c r="C153" s="4">
        <f t="shared" ca="1" si="3"/>
        <v>45330</v>
      </c>
      <c r="D153" s="4">
        <f ca="1">TODAY()-696</f>
        <v>45341</v>
      </c>
      <c r="E153" s="3" t="s">
        <v>1032</v>
      </c>
      <c r="F153" s="43" t="b">
        <v>1</v>
      </c>
      <c r="G153" s="43" t="b">
        <v>0</v>
      </c>
      <c r="H153" s="44">
        <v>2280</v>
      </c>
    </row>
    <row r="154" spans="1:8" x14ac:dyDescent="0.3">
      <c r="A154" s="42" t="s">
        <v>1288</v>
      </c>
      <c r="B154" s="3" t="s">
        <v>1289</v>
      </c>
      <c r="C154" s="4">
        <f t="shared" ca="1" si="3"/>
        <v>45330</v>
      </c>
      <c r="D154" s="4">
        <f ca="1">TODAY()-697</f>
        <v>45340</v>
      </c>
      <c r="E154" s="3" t="s">
        <v>1032</v>
      </c>
      <c r="F154" s="43" t="b">
        <v>1</v>
      </c>
      <c r="G154" s="43" t="b">
        <v>0</v>
      </c>
      <c r="H154" s="44">
        <v>220</v>
      </c>
    </row>
    <row r="155" spans="1:8" x14ac:dyDescent="0.3">
      <c r="A155" s="42" t="s">
        <v>1290</v>
      </c>
      <c r="B155" s="3" t="s">
        <v>1291</v>
      </c>
      <c r="C155" s="4">
        <f t="shared" ca="1" si="3"/>
        <v>45330</v>
      </c>
      <c r="D155" s="4">
        <f ca="1">TODAY()-680</f>
        <v>45357</v>
      </c>
      <c r="E155" s="3" t="s">
        <v>1029</v>
      </c>
      <c r="F155" s="43" t="b">
        <v>1</v>
      </c>
      <c r="G155" s="43" t="b">
        <v>1</v>
      </c>
      <c r="H155" s="44">
        <v>430</v>
      </c>
    </row>
    <row r="156" spans="1:8" x14ac:dyDescent="0.3">
      <c r="A156" s="42" t="s">
        <v>1292</v>
      </c>
      <c r="B156" s="3" t="s">
        <v>1293</v>
      </c>
      <c r="C156" s="4">
        <f t="shared" ref="C156:C239" ca="1" si="7">TODAY()-676</f>
        <v>45361</v>
      </c>
      <c r="D156" s="4">
        <f ca="1">TODAY()-651</f>
        <v>45386</v>
      </c>
      <c r="E156" s="3" t="s">
        <v>1029</v>
      </c>
      <c r="F156" s="43" t="b">
        <v>1</v>
      </c>
      <c r="G156" s="43" t="b">
        <v>1</v>
      </c>
      <c r="H156" s="44">
        <v>930</v>
      </c>
    </row>
    <row r="157" spans="1:8" x14ac:dyDescent="0.3">
      <c r="A157" s="42" t="s">
        <v>1294</v>
      </c>
      <c r="B157" s="3" t="s">
        <v>1295</v>
      </c>
      <c r="C157" s="4">
        <f t="shared" ca="1" si="7"/>
        <v>45361</v>
      </c>
      <c r="D157" s="4">
        <f ca="1">TODAY()-658</f>
        <v>45379</v>
      </c>
      <c r="E157" s="3" t="s">
        <v>1029</v>
      </c>
      <c r="F157" s="43" t="b">
        <v>1</v>
      </c>
      <c r="G157" s="43" t="b">
        <v>1</v>
      </c>
      <c r="H157" s="44">
        <v>2410</v>
      </c>
    </row>
    <row r="158" spans="1:8" x14ac:dyDescent="0.3">
      <c r="A158" s="42" t="s">
        <v>1296</v>
      </c>
      <c r="B158" s="3" t="s">
        <v>1297</v>
      </c>
      <c r="C158" s="4">
        <f t="shared" ca="1" si="7"/>
        <v>45361</v>
      </c>
      <c r="D158" s="4">
        <f ca="1">TODAY()-664</f>
        <v>45373</v>
      </c>
      <c r="E158" s="3" t="s">
        <v>1029</v>
      </c>
      <c r="F158" s="43" t="b">
        <v>1</v>
      </c>
      <c r="G158" s="43" t="b">
        <v>1</v>
      </c>
      <c r="H158" s="44">
        <v>530</v>
      </c>
    </row>
    <row r="159" spans="1:8" x14ac:dyDescent="0.3">
      <c r="A159" s="42" t="s">
        <v>1298</v>
      </c>
      <c r="B159" s="3" t="s">
        <v>1299</v>
      </c>
      <c r="C159" s="4">
        <f t="shared" ca="1" si="7"/>
        <v>45361</v>
      </c>
      <c r="D159" s="4">
        <f ca="1">TODAY()-653</f>
        <v>45384</v>
      </c>
      <c r="E159" s="3" t="s">
        <v>1032</v>
      </c>
      <c r="F159" s="43" t="b">
        <v>1</v>
      </c>
      <c r="G159" s="43" t="b">
        <v>0</v>
      </c>
      <c r="H159" s="44">
        <v>260</v>
      </c>
    </row>
    <row r="160" spans="1:8" x14ac:dyDescent="0.3">
      <c r="A160" s="42" t="s">
        <v>1300</v>
      </c>
      <c r="B160" s="3" t="s">
        <v>1301</v>
      </c>
      <c r="C160" s="4">
        <f t="shared" ca="1" si="7"/>
        <v>45361</v>
      </c>
      <c r="D160" s="4">
        <f ca="1">TODAY()-651</f>
        <v>45386</v>
      </c>
      <c r="E160" s="3" t="s">
        <v>1029</v>
      </c>
      <c r="F160" s="43" t="b">
        <v>1</v>
      </c>
      <c r="G160" s="43" t="b">
        <v>1</v>
      </c>
      <c r="H160" s="44">
        <v>2040</v>
      </c>
    </row>
    <row r="161" spans="1:8" x14ac:dyDescent="0.3">
      <c r="A161" s="42" t="s">
        <v>1302</v>
      </c>
      <c r="B161" s="3" t="s">
        <v>1303</v>
      </c>
      <c r="C161" s="4">
        <f t="shared" ca="1" si="7"/>
        <v>45361</v>
      </c>
      <c r="D161" s="4">
        <f ca="1">TODAY()-661</f>
        <v>45376</v>
      </c>
      <c r="E161" s="3" t="s">
        <v>1029</v>
      </c>
      <c r="F161" s="43" t="b">
        <v>1</v>
      </c>
      <c r="G161" s="43" t="b">
        <v>1</v>
      </c>
      <c r="H161" s="44">
        <v>420</v>
      </c>
    </row>
    <row r="162" spans="1:8" x14ac:dyDescent="0.3">
      <c r="A162" s="42" t="s">
        <v>1304</v>
      </c>
      <c r="B162" s="3" t="s">
        <v>1305</v>
      </c>
      <c r="C162" s="4">
        <f t="shared" ca="1" si="7"/>
        <v>45361</v>
      </c>
      <c r="D162" s="4">
        <f ca="1">TODAY()-646</f>
        <v>45391</v>
      </c>
      <c r="E162" s="3" t="s">
        <v>1032</v>
      </c>
      <c r="F162" s="43" t="b">
        <v>1</v>
      </c>
      <c r="G162" s="43" t="b">
        <v>0</v>
      </c>
      <c r="H162" s="44">
        <v>1300</v>
      </c>
    </row>
    <row r="163" spans="1:8" x14ac:dyDescent="0.3">
      <c r="A163" s="42" t="s">
        <v>1290</v>
      </c>
      <c r="B163" s="3" t="s">
        <v>1291</v>
      </c>
      <c r="C163" s="4">
        <f t="shared" ca="1" si="7"/>
        <v>45361</v>
      </c>
      <c r="D163" s="4">
        <f ca="1">TODAY()-662</f>
        <v>45375</v>
      </c>
      <c r="E163" s="3" t="s">
        <v>1029</v>
      </c>
      <c r="F163" s="43" t="b">
        <v>1</v>
      </c>
      <c r="G163" s="43" t="b">
        <v>1</v>
      </c>
      <c r="H163" s="44">
        <v>430</v>
      </c>
    </row>
    <row r="164" spans="1:8" x14ac:dyDescent="0.3">
      <c r="A164" s="42" t="s">
        <v>1306</v>
      </c>
      <c r="B164" s="3" t="s">
        <v>1307</v>
      </c>
      <c r="C164" s="4">
        <f t="shared" ca="1" si="7"/>
        <v>45361</v>
      </c>
      <c r="D164" s="4">
        <f ca="1">TODAY()-654</f>
        <v>45383</v>
      </c>
      <c r="E164" s="3" t="s">
        <v>1032</v>
      </c>
      <c r="F164" s="43" t="b">
        <v>1</v>
      </c>
      <c r="G164" s="43" t="b">
        <v>0</v>
      </c>
      <c r="H164" s="44">
        <v>1420</v>
      </c>
    </row>
    <row r="165" spans="1:8" x14ac:dyDescent="0.3">
      <c r="A165" s="42" t="s">
        <v>1308</v>
      </c>
      <c r="B165" s="3" t="s">
        <v>1309</v>
      </c>
      <c r="C165" s="4">
        <f t="shared" ca="1" si="7"/>
        <v>45361</v>
      </c>
      <c r="D165" s="4">
        <f ca="1">TODAY()-661</f>
        <v>45376</v>
      </c>
      <c r="E165" s="3" t="s">
        <v>1029</v>
      </c>
      <c r="F165" s="43" t="b">
        <v>1</v>
      </c>
      <c r="G165" s="43" t="b">
        <v>1</v>
      </c>
      <c r="H165" s="44">
        <v>1840</v>
      </c>
    </row>
    <row r="166" spans="1:8" x14ac:dyDescent="0.3">
      <c r="A166" s="42" t="s">
        <v>1288</v>
      </c>
      <c r="B166" s="3" t="s">
        <v>1289</v>
      </c>
      <c r="C166" s="4">
        <f t="shared" ca="1" si="7"/>
        <v>45361</v>
      </c>
      <c r="D166" s="4">
        <f ca="1">TODAY()-652</f>
        <v>45385</v>
      </c>
      <c r="E166" s="3" t="s">
        <v>1032</v>
      </c>
      <c r="F166" s="43" t="b">
        <v>1</v>
      </c>
      <c r="G166" s="43" t="b">
        <v>0</v>
      </c>
      <c r="H166" s="44">
        <v>220</v>
      </c>
    </row>
    <row r="167" spans="1:8" x14ac:dyDescent="0.3">
      <c r="A167" s="42" t="s">
        <v>1050</v>
      </c>
      <c r="B167" s="3" t="s">
        <v>1051</v>
      </c>
      <c r="C167" s="4">
        <f t="shared" ca="1" si="7"/>
        <v>45361</v>
      </c>
      <c r="D167" s="4">
        <f ca="1">TODAY()-654</f>
        <v>45383</v>
      </c>
      <c r="E167" s="3" t="s">
        <v>1029</v>
      </c>
      <c r="F167" s="43" t="b">
        <v>1</v>
      </c>
      <c r="G167" s="43" t="b">
        <v>1</v>
      </c>
      <c r="H167" s="44">
        <v>2330</v>
      </c>
    </row>
    <row r="168" spans="1:8" x14ac:dyDescent="0.3">
      <c r="A168" s="42" t="s">
        <v>1310</v>
      </c>
      <c r="B168" s="3" t="s">
        <v>1311</v>
      </c>
      <c r="C168" s="4">
        <f t="shared" ca="1" si="7"/>
        <v>45361</v>
      </c>
      <c r="D168" s="4">
        <f t="shared" ref="D168:D169" ca="1" si="8">TODAY()-665</f>
        <v>45372</v>
      </c>
      <c r="E168" s="3" t="s">
        <v>1029</v>
      </c>
      <c r="F168" s="43" t="b">
        <v>1</v>
      </c>
      <c r="G168" s="43" t="b">
        <v>1</v>
      </c>
      <c r="H168" s="44">
        <v>2070</v>
      </c>
    </row>
    <row r="169" spans="1:8" x14ac:dyDescent="0.3">
      <c r="A169" s="42" t="s">
        <v>1312</v>
      </c>
      <c r="B169" s="3" t="s">
        <v>1313</v>
      </c>
      <c r="C169" s="4">
        <f t="shared" ca="1" si="7"/>
        <v>45361</v>
      </c>
      <c r="D169" s="4">
        <f t="shared" ca="1" si="8"/>
        <v>45372</v>
      </c>
      <c r="E169" s="3" t="s">
        <v>1029</v>
      </c>
      <c r="F169" s="43" t="b">
        <v>1</v>
      </c>
      <c r="G169" s="43" t="b">
        <v>1</v>
      </c>
      <c r="H169" s="44">
        <v>1350</v>
      </c>
    </row>
    <row r="170" spans="1:8" x14ac:dyDescent="0.3">
      <c r="A170" s="42" t="s">
        <v>1314</v>
      </c>
      <c r="B170" s="3" t="s">
        <v>1220</v>
      </c>
      <c r="C170" s="4">
        <f t="shared" ca="1" si="7"/>
        <v>45361</v>
      </c>
      <c r="D170" s="4">
        <f ca="1">TODAY()-653</f>
        <v>45384</v>
      </c>
      <c r="E170" s="3" t="s">
        <v>1029</v>
      </c>
      <c r="F170" s="43" t="b">
        <v>1</v>
      </c>
      <c r="G170" s="43" t="b">
        <v>1</v>
      </c>
      <c r="H170" s="44">
        <v>450</v>
      </c>
    </row>
    <row r="171" spans="1:8" x14ac:dyDescent="0.3">
      <c r="A171" s="42" t="s">
        <v>1249</v>
      </c>
      <c r="B171" s="3" t="s">
        <v>1250</v>
      </c>
      <c r="C171" s="4">
        <f t="shared" ca="1" si="7"/>
        <v>45361</v>
      </c>
      <c r="D171" s="4">
        <f ca="1">TODAY()-651</f>
        <v>45386</v>
      </c>
      <c r="E171" s="3" t="s">
        <v>1029</v>
      </c>
      <c r="F171" s="43" t="b">
        <v>1</v>
      </c>
      <c r="G171" s="43" t="b">
        <v>1</v>
      </c>
      <c r="H171" s="44">
        <v>630</v>
      </c>
    </row>
    <row r="172" spans="1:8" x14ac:dyDescent="0.3">
      <c r="A172" s="42" t="s">
        <v>1315</v>
      </c>
      <c r="B172" s="3" t="s">
        <v>1316</v>
      </c>
      <c r="C172" s="4">
        <f t="shared" ca="1" si="7"/>
        <v>45361</v>
      </c>
      <c r="D172" s="4">
        <f ca="1">TODAY()-662</f>
        <v>45375</v>
      </c>
      <c r="E172" s="3" t="s">
        <v>1029</v>
      </c>
      <c r="F172" s="43" t="b">
        <v>1</v>
      </c>
      <c r="G172" s="43" t="b">
        <v>1</v>
      </c>
      <c r="H172" s="44">
        <v>1910</v>
      </c>
    </row>
    <row r="173" spans="1:8" x14ac:dyDescent="0.3">
      <c r="A173" s="42" t="s">
        <v>1215</v>
      </c>
      <c r="B173" s="3" t="s">
        <v>1216</v>
      </c>
      <c r="C173" s="4">
        <f t="shared" ca="1" si="7"/>
        <v>45361</v>
      </c>
      <c r="D173" s="4">
        <f ca="1">TODAY()-665</f>
        <v>45372</v>
      </c>
      <c r="E173" s="3" t="s">
        <v>1029</v>
      </c>
      <c r="F173" s="43" t="b">
        <v>1</v>
      </c>
      <c r="G173" s="43" t="b">
        <v>1</v>
      </c>
      <c r="H173" s="44">
        <v>1330</v>
      </c>
    </row>
    <row r="174" spans="1:8" x14ac:dyDescent="0.3">
      <c r="A174" s="42" t="s">
        <v>1079</v>
      </c>
      <c r="B174" s="3" t="s">
        <v>1317</v>
      </c>
      <c r="C174" s="4">
        <f t="shared" ca="1" si="7"/>
        <v>45361</v>
      </c>
      <c r="D174" s="4">
        <f t="shared" ref="D174:D175" ca="1" si="9">TODAY()-660</f>
        <v>45377</v>
      </c>
      <c r="E174" s="3" t="s">
        <v>1029</v>
      </c>
      <c r="F174" s="43" t="b">
        <v>1</v>
      </c>
      <c r="G174" s="43" t="b">
        <v>1</v>
      </c>
      <c r="H174" s="44">
        <v>500</v>
      </c>
    </row>
    <row r="175" spans="1:8" x14ac:dyDescent="0.3">
      <c r="A175" s="42" t="s">
        <v>1318</v>
      </c>
      <c r="B175" s="3" t="s">
        <v>1319</v>
      </c>
      <c r="C175" s="4">
        <f t="shared" ca="1" si="7"/>
        <v>45361</v>
      </c>
      <c r="D175" s="4">
        <f t="shared" ca="1" si="9"/>
        <v>45377</v>
      </c>
      <c r="E175" s="3" t="s">
        <v>1029</v>
      </c>
      <c r="F175" s="43" t="b">
        <v>1</v>
      </c>
      <c r="G175" s="43" t="b">
        <v>1</v>
      </c>
      <c r="H175" s="44">
        <v>390</v>
      </c>
    </row>
    <row r="176" spans="1:8" x14ac:dyDescent="0.3">
      <c r="A176" s="42" t="s">
        <v>1320</v>
      </c>
      <c r="B176" s="3" t="s">
        <v>1321</v>
      </c>
      <c r="C176" s="4">
        <f t="shared" ca="1" si="7"/>
        <v>45361</v>
      </c>
      <c r="D176" s="4">
        <f ca="1">TODAY()-647</f>
        <v>45390</v>
      </c>
      <c r="E176" s="3" t="s">
        <v>1029</v>
      </c>
      <c r="F176" s="43" t="b">
        <v>1</v>
      </c>
      <c r="G176" s="43" t="b">
        <v>1</v>
      </c>
      <c r="H176" s="44">
        <v>1080</v>
      </c>
    </row>
    <row r="177" spans="1:8" x14ac:dyDescent="0.3">
      <c r="A177" s="42" t="s">
        <v>1322</v>
      </c>
      <c r="B177" s="3" t="s">
        <v>1323</v>
      </c>
      <c r="C177" s="4">
        <f t="shared" ca="1" si="7"/>
        <v>45361</v>
      </c>
      <c r="D177" s="4">
        <f ca="1">TODAY()-661</f>
        <v>45376</v>
      </c>
      <c r="E177" s="3" t="s">
        <v>1029</v>
      </c>
      <c r="F177" s="43" t="b">
        <v>1</v>
      </c>
      <c r="G177" s="43" t="b">
        <v>1</v>
      </c>
      <c r="H177" s="44">
        <v>4500</v>
      </c>
    </row>
    <row r="178" spans="1:8" x14ac:dyDescent="0.3">
      <c r="A178" s="42" t="s">
        <v>1324</v>
      </c>
      <c r="B178" s="3" t="s">
        <v>1325</v>
      </c>
      <c r="C178" s="4">
        <f t="shared" ca="1" si="7"/>
        <v>45361</v>
      </c>
      <c r="D178" s="42"/>
      <c r="E178" s="3" t="s">
        <v>1070</v>
      </c>
      <c r="F178" s="43" t="b">
        <v>0</v>
      </c>
      <c r="G178" s="43" t="b">
        <v>0</v>
      </c>
      <c r="H178" s="44">
        <v>250</v>
      </c>
    </row>
    <row r="179" spans="1:8" x14ac:dyDescent="0.3">
      <c r="A179" s="42" t="s">
        <v>1071</v>
      </c>
      <c r="B179" s="3" t="s">
        <v>1202</v>
      </c>
      <c r="C179" s="4">
        <f t="shared" ca="1" si="7"/>
        <v>45361</v>
      </c>
      <c r="D179" s="4">
        <f ca="1">TODAY()-663</f>
        <v>45374</v>
      </c>
      <c r="E179" s="3" t="s">
        <v>1032</v>
      </c>
      <c r="F179" s="43" t="b">
        <v>1</v>
      </c>
      <c r="G179" s="43" t="b">
        <v>0</v>
      </c>
      <c r="H179" s="44">
        <v>1940</v>
      </c>
    </row>
    <row r="180" spans="1:8" x14ac:dyDescent="0.3">
      <c r="A180" s="42" t="s">
        <v>1238</v>
      </c>
      <c r="B180" s="3" t="s">
        <v>1239</v>
      </c>
      <c r="C180" s="4">
        <f t="shared" ca="1" si="7"/>
        <v>45361</v>
      </c>
      <c r="D180" s="4">
        <f ca="1">TODAY()-658</f>
        <v>45379</v>
      </c>
      <c r="E180" s="3" t="s">
        <v>1032</v>
      </c>
      <c r="F180" s="43" t="b">
        <v>1</v>
      </c>
      <c r="G180" s="43" t="b">
        <v>0</v>
      </c>
      <c r="H180" s="44">
        <v>560</v>
      </c>
    </row>
    <row r="181" spans="1:8" x14ac:dyDescent="0.3">
      <c r="A181" s="42" t="s">
        <v>1326</v>
      </c>
      <c r="B181" s="3" t="s">
        <v>1327</v>
      </c>
      <c r="C181" s="4">
        <f t="shared" ca="1" si="7"/>
        <v>45361</v>
      </c>
      <c r="D181" s="4">
        <f t="shared" ref="D181:D182" ca="1" si="10">TODAY()-666</f>
        <v>45371</v>
      </c>
      <c r="E181" s="3" t="s">
        <v>1032</v>
      </c>
      <c r="F181" s="43" t="b">
        <v>1</v>
      </c>
      <c r="G181" s="43" t="b">
        <v>0</v>
      </c>
      <c r="H181" s="44">
        <v>2080</v>
      </c>
    </row>
    <row r="182" spans="1:8" x14ac:dyDescent="0.3">
      <c r="A182" s="42" t="s">
        <v>1113</v>
      </c>
      <c r="B182" s="3" t="s">
        <v>1114</v>
      </c>
      <c r="C182" s="4">
        <f t="shared" ca="1" si="7"/>
        <v>45361</v>
      </c>
      <c r="D182" s="4">
        <f t="shared" ca="1" si="10"/>
        <v>45371</v>
      </c>
      <c r="E182" s="3" t="s">
        <v>1029</v>
      </c>
      <c r="F182" s="43" t="b">
        <v>1</v>
      </c>
      <c r="G182" s="43" t="b">
        <v>1</v>
      </c>
      <c r="H182" s="44">
        <v>390</v>
      </c>
    </row>
    <row r="183" spans="1:8" x14ac:dyDescent="0.3">
      <c r="A183" s="42" t="s">
        <v>1328</v>
      </c>
      <c r="B183" s="3" t="s">
        <v>1329</v>
      </c>
      <c r="C183" s="4">
        <f t="shared" ca="1" si="7"/>
        <v>45361</v>
      </c>
      <c r="D183" s="4">
        <f ca="1">TODAY()-657</f>
        <v>45380</v>
      </c>
      <c r="E183" s="3" t="s">
        <v>1029</v>
      </c>
      <c r="F183" s="43" t="b">
        <v>1</v>
      </c>
      <c r="G183" s="43" t="b">
        <v>1</v>
      </c>
      <c r="H183" s="44">
        <v>1940</v>
      </c>
    </row>
    <row r="184" spans="1:8" x14ac:dyDescent="0.3">
      <c r="A184" s="42" t="s">
        <v>1256</v>
      </c>
      <c r="B184" s="3" t="s">
        <v>1257</v>
      </c>
      <c r="C184" s="4">
        <f t="shared" ca="1" si="7"/>
        <v>45361</v>
      </c>
      <c r="D184" s="4">
        <f ca="1">TODAY()-653</f>
        <v>45384</v>
      </c>
      <c r="E184" s="3" t="s">
        <v>1032</v>
      </c>
      <c r="F184" s="43" t="b">
        <v>1</v>
      </c>
      <c r="G184" s="43" t="b">
        <v>0</v>
      </c>
      <c r="H184" s="44">
        <v>590</v>
      </c>
    </row>
    <row r="185" spans="1:8" x14ac:dyDescent="0.3">
      <c r="A185" s="42" t="s">
        <v>1252</v>
      </c>
      <c r="B185" s="3" t="s">
        <v>1253</v>
      </c>
      <c r="C185" s="4">
        <f t="shared" ca="1" si="7"/>
        <v>45361</v>
      </c>
      <c r="D185" s="4">
        <f ca="1">TODAY()-657</f>
        <v>45380</v>
      </c>
      <c r="E185" s="3" t="s">
        <v>1032</v>
      </c>
      <c r="F185" s="43" t="b">
        <v>1</v>
      </c>
      <c r="G185" s="43" t="b">
        <v>0</v>
      </c>
      <c r="H185" s="44">
        <v>1790</v>
      </c>
    </row>
    <row r="186" spans="1:8" x14ac:dyDescent="0.3">
      <c r="A186" s="42" t="s">
        <v>1330</v>
      </c>
      <c r="B186" s="3" t="s">
        <v>1331</v>
      </c>
      <c r="C186" s="4">
        <f t="shared" ca="1" si="7"/>
        <v>45361</v>
      </c>
      <c r="D186" s="42"/>
      <c r="E186" s="3" t="s">
        <v>1101</v>
      </c>
      <c r="F186" s="43" t="b">
        <v>0</v>
      </c>
      <c r="G186" s="43" t="b">
        <v>0</v>
      </c>
      <c r="H186" s="44">
        <v>1430</v>
      </c>
    </row>
    <row r="187" spans="1:8" x14ac:dyDescent="0.3">
      <c r="A187" s="42" t="s">
        <v>1332</v>
      </c>
      <c r="B187" s="3" t="s">
        <v>1333</v>
      </c>
      <c r="C187" s="4">
        <f t="shared" ca="1" si="7"/>
        <v>45361</v>
      </c>
      <c r="D187" s="4">
        <f ca="1">TODAY()-658</f>
        <v>45379</v>
      </c>
      <c r="E187" s="3" t="s">
        <v>1029</v>
      </c>
      <c r="F187" s="43" t="b">
        <v>1</v>
      </c>
      <c r="G187" s="43" t="b">
        <v>1</v>
      </c>
      <c r="H187" s="44">
        <v>640</v>
      </c>
    </row>
    <row r="188" spans="1:8" x14ac:dyDescent="0.3">
      <c r="A188" s="42" t="s">
        <v>1334</v>
      </c>
      <c r="B188" s="3" t="s">
        <v>1335</v>
      </c>
      <c r="C188" s="4">
        <f t="shared" ca="1" si="7"/>
        <v>45361</v>
      </c>
      <c r="D188" s="4">
        <f ca="1">TODAY()-646</f>
        <v>45391</v>
      </c>
      <c r="E188" s="3" t="s">
        <v>1029</v>
      </c>
      <c r="F188" s="43" t="b">
        <v>1</v>
      </c>
      <c r="G188" s="43" t="b">
        <v>1</v>
      </c>
      <c r="H188" s="44">
        <v>1430</v>
      </c>
    </row>
    <row r="189" spans="1:8" x14ac:dyDescent="0.3">
      <c r="A189" s="42" t="s">
        <v>1336</v>
      </c>
      <c r="B189" s="3" t="s">
        <v>1337</v>
      </c>
      <c r="C189" s="4">
        <f t="shared" ca="1" si="7"/>
        <v>45361</v>
      </c>
      <c r="D189" s="42"/>
      <c r="E189" s="3" t="s">
        <v>1077</v>
      </c>
      <c r="F189" s="43" t="b">
        <v>0</v>
      </c>
      <c r="G189" s="43" t="b">
        <v>0</v>
      </c>
      <c r="H189" s="44">
        <v>1300</v>
      </c>
    </row>
    <row r="190" spans="1:8" x14ac:dyDescent="0.3">
      <c r="A190" s="42" t="s">
        <v>1338</v>
      </c>
      <c r="B190" s="3" t="s">
        <v>1339</v>
      </c>
      <c r="C190" s="4">
        <f t="shared" ca="1" si="7"/>
        <v>45361</v>
      </c>
      <c r="D190" s="4">
        <f ca="1">TODAY()-647</f>
        <v>45390</v>
      </c>
      <c r="E190" s="3" t="s">
        <v>1032</v>
      </c>
      <c r="F190" s="43" t="b">
        <v>1</v>
      </c>
      <c r="G190" s="43" t="b">
        <v>0</v>
      </c>
      <c r="H190" s="44">
        <v>1800</v>
      </c>
    </row>
    <row r="191" spans="1:8" x14ac:dyDescent="0.3">
      <c r="A191" s="42" t="s">
        <v>1340</v>
      </c>
      <c r="B191" s="3" t="s">
        <v>1341</v>
      </c>
      <c r="C191" s="4">
        <f t="shared" ca="1" si="7"/>
        <v>45361</v>
      </c>
      <c r="D191" s="4">
        <f ca="1">TODAY()-658</f>
        <v>45379</v>
      </c>
      <c r="E191" s="3" t="s">
        <v>1032</v>
      </c>
      <c r="F191" s="43" t="b">
        <v>1</v>
      </c>
      <c r="G191" s="43" t="b">
        <v>0</v>
      </c>
      <c r="H191" s="44">
        <v>1250</v>
      </c>
    </row>
    <row r="192" spans="1:8" x14ac:dyDescent="0.3">
      <c r="A192" s="42" t="s">
        <v>1342</v>
      </c>
      <c r="B192" s="3" t="s">
        <v>1343</v>
      </c>
      <c r="C192" s="4">
        <f t="shared" ca="1" si="7"/>
        <v>45361</v>
      </c>
      <c r="D192" s="4">
        <f ca="1">TODAY()-665</f>
        <v>45372</v>
      </c>
      <c r="E192" s="3" t="s">
        <v>1032</v>
      </c>
      <c r="F192" s="43" t="b">
        <v>1</v>
      </c>
      <c r="G192" s="43" t="b">
        <v>0</v>
      </c>
      <c r="H192" s="44">
        <v>410</v>
      </c>
    </row>
    <row r="193" spans="1:8" x14ac:dyDescent="0.3">
      <c r="A193" s="42" t="s">
        <v>1344</v>
      </c>
      <c r="B193" s="3" t="s">
        <v>1345</v>
      </c>
      <c r="C193" s="4">
        <f t="shared" ca="1" si="7"/>
        <v>45361</v>
      </c>
      <c r="D193" s="4">
        <f ca="1">TODAY()-652</f>
        <v>45385</v>
      </c>
      <c r="E193" s="3" t="s">
        <v>1032</v>
      </c>
      <c r="F193" s="43" t="b">
        <v>1</v>
      </c>
      <c r="G193" s="43" t="b">
        <v>0</v>
      </c>
      <c r="H193" s="44">
        <v>890</v>
      </c>
    </row>
    <row r="194" spans="1:8" x14ac:dyDescent="0.3">
      <c r="A194" s="42" t="s">
        <v>1346</v>
      </c>
      <c r="B194" s="3" t="s">
        <v>1347</v>
      </c>
      <c r="C194" s="4">
        <f t="shared" ca="1" si="7"/>
        <v>45361</v>
      </c>
      <c r="D194" s="4">
        <f ca="1">TODAY()-661</f>
        <v>45376</v>
      </c>
      <c r="E194" s="3" t="s">
        <v>1032</v>
      </c>
      <c r="F194" s="43" t="b">
        <v>1</v>
      </c>
      <c r="G194" s="43" t="b">
        <v>0</v>
      </c>
      <c r="H194" s="44">
        <v>2020</v>
      </c>
    </row>
    <row r="195" spans="1:8" x14ac:dyDescent="0.3">
      <c r="A195" s="42" t="s">
        <v>1318</v>
      </c>
      <c r="B195" s="3" t="s">
        <v>1319</v>
      </c>
      <c r="C195" s="4">
        <f t="shared" ca="1" si="7"/>
        <v>45361</v>
      </c>
      <c r="D195" s="4">
        <f ca="1">TODAY()-651</f>
        <v>45386</v>
      </c>
      <c r="E195" s="3" t="s">
        <v>1029</v>
      </c>
      <c r="F195" s="43" t="b">
        <v>1</v>
      </c>
      <c r="G195" s="43" t="b">
        <v>1</v>
      </c>
      <c r="H195" s="44">
        <v>390</v>
      </c>
    </row>
    <row r="196" spans="1:8" x14ac:dyDescent="0.3">
      <c r="A196" s="42" t="s">
        <v>1133</v>
      </c>
      <c r="B196" s="3" t="s">
        <v>1134</v>
      </c>
      <c r="C196" s="4">
        <f t="shared" ca="1" si="7"/>
        <v>45361</v>
      </c>
      <c r="D196" s="4">
        <f ca="1">TODAY()-663</f>
        <v>45374</v>
      </c>
      <c r="E196" s="3" t="s">
        <v>1029</v>
      </c>
      <c r="F196" s="43" t="b">
        <v>1</v>
      </c>
      <c r="G196" s="43" t="b">
        <v>1</v>
      </c>
      <c r="H196" s="44">
        <v>120</v>
      </c>
    </row>
    <row r="197" spans="1:8" x14ac:dyDescent="0.3">
      <c r="A197" s="42" t="s">
        <v>1300</v>
      </c>
      <c r="B197" s="3" t="s">
        <v>1301</v>
      </c>
      <c r="C197" s="4">
        <f t="shared" ca="1" si="7"/>
        <v>45361</v>
      </c>
      <c r="D197" s="4">
        <f ca="1">TODAY()-659</f>
        <v>45378</v>
      </c>
      <c r="E197" s="3" t="s">
        <v>1029</v>
      </c>
      <c r="F197" s="43" t="b">
        <v>1</v>
      </c>
      <c r="G197" s="43" t="b">
        <v>1</v>
      </c>
      <c r="H197" s="44">
        <v>2040</v>
      </c>
    </row>
    <row r="198" spans="1:8" x14ac:dyDescent="0.3">
      <c r="A198" s="42" t="s">
        <v>1348</v>
      </c>
      <c r="B198" s="3" t="s">
        <v>1349</v>
      </c>
      <c r="C198" s="4">
        <f t="shared" ca="1" si="7"/>
        <v>45361</v>
      </c>
      <c r="D198" s="4">
        <f ca="1">TODAY()-665</f>
        <v>45372</v>
      </c>
      <c r="E198" s="3" t="s">
        <v>1032</v>
      </c>
      <c r="F198" s="43" t="b">
        <v>1</v>
      </c>
      <c r="G198" s="43" t="b">
        <v>0</v>
      </c>
      <c r="H198" s="44">
        <v>570</v>
      </c>
    </row>
    <row r="199" spans="1:8" x14ac:dyDescent="0.3">
      <c r="A199" s="42" t="s">
        <v>1350</v>
      </c>
      <c r="B199" s="3" t="s">
        <v>1351</v>
      </c>
      <c r="C199" s="4">
        <f t="shared" ca="1" si="7"/>
        <v>45361</v>
      </c>
      <c r="D199" s="4">
        <f ca="1">TODAY()-656</f>
        <v>45381</v>
      </c>
      <c r="E199" s="3" t="s">
        <v>1029</v>
      </c>
      <c r="F199" s="43" t="b">
        <v>1</v>
      </c>
      <c r="G199" s="43" t="b">
        <v>1</v>
      </c>
      <c r="H199" s="44">
        <v>1030</v>
      </c>
    </row>
    <row r="200" spans="1:8" x14ac:dyDescent="0.3">
      <c r="A200" s="42" t="s">
        <v>1352</v>
      </c>
      <c r="B200" s="3" t="s">
        <v>1353</v>
      </c>
      <c r="C200" s="4">
        <f t="shared" ca="1" si="7"/>
        <v>45361</v>
      </c>
      <c r="D200" s="4">
        <f ca="1">TODAY()-647</f>
        <v>45390</v>
      </c>
      <c r="E200" s="3" t="s">
        <v>1029</v>
      </c>
      <c r="F200" s="43" t="b">
        <v>1</v>
      </c>
      <c r="G200" s="43" t="b">
        <v>1</v>
      </c>
      <c r="H200" s="44">
        <v>1170</v>
      </c>
    </row>
    <row r="201" spans="1:8" x14ac:dyDescent="0.3">
      <c r="A201" s="42" t="s">
        <v>1354</v>
      </c>
      <c r="B201" s="3" t="s">
        <v>1355</v>
      </c>
      <c r="C201" s="4">
        <f t="shared" ca="1" si="7"/>
        <v>45361</v>
      </c>
      <c r="D201" s="4">
        <f ca="1">TODAY()-653</f>
        <v>45384</v>
      </c>
      <c r="E201" s="3" t="s">
        <v>1029</v>
      </c>
      <c r="F201" s="43" t="b">
        <v>1</v>
      </c>
      <c r="G201" s="43" t="b">
        <v>1</v>
      </c>
      <c r="H201" s="44">
        <v>190</v>
      </c>
    </row>
    <row r="202" spans="1:8" x14ac:dyDescent="0.3">
      <c r="A202" s="42" t="s">
        <v>1356</v>
      </c>
      <c r="B202" s="3" t="s">
        <v>1234</v>
      </c>
      <c r="C202" s="4">
        <f t="shared" ca="1" si="7"/>
        <v>45361</v>
      </c>
      <c r="D202" s="4">
        <f ca="1">TODAY()-649</f>
        <v>45388</v>
      </c>
      <c r="E202" s="3" t="s">
        <v>1032</v>
      </c>
      <c r="F202" s="43" t="b">
        <v>1</v>
      </c>
      <c r="G202" s="43" t="b">
        <v>0</v>
      </c>
      <c r="H202" s="44">
        <v>390</v>
      </c>
    </row>
    <row r="203" spans="1:8" x14ac:dyDescent="0.3">
      <c r="A203" s="42" t="s">
        <v>1357</v>
      </c>
      <c r="B203" s="3" t="s">
        <v>1358</v>
      </c>
      <c r="C203" s="4">
        <f t="shared" ca="1" si="7"/>
        <v>45361</v>
      </c>
      <c r="D203" s="4">
        <f ca="1">TODAY()-659</f>
        <v>45378</v>
      </c>
      <c r="E203" s="3" t="s">
        <v>1032</v>
      </c>
      <c r="F203" s="43" t="b">
        <v>1</v>
      </c>
      <c r="G203" s="43" t="b">
        <v>0</v>
      </c>
      <c r="H203" s="44">
        <v>1680</v>
      </c>
    </row>
    <row r="204" spans="1:8" x14ac:dyDescent="0.3">
      <c r="A204" s="42" t="s">
        <v>1359</v>
      </c>
      <c r="B204" s="3" t="s">
        <v>1360</v>
      </c>
      <c r="C204" s="4">
        <f t="shared" ca="1" si="7"/>
        <v>45361</v>
      </c>
      <c r="D204" s="4">
        <f ca="1">TODAY()-662</f>
        <v>45375</v>
      </c>
      <c r="E204" s="3" t="s">
        <v>1032</v>
      </c>
      <c r="F204" s="43" t="b">
        <v>1</v>
      </c>
      <c r="G204" s="43" t="b">
        <v>0</v>
      </c>
      <c r="H204" s="44">
        <v>520</v>
      </c>
    </row>
    <row r="205" spans="1:8" x14ac:dyDescent="0.3">
      <c r="A205" s="42" t="s">
        <v>1326</v>
      </c>
      <c r="B205" s="3" t="s">
        <v>1327</v>
      </c>
      <c r="C205" s="4">
        <f t="shared" ca="1" si="7"/>
        <v>45361</v>
      </c>
      <c r="D205" s="4">
        <f ca="1">TODAY()-652</f>
        <v>45385</v>
      </c>
      <c r="E205" s="3" t="s">
        <v>1032</v>
      </c>
      <c r="F205" s="43" t="b">
        <v>1</v>
      </c>
      <c r="G205" s="43" t="b">
        <v>0</v>
      </c>
      <c r="H205" s="44">
        <v>2080</v>
      </c>
    </row>
    <row r="206" spans="1:8" x14ac:dyDescent="0.3">
      <c r="A206" s="42" t="s">
        <v>1262</v>
      </c>
      <c r="B206" s="3" t="s">
        <v>1201</v>
      </c>
      <c r="C206" s="4">
        <f t="shared" ca="1" si="7"/>
        <v>45361</v>
      </c>
      <c r="D206" s="42"/>
      <c r="E206" s="3" t="s">
        <v>1108</v>
      </c>
      <c r="F206" s="43" t="b">
        <v>0</v>
      </c>
      <c r="G206" s="43" t="b">
        <v>0</v>
      </c>
      <c r="H206" s="44">
        <v>240</v>
      </c>
    </row>
    <row r="207" spans="1:8" x14ac:dyDescent="0.3">
      <c r="A207" s="42" t="s">
        <v>1361</v>
      </c>
      <c r="B207" s="3" t="s">
        <v>1362</v>
      </c>
      <c r="C207" s="4">
        <f t="shared" ca="1" si="7"/>
        <v>45361</v>
      </c>
      <c r="D207" s="4">
        <f ca="1">TODAY()-648</f>
        <v>45389</v>
      </c>
      <c r="E207" s="3" t="s">
        <v>1032</v>
      </c>
      <c r="F207" s="43" t="b">
        <v>1</v>
      </c>
      <c r="G207" s="43" t="b">
        <v>0</v>
      </c>
      <c r="H207" s="44">
        <v>1540</v>
      </c>
    </row>
    <row r="208" spans="1:8" x14ac:dyDescent="0.3">
      <c r="A208" s="42" t="s">
        <v>1324</v>
      </c>
      <c r="B208" s="3" t="s">
        <v>1363</v>
      </c>
      <c r="C208" s="4">
        <f t="shared" ca="1" si="7"/>
        <v>45361</v>
      </c>
      <c r="D208" s="4">
        <f ca="1">TODAY()-656</f>
        <v>45381</v>
      </c>
      <c r="E208" s="3" t="s">
        <v>1029</v>
      </c>
      <c r="F208" s="43" t="b">
        <v>1</v>
      </c>
      <c r="G208" s="43" t="b">
        <v>1</v>
      </c>
      <c r="H208" s="44">
        <v>1250</v>
      </c>
    </row>
    <row r="209" spans="1:8" x14ac:dyDescent="0.3">
      <c r="A209" s="42" t="s">
        <v>1364</v>
      </c>
      <c r="B209" s="3" t="s">
        <v>1365</v>
      </c>
      <c r="C209" s="4">
        <f t="shared" ca="1" si="7"/>
        <v>45361</v>
      </c>
      <c r="D209" s="4">
        <f ca="1">TODAY()-655</f>
        <v>45382</v>
      </c>
      <c r="E209" s="3" t="s">
        <v>1029</v>
      </c>
      <c r="F209" s="43" t="b">
        <v>1</v>
      </c>
      <c r="G209" s="43" t="b">
        <v>1</v>
      </c>
      <c r="H209" s="44">
        <v>1190</v>
      </c>
    </row>
    <row r="210" spans="1:8" x14ac:dyDescent="0.3">
      <c r="A210" s="42" t="s">
        <v>1366</v>
      </c>
      <c r="B210" s="3" t="s">
        <v>1367</v>
      </c>
      <c r="C210" s="4">
        <f t="shared" ca="1" si="7"/>
        <v>45361</v>
      </c>
      <c r="D210" s="42"/>
      <c r="E210" s="3" t="s">
        <v>1037</v>
      </c>
      <c r="F210" s="43" t="b">
        <v>0</v>
      </c>
      <c r="G210" s="43" t="b">
        <v>0</v>
      </c>
      <c r="H210" s="44">
        <v>2450</v>
      </c>
    </row>
    <row r="211" spans="1:8" x14ac:dyDescent="0.3">
      <c r="A211" s="42" t="s">
        <v>1115</v>
      </c>
      <c r="B211" s="3" t="s">
        <v>1116</v>
      </c>
      <c r="C211" s="4">
        <f t="shared" ca="1" si="7"/>
        <v>45361</v>
      </c>
      <c r="D211" s="4">
        <f ca="1">TODAY()-648</f>
        <v>45389</v>
      </c>
      <c r="E211" s="3" t="s">
        <v>1032</v>
      </c>
      <c r="F211" s="43" t="b">
        <v>1</v>
      </c>
      <c r="G211" s="43" t="b">
        <v>0</v>
      </c>
      <c r="H211" s="44">
        <v>780</v>
      </c>
    </row>
    <row r="212" spans="1:8" x14ac:dyDescent="0.3">
      <c r="A212" s="42" t="s">
        <v>1177</v>
      </c>
      <c r="B212" s="3" t="s">
        <v>1178</v>
      </c>
      <c r="C212" s="4">
        <f t="shared" ca="1" si="7"/>
        <v>45361</v>
      </c>
      <c r="D212" s="4">
        <f ca="1">TODAY()-657</f>
        <v>45380</v>
      </c>
      <c r="E212" s="3" t="s">
        <v>1029</v>
      </c>
      <c r="F212" s="43" t="b">
        <v>1</v>
      </c>
      <c r="G212" s="43" t="b">
        <v>1</v>
      </c>
      <c r="H212" s="44">
        <v>1020</v>
      </c>
    </row>
    <row r="213" spans="1:8" x14ac:dyDescent="0.3">
      <c r="A213" s="42" t="s">
        <v>1368</v>
      </c>
      <c r="B213" s="3" t="s">
        <v>1369</v>
      </c>
      <c r="C213" s="4">
        <f t="shared" ca="1" si="7"/>
        <v>45361</v>
      </c>
      <c r="D213" s="42"/>
      <c r="E213" s="3" t="s">
        <v>1070</v>
      </c>
      <c r="F213" s="43" t="b">
        <v>0</v>
      </c>
      <c r="G213" s="43" t="b">
        <v>0</v>
      </c>
      <c r="H213" s="44">
        <v>530</v>
      </c>
    </row>
    <row r="214" spans="1:8" x14ac:dyDescent="0.3">
      <c r="A214" s="42" t="s">
        <v>1370</v>
      </c>
      <c r="B214" s="3" t="s">
        <v>1371</v>
      </c>
      <c r="C214" s="4">
        <f t="shared" ca="1" si="7"/>
        <v>45361</v>
      </c>
      <c r="D214" s="4">
        <f ca="1">TODAY()-653</f>
        <v>45384</v>
      </c>
      <c r="E214" s="3" t="s">
        <v>1029</v>
      </c>
      <c r="F214" s="43" t="b">
        <v>1</v>
      </c>
      <c r="G214" s="43" t="b">
        <v>1</v>
      </c>
      <c r="H214" s="44">
        <v>830</v>
      </c>
    </row>
    <row r="215" spans="1:8" x14ac:dyDescent="0.3">
      <c r="A215" s="42" t="s">
        <v>1372</v>
      </c>
      <c r="B215" s="3" t="s">
        <v>1373</v>
      </c>
      <c r="C215" s="4">
        <f t="shared" ca="1" si="7"/>
        <v>45361</v>
      </c>
      <c r="D215" s="42"/>
      <c r="E215" s="3" t="s">
        <v>1101</v>
      </c>
      <c r="F215" s="43" t="b">
        <v>0</v>
      </c>
      <c r="G215" s="43" t="b">
        <v>0</v>
      </c>
      <c r="H215" s="44">
        <v>850</v>
      </c>
    </row>
    <row r="216" spans="1:8" x14ac:dyDescent="0.3">
      <c r="A216" s="42" t="s">
        <v>1374</v>
      </c>
      <c r="B216" s="3" t="s">
        <v>1375</v>
      </c>
      <c r="C216" s="4">
        <f t="shared" ca="1" si="7"/>
        <v>45361</v>
      </c>
      <c r="D216" s="4">
        <f ca="1">TODAY()-654</f>
        <v>45383</v>
      </c>
      <c r="E216" s="3" t="s">
        <v>1029</v>
      </c>
      <c r="F216" s="43" t="b">
        <v>1</v>
      </c>
      <c r="G216" s="43" t="b">
        <v>1</v>
      </c>
      <c r="H216" s="44">
        <v>560</v>
      </c>
    </row>
    <row r="217" spans="1:8" x14ac:dyDescent="0.3">
      <c r="A217" s="42" t="s">
        <v>1196</v>
      </c>
      <c r="B217" s="3" t="s">
        <v>1197</v>
      </c>
      <c r="C217" s="4">
        <f t="shared" ca="1" si="7"/>
        <v>45361</v>
      </c>
      <c r="D217" s="4">
        <f ca="1">TODAY()-647</f>
        <v>45390</v>
      </c>
      <c r="E217" s="3" t="s">
        <v>1029</v>
      </c>
      <c r="F217" s="43" t="b">
        <v>1</v>
      </c>
      <c r="G217" s="43" t="b">
        <v>1</v>
      </c>
      <c r="H217" s="44">
        <v>650</v>
      </c>
    </row>
    <row r="218" spans="1:8" x14ac:dyDescent="0.3">
      <c r="A218" s="42" t="s">
        <v>1376</v>
      </c>
      <c r="B218" s="3" t="s">
        <v>1377</v>
      </c>
      <c r="C218" s="4">
        <f t="shared" ca="1" si="7"/>
        <v>45361</v>
      </c>
      <c r="D218" s="42"/>
      <c r="E218" s="3" t="s">
        <v>1037</v>
      </c>
      <c r="F218" s="43" t="b">
        <v>0</v>
      </c>
      <c r="G218" s="43" t="b">
        <v>0</v>
      </c>
      <c r="H218" s="44">
        <v>1600</v>
      </c>
    </row>
    <row r="219" spans="1:8" x14ac:dyDescent="0.3">
      <c r="A219" s="42" t="s">
        <v>1030</v>
      </c>
      <c r="B219" s="3" t="s">
        <v>1378</v>
      </c>
      <c r="C219" s="4">
        <f t="shared" ca="1" si="7"/>
        <v>45361</v>
      </c>
      <c r="D219" s="4">
        <f ca="1">TODAY()-666</f>
        <v>45371</v>
      </c>
      <c r="E219" s="3" t="s">
        <v>1029</v>
      </c>
      <c r="F219" s="43" t="b">
        <v>1</v>
      </c>
      <c r="G219" s="43" t="b">
        <v>1</v>
      </c>
      <c r="H219" s="44">
        <v>1260</v>
      </c>
    </row>
    <row r="220" spans="1:8" x14ac:dyDescent="0.3">
      <c r="A220" s="42" t="s">
        <v>1379</v>
      </c>
      <c r="B220" s="3" t="s">
        <v>1380</v>
      </c>
      <c r="C220" s="4">
        <f t="shared" ca="1" si="7"/>
        <v>45361</v>
      </c>
      <c r="D220" s="42"/>
      <c r="E220" s="3" t="s">
        <v>1037</v>
      </c>
      <c r="F220" s="43" t="b">
        <v>0</v>
      </c>
      <c r="G220" s="43" t="b">
        <v>0</v>
      </c>
      <c r="H220" s="44">
        <v>1910</v>
      </c>
    </row>
    <row r="221" spans="1:8" x14ac:dyDescent="0.3">
      <c r="A221" s="42" t="s">
        <v>1054</v>
      </c>
      <c r="B221" s="3" t="s">
        <v>1381</v>
      </c>
      <c r="C221" s="4">
        <f t="shared" ca="1" si="7"/>
        <v>45361</v>
      </c>
      <c r="D221" s="4">
        <f ca="1">TODAY()-654</f>
        <v>45383</v>
      </c>
      <c r="E221" s="3" t="s">
        <v>1029</v>
      </c>
      <c r="F221" s="43" t="b">
        <v>1</v>
      </c>
      <c r="G221" s="43" t="b">
        <v>1</v>
      </c>
      <c r="H221" s="44">
        <v>1240</v>
      </c>
    </row>
    <row r="222" spans="1:8" x14ac:dyDescent="0.3">
      <c r="A222" s="42" t="s">
        <v>1382</v>
      </c>
      <c r="B222" s="3" t="s">
        <v>1383</v>
      </c>
      <c r="C222" s="4">
        <f t="shared" ca="1" si="7"/>
        <v>45361</v>
      </c>
      <c r="D222" s="4">
        <f ca="1">TODAY()-653</f>
        <v>45384</v>
      </c>
      <c r="E222" s="3" t="s">
        <v>1032</v>
      </c>
      <c r="F222" s="43" t="b">
        <v>1</v>
      </c>
      <c r="G222" s="43" t="b">
        <v>0</v>
      </c>
      <c r="H222" s="44">
        <v>2350</v>
      </c>
    </row>
    <row r="223" spans="1:8" x14ac:dyDescent="0.3">
      <c r="A223" s="42" t="s">
        <v>1066</v>
      </c>
      <c r="B223" s="3" t="s">
        <v>1384</v>
      </c>
      <c r="C223" s="4">
        <f t="shared" ca="1" si="7"/>
        <v>45361</v>
      </c>
      <c r="D223" s="42"/>
      <c r="E223" s="3" t="s">
        <v>1108</v>
      </c>
      <c r="F223" s="43" t="b">
        <v>0</v>
      </c>
      <c r="G223" s="43" t="b">
        <v>0</v>
      </c>
      <c r="H223" s="44">
        <v>1970</v>
      </c>
    </row>
    <row r="224" spans="1:8" x14ac:dyDescent="0.3">
      <c r="A224" s="42" t="s">
        <v>1385</v>
      </c>
      <c r="B224" s="3" t="s">
        <v>1386</v>
      </c>
      <c r="C224" s="4">
        <f t="shared" ca="1" si="7"/>
        <v>45361</v>
      </c>
      <c r="D224" s="4">
        <f ca="1">TODAY()-663</f>
        <v>45374</v>
      </c>
      <c r="E224" s="3" t="s">
        <v>1032</v>
      </c>
      <c r="F224" s="43" t="b">
        <v>1</v>
      </c>
      <c r="G224" s="43" t="b">
        <v>0</v>
      </c>
      <c r="H224" s="44">
        <v>1700</v>
      </c>
    </row>
    <row r="225" spans="1:8" x14ac:dyDescent="0.3">
      <c r="A225" s="42" t="s">
        <v>1342</v>
      </c>
      <c r="B225" s="3" t="s">
        <v>1343</v>
      </c>
      <c r="C225" s="4">
        <f t="shared" ca="1" si="7"/>
        <v>45361</v>
      </c>
      <c r="D225" s="4">
        <f ca="1">TODAY()-664</f>
        <v>45373</v>
      </c>
      <c r="E225" s="3" t="s">
        <v>1032</v>
      </c>
      <c r="F225" s="43" t="b">
        <v>1</v>
      </c>
      <c r="G225" s="43" t="b">
        <v>0</v>
      </c>
      <c r="H225" s="44">
        <v>410</v>
      </c>
    </row>
    <row r="226" spans="1:8" x14ac:dyDescent="0.3">
      <c r="A226" s="42" t="s">
        <v>1387</v>
      </c>
      <c r="B226" s="3" t="s">
        <v>1388</v>
      </c>
      <c r="C226" s="4">
        <f t="shared" ca="1" si="7"/>
        <v>45361</v>
      </c>
      <c r="D226" s="4">
        <f ca="1">TODAY()-663</f>
        <v>45374</v>
      </c>
      <c r="E226" s="3" t="s">
        <v>1032</v>
      </c>
      <c r="F226" s="43" t="b">
        <v>1</v>
      </c>
      <c r="G226" s="43" t="b">
        <v>0</v>
      </c>
      <c r="H226" s="44">
        <v>2270</v>
      </c>
    </row>
    <row r="227" spans="1:8" x14ac:dyDescent="0.3">
      <c r="A227" s="42" t="s">
        <v>1389</v>
      </c>
      <c r="B227" s="3" t="s">
        <v>1390</v>
      </c>
      <c r="C227" s="4">
        <f t="shared" ca="1" si="7"/>
        <v>45361</v>
      </c>
      <c r="D227" s="42"/>
      <c r="E227" s="3" t="s">
        <v>1077</v>
      </c>
      <c r="F227" s="43" t="b">
        <v>0</v>
      </c>
      <c r="G227" s="43" t="b">
        <v>0</v>
      </c>
      <c r="H227" s="44">
        <v>1860</v>
      </c>
    </row>
    <row r="228" spans="1:8" x14ac:dyDescent="0.3">
      <c r="A228" s="42" t="s">
        <v>1391</v>
      </c>
      <c r="B228" s="3" t="s">
        <v>1392</v>
      </c>
      <c r="C228" s="4">
        <f t="shared" ca="1" si="7"/>
        <v>45361</v>
      </c>
      <c r="D228" s="4">
        <f ca="1">TODAY()-657</f>
        <v>45380</v>
      </c>
      <c r="E228" s="3" t="s">
        <v>1029</v>
      </c>
      <c r="F228" s="43" t="b">
        <v>1</v>
      </c>
      <c r="G228" s="43" t="b">
        <v>1</v>
      </c>
      <c r="H228" s="44">
        <v>240</v>
      </c>
    </row>
    <row r="229" spans="1:8" x14ac:dyDescent="0.3">
      <c r="A229" s="42" t="s">
        <v>1133</v>
      </c>
      <c r="B229" s="3" t="s">
        <v>1393</v>
      </c>
      <c r="C229" s="4">
        <f t="shared" ca="1" si="7"/>
        <v>45361</v>
      </c>
      <c r="D229" s="4">
        <f ca="1">TODAY()-652</f>
        <v>45385</v>
      </c>
      <c r="E229" s="3" t="s">
        <v>1029</v>
      </c>
      <c r="F229" s="43" t="b">
        <v>1</v>
      </c>
      <c r="G229" s="43" t="b">
        <v>1</v>
      </c>
      <c r="H229" s="44">
        <v>260</v>
      </c>
    </row>
    <row r="230" spans="1:8" x14ac:dyDescent="0.3">
      <c r="A230" s="42" t="s">
        <v>1394</v>
      </c>
      <c r="B230" s="3" t="s">
        <v>1395</v>
      </c>
      <c r="C230" s="4">
        <f t="shared" ca="1" si="7"/>
        <v>45361</v>
      </c>
      <c r="D230" s="4">
        <f ca="1">TODAY()-666</f>
        <v>45371</v>
      </c>
      <c r="E230" s="3" t="s">
        <v>1029</v>
      </c>
      <c r="F230" s="43" t="b">
        <v>1</v>
      </c>
      <c r="G230" s="43" t="b">
        <v>1</v>
      </c>
      <c r="H230" s="44">
        <v>880</v>
      </c>
    </row>
    <row r="231" spans="1:8" x14ac:dyDescent="0.3">
      <c r="A231" s="42" t="s">
        <v>1382</v>
      </c>
      <c r="B231" s="3" t="s">
        <v>1383</v>
      </c>
      <c r="C231" s="4">
        <f t="shared" ca="1" si="7"/>
        <v>45361</v>
      </c>
      <c r="D231" s="4">
        <f ca="1">TODAY()-663</f>
        <v>45374</v>
      </c>
      <c r="E231" s="3" t="s">
        <v>1032</v>
      </c>
      <c r="F231" s="43" t="b">
        <v>1</v>
      </c>
      <c r="G231" s="43" t="b">
        <v>0</v>
      </c>
      <c r="H231" s="44">
        <v>2350</v>
      </c>
    </row>
    <row r="232" spans="1:8" x14ac:dyDescent="0.3">
      <c r="A232" s="42" t="s">
        <v>1141</v>
      </c>
      <c r="B232" s="3" t="s">
        <v>1142</v>
      </c>
      <c r="C232" s="4">
        <f t="shared" ca="1" si="7"/>
        <v>45361</v>
      </c>
      <c r="D232" s="4">
        <f ca="1">TODAY()-658</f>
        <v>45379</v>
      </c>
      <c r="E232" s="3" t="s">
        <v>1032</v>
      </c>
      <c r="F232" s="43" t="b">
        <v>1</v>
      </c>
      <c r="G232" s="43" t="b">
        <v>0</v>
      </c>
      <c r="H232" s="44">
        <v>1670</v>
      </c>
    </row>
    <row r="233" spans="1:8" x14ac:dyDescent="0.3">
      <c r="A233" s="42" t="s">
        <v>1396</v>
      </c>
      <c r="B233" s="3" t="s">
        <v>1397</v>
      </c>
      <c r="C233" s="4">
        <f t="shared" ca="1" si="7"/>
        <v>45361</v>
      </c>
      <c r="D233" s="4">
        <f ca="1">TODAY()-662</f>
        <v>45375</v>
      </c>
      <c r="E233" s="3" t="s">
        <v>1029</v>
      </c>
      <c r="F233" s="43" t="b">
        <v>1</v>
      </c>
      <c r="G233" s="43" t="b">
        <v>1</v>
      </c>
      <c r="H233" s="44">
        <v>1710</v>
      </c>
    </row>
    <row r="234" spans="1:8" x14ac:dyDescent="0.3">
      <c r="A234" s="42" t="s">
        <v>1398</v>
      </c>
      <c r="B234" s="3" t="s">
        <v>1201</v>
      </c>
      <c r="C234" s="4">
        <f t="shared" ca="1" si="7"/>
        <v>45361</v>
      </c>
      <c r="D234" s="4">
        <f ca="1">TODAY()-646</f>
        <v>45391</v>
      </c>
      <c r="E234" s="3" t="s">
        <v>1029</v>
      </c>
      <c r="F234" s="43" t="b">
        <v>1</v>
      </c>
      <c r="G234" s="43" t="b">
        <v>1</v>
      </c>
      <c r="H234" s="44">
        <v>350</v>
      </c>
    </row>
    <row r="235" spans="1:8" x14ac:dyDescent="0.3">
      <c r="A235" s="42" t="s">
        <v>1399</v>
      </c>
      <c r="B235" s="3" t="s">
        <v>1400</v>
      </c>
      <c r="C235" s="4">
        <f t="shared" ca="1" si="7"/>
        <v>45361</v>
      </c>
      <c r="D235" s="4">
        <f ca="1">TODAY()-649</f>
        <v>45388</v>
      </c>
      <c r="E235" s="3" t="s">
        <v>1032</v>
      </c>
      <c r="F235" s="43" t="b">
        <v>1</v>
      </c>
      <c r="G235" s="43" t="b">
        <v>0</v>
      </c>
      <c r="H235" s="44">
        <v>1460</v>
      </c>
    </row>
    <row r="236" spans="1:8" x14ac:dyDescent="0.3">
      <c r="A236" s="42" t="s">
        <v>1401</v>
      </c>
      <c r="B236" s="3" t="s">
        <v>1402</v>
      </c>
      <c r="C236" s="4">
        <f t="shared" ca="1" si="7"/>
        <v>45361</v>
      </c>
      <c r="D236" s="42"/>
      <c r="E236" s="3" t="s">
        <v>1101</v>
      </c>
      <c r="F236" s="43" t="b">
        <v>0</v>
      </c>
      <c r="G236" s="43" t="b">
        <v>0</v>
      </c>
      <c r="H236" s="44">
        <v>780</v>
      </c>
    </row>
    <row r="237" spans="1:8" x14ac:dyDescent="0.3">
      <c r="A237" s="42" t="s">
        <v>1403</v>
      </c>
      <c r="B237" s="3" t="s">
        <v>1404</v>
      </c>
      <c r="C237" s="4">
        <f t="shared" ca="1" si="7"/>
        <v>45361</v>
      </c>
      <c r="D237" s="4">
        <f ca="1">TODAY()-665</f>
        <v>45372</v>
      </c>
      <c r="E237" s="3" t="s">
        <v>1029</v>
      </c>
      <c r="F237" s="43" t="b">
        <v>1</v>
      </c>
      <c r="G237" s="43" t="b">
        <v>1</v>
      </c>
      <c r="H237" s="44">
        <v>2360</v>
      </c>
    </row>
    <row r="238" spans="1:8" x14ac:dyDescent="0.3">
      <c r="A238" s="42" t="s">
        <v>1405</v>
      </c>
      <c r="B238" s="3" t="s">
        <v>1406</v>
      </c>
      <c r="C238" s="4">
        <f t="shared" ca="1" si="7"/>
        <v>45361</v>
      </c>
      <c r="D238" s="4">
        <f ca="1">TODAY()-646</f>
        <v>45391</v>
      </c>
      <c r="E238" s="3" t="s">
        <v>1029</v>
      </c>
      <c r="F238" s="43" t="b">
        <v>1</v>
      </c>
      <c r="G238" s="43" t="b">
        <v>1</v>
      </c>
      <c r="H238" s="44">
        <v>340</v>
      </c>
    </row>
    <row r="239" spans="1:8" x14ac:dyDescent="0.3">
      <c r="A239" s="42" t="s">
        <v>1407</v>
      </c>
      <c r="B239" s="3" t="s">
        <v>1408</v>
      </c>
      <c r="C239" s="4">
        <f t="shared" ca="1" si="7"/>
        <v>45361</v>
      </c>
      <c r="D239" s="4">
        <f ca="1">TODAY()-647</f>
        <v>45390</v>
      </c>
      <c r="E239" s="3" t="s">
        <v>1029</v>
      </c>
      <c r="F239" s="43" t="b">
        <v>1</v>
      </c>
      <c r="G239" s="43" t="b">
        <v>1</v>
      </c>
      <c r="H239" s="44">
        <v>1020</v>
      </c>
    </row>
    <row r="240" spans="1:8" x14ac:dyDescent="0.3">
      <c r="A240" s="42" t="s">
        <v>1409</v>
      </c>
      <c r="B240" s="3" t="s">
        <v>1410</v>
      </c>
      <c r="C240" s="4">
        <f t="shared" ref="C240:C325" ca="1" si="11">TODAY()-646</f>
        <v>45391</v>
      </c>
      <c r="D240" s="4">
        <f ca="1">TODAY()-618</f>
        <v>45419</v>
      </c>
      <c r="E240" s="3" t="s">
        <v>1032</v>
      </c>
      <c r="F240" s="43" t="b">
        <v>1</v>
      </c>
      <c r="G240" s="43" t="b">
        <v>0</v>
      </c>
      <c r="H240" s="44">
        <v>560</v>
      </c>
    </row>
    <row r="241" spans="1:8" x14ac:dyDescent="0.3">
      <c r="A241" s="42" t="s">
        <v>1310</v>
      </c>
      <c r="B241" s="3" t="s">
        <v>1311</v>
      </c>
      <c r="C241" s="4">
        <f t="shared" ca="1" si="11"/>
        <v>45391</v>
      </c>
      <c r="D241" s="4">
        <f ca="1">TODAY()-620</f>
        <v>45417</v>
      </c>
      <c r="E241" s="3" t="s">
        <v>1029</v>
      </c>
      <c r="F241" s="43" t="b">
        <v>1</v>
      </c>
      <c r="G241" s="43" t="b">
        <v>1</v>
      </c>
      <c r="H241" s="44">
        <v>2070</v>
      </c>
    </row>
    <row r="242" spans="1:8" x14ac:dyDescent="0.3">
      <c r="A242" s="42" t="s">
        <v>1411</v>
      </c>
      <c r="B242" s="3" t="s">
        <v>1412</v>
      </c>
      <c r="C242" s="4">
        <f t="shared" ca="1" si="11"/>
        <v>45391</v>
      </c>
      <c r="D242" s="4">
        <f ca="1">TODAY()-629</f>
        <v>45408</v>
      </c>
      <c r="E242" s="3" t="s">
        <v>1029</v>
      </c>
      <c r="F242" s="43" t="b">
        <v>1</v>
      </c>
      <c r="G242" s="43" t="b">
        <v>1</v>
      </c>
      <c r="H242" s="44">
        <v>980</v>
      </c>
    </row>
    <row r="243" spans="1:8" x14ac:dyDescent="0.3">
      <c r="A243" s="42" t="s">
        <v>1217</v>
      </c>
      <c r="B243" s="3" t="s">
        <v>1218</v>
      </c>
      <c r="C243" s="4">
        <f t="shared" ca="1" si="11"/>
        <v>45391</v>
      </c>
      <c r="D243" s="4">
        <f t="shared" ref="D243:D244" ca="1" si="12">TODAY()-621</f>
        <v>45416</v>
      </c>
      <c r="E243" s="3" t="s">
        <v>1032</v>
      </c>
      <c r="F243" s="43" t="b">
        <v>1</v>
      </c>
      <c r="G243" s="43" t="b">
        <v>0</v>
      </c>
      <c r="H243" s="44">
        <v>1190</v>
      </c>
    </row>
    <row r="244" spans="1:8" x14ac:dyDescent="0.3">
      <c r="A244" s="42" t="s">
        <v>1143</v>
      </c>
      <c r="B244" s="3" t="s">
        <v>1413</v>
      </c>
      <c r="C244" s="4">
        <f t="shared" ca="1" si="11"/>
        <v>45391</v>
      </c>
      <c r="D244" s="4">
        <f t="shared" ca="1" si="12"/>
        <v>45416</v>
      </c>
      <c r="E244" s="3" t="s">
        <v>1029</v>
      </c>
      <c r="F244" s="43" t="b">
        <v>1</v>
      </c>
      <c r="G244" s="43" t="b">
        <v>1</v>
      </c>
      <c r="H244" s="44">
        <v>1470</v>
      </c>
    </row>
    <row r="245" spans="1:8" x14ac:dyDescent="0.3">
      <c r="A245" s="42" t="s">
        <v>1219</v>
      </c>
      <c r="B245" s="3" t="s">
        <v>1414</v>
      </c>
      <c r="C245" s="4">
        <f t="shared" ca="1" si="11"/>
        <v>45391</v>
      </c>
      <c r="D245" s="4">
        <f ca="1">TODAY()-628</f>
        <v>45409</v>
      </c>
      <c r="E245" s="3" t="s">
        <v>1029</v>
      </c>
      <c r="F245" s="43" t="b">
        <v>1</v>
      </c>
      <c r="G245" s="43" t="b">
        <v>1</v>
      </c>
      <c r="H245" s="44">
        <v>720</v>
      </c>
    </row>
    <row r="246" spans="1:8" x14ac:dyDescent="0.3">
      <c r="A246" s="42" t="s">
        <v>1415</v>
      </c>
      <c r="B246" s="3" t="s">
        <v>1416</v>
      </c>
      <c r="C246" s="4">
        <f t="shared" ca="1" si="11"/>
        <v>45391</v>
      </c>
      <c r="D246" s="4">
        <f ca="1">TODAY()-634</f>
        <v>45403</v>
      </c>
      <c r="E246" s="3" t="s">
        <v>1029</v>
      </c>
      <c r="F246" s="43" t="b">
        <v>1</v>
      </c>
      <c r="G246" s="43" t="b">
        <v>1</v>
      </c>
      <c r="H246" s="44">
        <v>580</v>
      </c>
    </row>
    <row r="247" spans="1:8" x14ac:dyDescent="0.3">
      <c r="A247" s="42" t="s">
        <v>1417</v>
      </c>
      <c r="B247" s="3" t="s">
        <v>1418</v>
      </c>
      <c r="C247" s="4">
        <f t="shared" ca="1" si="11"/>
        <v>45391</v>
      </c>
      <c r="D247" s="42"/>
      <c r="E247" s="3" t="s">
        <v>1077</v>
      </c>
      <c r="F247" s="43" t="b">
        <v>0</v>
      </c>
      <c r="G247" s="43" t="b">
        <v>0</v>
      </c>
      <c r="H247" s="44">
        <v>2270</v>
      </c>
    </row>
    <row r="248" spans="1:8" x14ac:dyDescent="0.3">
      <c r="A248" s="42" t="s">
        <v>1419</v>
      </c>
      <c r="B248" s="3" t="s">
        <v>1420</v>
      </c>
      <c r="C248" s="4">
        <f t="shared" ca="1" si="11"/>
        <v>45391</v>
      </c>
      <c r="D248" s="42"/>
      <c r="E248" s="3" t="s">
        <v>1037</v>
      </c>
      <c r="F248" s="43" t="b">
        <v>0</v>
      </c>
      <c r="G248" s="43" t="b">
        <v>0</v>
      </c>
      <c r="H248" s="44">
        <v>1360</v>
      </c>
    </row>
    <row r="249" spans="1:8" x14ac:dyDescent="0.3">
      <c r="A249" s="42" t="s">
        <v>1421</v>
      </c>
      <c r="B249" s="3" t="s">
        <v>1422</v>
      </c>
      <c r="C249" s="4">
        <f t="shared" ca="1" si="11"/>
        <v>45391</v>
      </c>
      <c r="D249" s="4">
        <f ca="1">TODAY()-619</f>
        <v>45418</v>
      </c>
      <c r="E249" s="3" t="s">
        <v>1032</v>
      </c>
      <c r="F249" s="43" t="b">
        <v>1</v>
      </c>
      <c r="G249" s="43" t="b">
        <v>0</v>
      </c>
      <c r="H249" s="44">
        <v>1270</v>
      </c>
    </row>
    <row r="250" spans="1:8" x14ac:dyDescent="0.3">
      <c r="A250" s="42" t="s">
        <v>1423</v>
      </c>
      <c r="B250" s="3" t="s">
        <v>1424</v>
      </c>
      <c r="C250" s="4">
        <f t="shared" ca="1" si="11"/>
        <v>45391</v>
      </c>
      <c r="D250" s="4">
        <f ca="1">TODAY()-617</f>
        <v>45420</v>
      </c>
      <c r="E250" s="3" t="s">
        <v>1029</v>
      </c>
      <c r="F250" s="43" t="b">
        <v>1</v>
      </c>
      <c r="G250" s="43" t="b">
        <v>1</v>
      </c>
      <c r="H250" s="44">
        <v>1740</v>
      </c>
    </row>
    <row r="251" spans="1:8" x14ac:dyDescent="0.3">
      <c r="A251" s="42" t="s">
        <v>1075</v>
      </c>
      <c r="B251" s="3" t="s">
        <v>1425</v>
      </c>
      <c r="C251" s="4">
        <f t="shared" ca="1" si="11"/>
        <v>45391</v>
      </c>
      <c r="D251" s="4">
        <f ca="1">TODAY()-629</f>
        <v>45408</v>
      </c>
      <c r="E251" s="3" t="s">
        <v>1029</v>
      </c>
      <c r="F251" s="43" t="b">
        <v>1</v>
      </c>
      <c r="G251" s="43" t="b">
        <v>1</v>
      </c>
      <c r="H251" s="44">
        <v>2100</v>
      </c>
    </row>
    <row r="252" spans="1:8" x14ac:dyDescent="0.3">
      <c r="A252" s="42" t="s">
        <v>1426</v>
      </c>
      <c r="B252" s="3" t="s">
        <v>1201</v>
      </c>
      <c r="C252" s="4">
        <f t="shared" ca="1" si="11"/>
        <v>45391</v>
      </c>
      <c r="D252" s="4">
        <f ca="1">TODAY()-630</f>
        <v>45407</v>
      </c>
      <c r="E252" s="3" t="s">
        <v>1032</v>
      </c>
      <c r="F252" s="43" t="b">
        <v>1</v>
      </c>
      <c r="G252" s="43" t="b">
        <v>0</v>
      </c>
      <c r="H252" s="44">
        <v>910</v>
      </c>
    </row>
    <row r="253" spans="1:8" x14ac:dyDescent="0.3">
      <c r="A253" s="42" t="s">
        <v>1322</v>
      </c>
      <c r="B253" s="3" t="s">
        <v>1323</v>
      </c>
      <c r="C253" s="4">
        <f t="shared" ca="1" si="11"/>
        <v>45391</v>
      </c>
      <c r="D253" s="4">
        <f ca="1">TODAY()-619</f>
        <v>45418</v>
      </c>
      <c r="E253" s="3" t="s">
        <v>1029</v>
      </c>
      <c r="F253" s="43" t="b">
        <v>1</v>
      </c>
      <c r="G253" s="43" t="b">
        <v>1</v>
      </c>
      <c r="H253" s="44">
        <v>4500</v>
      </c>
    </row>
    <row r="254" spans="1:8" x14ac:dyDescent="0.3">
      <c r="A254" s="42" t="s">
        <v>1223</v>
      </c>
      <c r="B254" s="3" t="s">
        <v>1427</v>
      </c>
      <c r="C254" s="4">
        <f t="shared" ca="1" si="11"/>
        <v>45391</v>
      </c>
      <c r="D254" s="4">
        <f ca="1">TODAY()-621</f>
        <v>45416</v>
      </c>
      <c r="E254" s="3" t="s">
        <v>1029</v>
      </c>
      <c r="F254" s="43" t="b">
        <v>1</v>
      </c>
      <c r="G254" s="43" t="b">
        <v>1</v>
      </c>
      <c r="H254" s="44">
        <v>2360</v>
      </c>
    </row>
    <row r="255" spans="1:8" x14ac:dyDescent="0.3">
      <c r="A255" s="42" t="s">
        <v>1119</v>
      </c>
      <c r="B255" s="3" t="s">
        <v>1428</v>
      </c>
      <c r="C255" s="4">
        <f t="shared" ca="1" si="11"/>
        <v>45391</v>
      </c>
      <c r="D255" s="42"/>
      <c r="E255" s="3" t="s">
        <v>1108</v>
      </c>
      <c r="F255" s="43" t="b">
        <v>0</v>
      </c>
      <c r="G255" s="43" t="b">
        <v>0</v>
      </c>
      <c r="H255" s="44">
        <v>2170</v>
      </c>
    </row>
    <row r="256" spans="1:8" x14ac:dyDescent="0.3">
      <c r="A256" s="42" t="s">
        <v>1429</v>
      </c>
      <c r="B256" s="3" t="s">
        <v>1430</v>
      </c>
      <c r="C256" s="4">
        <f t="shared" ca="1" si="11"/>
        <v>45391</v>
      </c>
      <c r="D256" s="4">
        <f ca="1">TODAY()-625</f>
        <v>45412</v>
      </c>
      <c r="E256" s="3" t="s">
        <v>1029</v>
      </c>
      <c r="F256" s="43" t="b">
        <v>1</v>
      </c>
      <c r="G256" s="43" t="b">
        <v>1</v>
      </c>
      <c r="H256" s="44">
        <v>2560</v>
      </c>
    </row>
    <row r="257" spans="1:8" x14ac:dyDescent="0.3">
      <c r="A257" s="42" t="s">
        <v>1431</v>
      </c>
      <c r="B257" s="3" t="s">
        <v>1432</v>
      </c>
      <c r="C257" s="4">
        <f t="shared" ca="1" si="11"/>
        <v>45391</v>
      </c>
      <c r="D257" s="42"/>
      <c r="E257" s="3" t="s">
        <v>1108</v>
      </c>
      <c r="F257" s="43" t="b">
        <v>0</v>
      </c>
      <c r="G257" s="43" t="b">
        <v>0</v>
      </c>
      <c r="H257" s="44">
        <v>1170</v>
      </c>
    </row>
    <row r="258" spans="1:8" x14ac:dyDescent="0.3">
      <c r="A258" s="42" t="s">
        <v>1433</v>
      </c>
      <c r="B258" s="3" t="s">
        <v>1434</v>
      </c>
      <c r="C258" s="4">
        <f t="shared" ca="1" si="11"/>
        <v>45391</v>
      </c>
      <c r="D258" s="4">
        <f ca="1">TODAY()-632</f>
        <v>45405</v>
      </c>
      <c r="E258" s="3" t="s">
        <v>1032</v>
      </c>
      <c r="F258" s="43" t="b">
        <v>1</v>
      </c>
      <c r="G258" s="43" t="b">
        <v>0</v>
      </c>
      <c r="H258" s="44">
        <v>1250</v>
      </c>
    </row>
    <row r="259" spans="1:8" x14ac:dyDescent="0.3">
      <c r="A259" s="42" t="s">
        <v>1435</v>
      </c>
      <c r="B259" s="3" t="s">
        <v>1436</v>
      </c>
      <c r="C259" s="4">
        <f t="shared" ca="1" si="11"/>
        <v>45391</v>
      </c>
      <c r="D259" s="42"/>
      <c r="E259" s="3" t="s">
        <v>1108</v>
      </c>
      <c r="F259" s="43" t="b">
        <v>0</v>
      </c>
      <c r="G259" s="43" t="b">
        <v>0</v>
      </c>
      <c r="H259" s="44">
        <v>190</v>
      </c>
    </row>
    <row r="260" spans="1:8" x14ac:dyDescent="0.3">
      <c r="A260" s="42" t="s">
        <v>1437</v>
      </c>
      <c r="B260" s="3" t="s">
        <v>1438</v>
      </c>
      <c r="C260" s="4">
        <f t="shared" ca="1" si="11"/>
        <v>45391</v>
      </c>
      <c r="D260" s="4">
        <f ca="1">TODAY()-629</f>
        <v>45408</v>
      </c>
      <c r="E260" s="3" t="s">
        <v>1029</v>
      </c>
      <c r="F260" s="43" t="b">
        <v>1</v>
      </c>
      <c r="G260" s="43" t="b">
        <v>1</v>
      </c>
      <c r="H260" s="44">
        <v>560</v>
      </c>
    </row>
    <row r="261" spans="1:8" x14ac:dyDescent="0.3">
      <c r="A261" s="42" t="s">
        <v>1361</v>
      </c>
      <c r="B261" s="3" t="s">
        <v>1362</v>
      </c>
      <c r="C261" s="4">
        <f t="shared" ca="1" si="11"/>
        <v>45391</v>
      </c>
      <c r="D261" s="4">
        <f ca="1">TODAY()-632</f>
        <v>45405</v>
      </c>
      <c r="E261" s="3" t="s">
        <v>1032</v>
      </c>
      <c r="F261" s="43" t="b">
        <v>1</v>
      </c>
      <c r="G261" s="43" t="b">
        <v>0</v>
      </c>
      <c r="H261" s="44">
        <v>1540</v>
      </c>
    </row>
    <row r="262" spans="1:8" x14ac:dyDescent="0.3">
      <c r="A262" s="42" t="s">
        <v>1439</v>
      </c>
      <c r="B262" s="3" t="s">
        <v>1440</v>
      </c>
      <c r="C262" s="4">
        <f t="shared" ca="1" si="11"/>
        <v>45391</v>
      </c>
      <c r="D262" s="4">
        <f ca="1">TODAY()-621</f>
        <v>45416</v>
      </c>
      <c r="E262" s="3" t="s">
        <v>1029</v>
      </c>
      <c r="F262" s="43" t="b">
        <v>1</v>
      </c>
      <c r="G262" s="43" t="b">
        <v>1</v>
      </c>
      <c r="H262" s="44">
        <v>930</v>
      </c>
    </row>
    <row r="263" spans="1:8" x14ac:dyDescent="0.3">
      <c r="A263" s="42" t="s">
        <v>1068</v>
      </c>
      <c r="B263" s="3" t="s">
        <v>1441</v>
      </c>
      <c r="C263" s="4">
        <f t="shared" ca="1" si="11"/>
        <v>45391</v>
      </c>
      <c r="D263" s="4">
        <f ca="1">TODAY()-631</f>
        <v>45406</v>
      </c>
      <c r="E263" s="3" t="s">
        <v>1032</v>
      </c>
      <c r="F263" s="43" t="b">
        <v>1</v>
      </c>
      <c r="G263" s="43" t="b">
        <v>0</v>
      </c>
      <c r="H263" s="44">
        <v>660</v>
      </c>
    </row>
    <row r="264" spans="1:8" x14ac:dyDescent="0.3">
      <c r="A264" s="42" t="s">
        <v>1442</v>
      </c>
      <c r="B264" s="3" t="s">
        <v>1443</v>
      </c>
      <c r="C264" s="4">
        <f t="shared" ca="1" si="11"/>
        <v>45391</v>
      </c>
      <c r="D264" s="4">
        <f ca="1">TODAY()-627</f>
        <v>45410</v>
      </c>
      <c r="E264" s="3" t="s">
        <v>1029</v>
      </c>
      <c r="F264" s="43" t="b">
        <v>1</v>
      </c>
      <c r="G264" s="43" t="b">
        <v>1</v>
      </c>
      <c r="H264" s="44">
        <v>1120</v>
      </c>
    </row>
    <row r="265" spans="1:8" x14ac:dyDescent="0.3">
      <c r="A265" s="42" t="s">
        <v>1444</v>
      </c>
      <c r="B265" s="3" t="s">
        <v>1445</v>
      </c>
      <c r="C265" s="4">
        <f t="shared" ca="1" si="11"/>
        <v>45391</v>
      </c>
      <c r="D265" s="42"/>
      <c r="E265" s="3" t="s">
        <v>1077</v>
      </c>
      <c r="F265" s="43" t="b">
        <v>0</v>
      </c>
      <c r="G265" s="43" t="b">
        <v>0</v>
      </c>
      <c r="H265" s="44">
        <v>550</v>
      </c>
    </row>
    <row r="266" spans="1:8" x14ac:dyDescent="0.3">
      <c r="A266" s="42" t="s">
        <v>1135</v>
      </c>
      <c r="B266" s="3" t="s">
        <v>1136</v>
      </c>
      <c r="C266" s="4">
        <f t="shared" ca="1" si="11"/>
        <v>45391</v>
      </c>
      <c r="D266" s="4">
        <f ca="1">TODAY()-625</f>
        <v>45412</v>
      </c>
      <c r="E266" s="3" t="s">
        <v>1029</v>
      </c>
      <c r="F266" s="43" t="b">
        <v>1</v>
      </c>
      <c r="G266" s="43" t="b">
        <v>1</v>
      </c>
      <c r="H266" s="44">
        <v>560</v>
      </c>
    </row>
    <row r="267" spans="1:8" x14ac:dyDescent="0.3">
      <c r="A267" s="42" t="s">
        <v>1446</v>
      </c>
      <c r="B267" s="3" t="s">
        <v>1447</v>
      </c>
      <c r="C267" s="4">
        <f t="shared" ca="1" si="11"/>
        <v>45391</v>
      </c>
      <c r="D267" s="4">
        <f ca="1">TODAY()-627</f>
        <v>45410</v>
      </c>
      <c r="E267" s="3" t="s">
        <v>1029</v>
      </c>
      <c r="F267" s="43" t="b">
        <v>1</v>
      </c>
      <c r="G267" s="43" t="b">
        <v>1</v>
      </c>
      <c r="H267" s="44">
        <v>2460</v>
      </c>
    </row>
    <row r="268" spans="1:8" x14ac:dyDescent="0.3">
      <c r="A268" s="42" t="s">
        <v>1433</v>
      </c>
      <c r="B268" s="3" t="s">
        <v>1434</v>
      </c>
      <c r="C268" s="4">
        <f t="shared" ca="1" si="11"/>
        <v>45391</v>
      </c>
      <c r="D268" s="4">
        <f ca="1">TODAY()-634</f>
        <v>45403</v>
      </c>
      <c r="E268" s="3" t="s">
        <v>1032</v>
      </c>
      <c r="F268" s="43" t="b">
        <v>1</v>
      </c>
      <c r="G268" s="43" t="b">
        <v>0</v>
      </c>
      <c r="H268" s="44">
        <v>1250</v>
      </c>
    </row>
    <row r="269" spans="1:8" x14ac:dyDescent="0.3">
      <c r="A269" s="42" t="s">
        <v>1448</v>
      </c>
      <c r="B269" s="3" t="s">
        <v>1222</v>
      </c>
      <c r="C269" s="4">
        <f t="shared" ca="1" si="11"/>
        <v>45391</v>
      </c>
      <c r="D269" s="4">
        <f ca="1">TODAY()-621</f>
        <v>45416</v>
      </c>
      <c r="E269" s="3" t="s">
        <v>1029</v>
      </c>
      <c r="F269" s="43" t="b">
        <v>1</v>
      </c>
      <c r="G269" s="43" t="b">
        <v>1</v>
      </c>
      <c r="H269" s="44">
        <v>720</v>
      </c>
    </row>
    <row r="270" spans="1:8" x14ac:dyDescent="0.3">
      <c r="A270" s="42" t="s">
        <v>1266</v>
      </c>
      <c r="B270" s="3" t="s">
        <v>1316</v>
      </c>
      <c r="C270" s="4">
        <f t="shared" ca="1" si="11"/>
        <v>45391</v>
      </c>
      <c r="D270" s="42"/>
      <c r="E270" s="3" t="s">
        <v>1037</v>
      </c>
      <c r="F270" s="43" t="b">
        <v>0</v>
      </c>
      <c r="G270" s="43" t="b">
        <v>0</v>
      </c>
      <c r="H270" s="44">
        <v>710</v>
      </c>
    </row>
    <row r="271" spans="1:8" x14ac:dyDescent="0.3">
      <c r="A271" s="42" t="s">
        <v>1179</v>
      </c>
      <c r="B271" s="3" t="s">
        <v>1180</v>
      </c>
      <c r="C271" s="4">
        <f t="shared" ca="1" si="11"/>
        <v>45391</v>
      </c>
      <c r="D271" s="4">
        <f ca="1">TODAY()-635</f>
        <v>45402</v>
      </c>
      <c r="E271" s="3" t="s">
        <v>1029</v>
      </c>
      <c r="F271" s="43" t="b">
        <v>1</v>
      </c>
      <c r="G271" s="43" t="b">
        <v>1</v>
      </c>
      <c r="H271" s="44">
        <v>1570</v>
      </c>
    </row>
    <row r="272" spans="1:8" x14ac:dyDescent="0.3">
      <c r="A272" s="42" t="s">
        <v>1449</v>
      </c>
      <c r="B272" s="3" t="s">
        <v>1450</v>
      </c>
      <c r="C272" s="4">
        <f t="shared" ca="1" si="11"/>
        <v>45391</v>
      </c>
      <c r="D272" s="42"/>
      <c r="E272" s="3" t="s">
        <v>1037</v>
      </c>
      <c r="F272" s="43" t="b">
        <v>0</v>
      </c>
      <c r="G272" s="43" t="b">
        <v>0</v>
      </c>
      <c r="H272" s="44">
        <v>1410</v>
      </c>
    </row>
    <row r="273" spans="1:8" x14ac:dyDescent="0.3">
      <c r="A273" s="42" t="s">
        <v>1056</v>
      </c>
      <c r="B273" s="3" t="s">
        <v>1057</v>
      </c>
      <c r="C273" s="4">
        <f t="shared" ca="1" si="11"/>
        <v>45391</v>
      </c>
      <c r="D273" s="4">
        <f ca="1">TODAY()-630</f>
        <v>45407</v>
      </c>
      <c r="E273" s="3" t="s">
        <v>1032</v>
      </c>
      <c r="F273" s="43" t="b">
        <v>1</v>
      </c>
      <c r="G273" s="43" t="b">
        <v>0</v>
      </c>
      <c r="H273" s="44">
        <v>1490</v>
      </c>
    </row>
    <row r="274" spans="1:8" x14ac:dyDescent="0.3">
      <c r="A274" s="42" t="s">
        <v>1451</v>
      </c>
      <c r="B274" s="3" t="s">
        <v>1452</v>
      </c>
      <c r="C274" s="4">
        <f t="shared" ca="1" si="11"/>
        <v>45391</v>
      </c>
      <c r="D274" s="42"/>
      <c r="E274" s="3" t="s">
        <v>1108</v>
      </c>
      <c r="F274" s="43" t="b">
        <v>0</v>
      </c>
      <c r="G274" s="43" t="b">
        <v>0</v>
      </c>
      <c r="H274" s="44">
        <v>590</v>
      </c>
    </row>
    <row r="275" spans="1:8" x14ac:dyDescent="0.3">
      <c r="A275" s="42" t="s">
        <v>1453</v>
      </c>
      <c r="B275" s="3" t="s">
        <v>1454</v>
      </c>
      <c r="C275" s="4">
        <f t="shared" ca="1" si="11"/>
        <v>45391</v>
      </c>
      <c r="D275" s="4">
        <f ca="1">TODAY()-623</f>
        <v>45414</v>
      </c>
      <c r="E275" s="3" t="s">
        <v>1029</v>
      </c>
      <c r="F275" s="43" t="b">
        <v>1</v>
      </c>
      <c r="G275" s="43" t="b">
        <v>1</v>
      </c>
      <c r="H275" s="44">
        <v>1030</v>
      </c>
    </row>
    <row r="276" spans="1:8" x14ac:dyDescent="0.3">
      <c r="A276" s="42" t="s">
        <v>1455</v>
      </c>
      <c r="B276" s="3" t="s">
        <v>1456</v>
      </c>
      <c r="C276" s="4">
        <f t="shared" ca="1" si="11"/>
        <v>45391</v>
      </c>
      <c r="D276" s="4">
        <f ca="1">TODAY()-630</f>
        <v>45407</v>
      </c>
      <c r="E276" s="3" t="s">
        <v>1032</v>
      </c>
      <c r="F276" s="43" t="b">
        <v>1</v>
      </c>
      <c r="G276" s="43" t="b">
        <v>0</v>
      </c>
      <c r="H276" s="44">
        <v>470</v>
      </c>
    </row>
    <row r="277" spans="1:8" x14ac:dyDescent="0.3">
      <c r="A277" s="42" t="s">
        <v>1033</v>
      </c>
      <c r="B277" s="3" t="s">
        <v>1457</v>
      </c>
      <c r="C277" s="4">
        <f t="shared" ca="1" si="11"/>
        <v>45391</v>
      </c>
      <c r="D277" s="4">
        <f ca="1">TODAY()-634</f>
        <v>45403</v>
      </c>
      <c r="E277" s="3" t="s">
        <v>1032</v>
      </c>
      <c r="F277" s="43" t="b">
        <v>1</v>
      </c>
      <c r="G277" s="43" t="b">
        <v>0</v>
      </c>
      <c r="H277" s="44">
        <v>550</v>
      </c>
    </row>
    <row r="278" spans="1:8" x14ac:dyDescent="0.3">
      <c r="A278" s="42" t="s">
        <v>1038</v>
      </c>
      <c r="B278" s="3" t="s">
        <v>1039</v>
      </c>
      <c r="C278" s="4">
        <f t="shared" ca="1" si="11"/>
        <v>45391</v>
      </c>
      <c r="D278" s="4">
        <f ca="1">TODAY()-618</f>
        <v>45419</v>
      </c>
      <c r="E278" s="3" t="s">
        <v>1029</v>
      </c>
      <c r="F278" s="43" t="b">
        <v>1</v>
      </c>
      <c r="G278" s="43" t="b">
        <v>1</v>
      </c>
      <c r="H278" s="44">
        <v>130</v>
      </c>
    </row>
    <row r="279" spans="1:8" x14ac:dyDescent="0.3">
      <c r="A279" s="42" t="s">
        <v>1458</v>
      </c>
      <c r="B279" s="3" t="s">
        <v>1459</v>
      </c>
      <c r="C279" s="4">
        <f t="shared" ca="1" si="11"/>
        <v>45391</v>
      </c>
      <c r="D279" s="42"/>
      <c r="E279" s="3" t="s">
        <v>1108</v>
      </c>
      <c r="F279" s="43" t="b">
        <v>0</v>
      </c>
      <c r="G279" s="43" t="b">
        <v>0</v>
      </c>
      <c r="H279" s="44">
        <v>1570</v>
      </c>
    </row>
    <row r="280" spans="1:8" x14ac:dyDescent="0.3">
      <c r="A280" s="42" t="s">
        <v>1266</v>
      </c>
      <c r="B280" s="3" t="s">
        <v>1316</v>
      </c>
      <c r="C280" s="4">
        <f t="shared" ca="1" si="11"/>
        <v>45391</v>
      </c>
      <c r="D280" s="42"/>
      <c r="E280" s="3" t="s">
        <v>1037</v>
      </c>
      <c r="F280" s="43" t="b">
        <v>0</v>
      </c>
      <c r="G280" s="43" t="b">
        <v>0</v>
      </c>
      <c r="H280" s="44">
        <v>710</v>
      </c>
    </row>
    <row r="281" spans="1:8" x14ac:dyDescent="0.3">
      <c r="A281" s="42" t="s">
        <v>1460</v>
      </c>
      <c r="B281" s="3" t="s">
        <v>1461</v>
      </c>
      <c r="C281" s="4">
        <f t="shared" ca="1" si="11"/>
        <v>45391</v>
      </c>
      <c r="D281" s="4">
        <f ca="1">TODAY()-627</f>
        <v>45410</v>
      </c>
      <c r="E281" s="3" t="s">
        <v>1032</v>
      </c>
      <c r="F281" s="43" t="b">
        <v>1</v>
      </c>
      <c r="G281" s="43" t="b">
        <v>0</v>
      </c>
      <c r="H281" s="44">
        <v>960</v>
      </c>
    </row>
    <row r="282" spans="1:8" x14ac:dyDescent="0.3">
      <c r="A282" s="42" t="s">
        <v>1462</v>
      </c>
      <c r="B282" s="3" t="s">
        <v>1463</v>
      </c>
      <c r="C282" s="4">
        <f t="shared" ca="1" si="11"/>
        <v>45391</v>
      </c>
      <c r="D282" s="4">
        <f ca="1">TODAY()-632</f>
        <v>45405</v>
      </c>
      <c r="E282" s="3" t="s">
        <v>1029</v>
      </c>
      <c r="F282" s="43" t="b">
        <v>1</v>
      </c>
      <c r="G282" s="43" t="b">
        <v>1</v>
      </c>
      <c r="H282" s="44">
        <v>2160</v>
      </c>
    </row>
    <row r="283" spans="1:8" x14ac:dyDescent="0.3">
      <c r="A283" s="42" t="s">
        <v>1464</v>
      </c>
      <c r="B283" s="3" t="s">
        <v>1465</v>
      </c>
      <c r="C283" s="4">
        <f t="shared" ca="1" si="11"/>
        <v>45391</v>
      </c>
      <c r="D283" s="42"/>
      <c r="E283" s="3" t="s">
        <v>1037</v>
      </c>
      <c r="F283" s="43" t="b">
        <v>0</v>
      </c>
      <c r="G283" s="43" t="b">
        <v>0</v>
      </c>
      <c r="H283" s="44">
        <v>920</v>
      </c>
    </row>
    <row r="284" spans="1:8" x14ac:dyDescent="0.3">
      <c r="A284" s="42" t="s">
        <v>1466</v>
      </c>
      <c r="B284" s="3" t="s">
        <v>1467</v>
      </c>
      <c r="C284" s="4">
        <f t="shared" ca="1" si="11"/>
        <v>45391</v>
      </c>
      <c r="D284" s="42"/>
      <c r="E284" s="3" t="s">
        <v>1037</v>
      </c>
      <c r="F284" s="43" t="b">
        <v>0</v>
      </c>
      <c r="G284" s="43" t="b">
        <v>0</v>
      </c>
      <c r="H284" s="44">
        <v>2400</v>
      </c>
    </row>
    <row r="285" spans="1:8" x14ac:dyDescent="0.3">
      <c r="A285" s="42" t="s">
        <v>1468</v>
      </c>
      <c r="B285" s="3" t="s">
        <v>1469</v>
      </c>
      <c r="C285" s="4">
        <f t="shared" ca="1" si="11"/>
        <v>45391</v>
      </c>
      <c r="D285" s="4">
        <f ca="1">TODAY()-630</f>
        <v>45407</v>
      </c>
      <c r="E285" s="3" t="s">
        <v>1029</v>
      </c>
      <c r="F285" s="43" t="b">
        <v>1</v>
      </c>
      <c r="G285" s="43" t="b">
        <v>1</v>
      </c>
      <c r="H285" s="44">
        <v>200</v>
      </c>
    </row>
    <row r="286" spans="1:8" x14ac:dyDescent="0.3">
      <c r="A286" s="42" t="s">
        <v>1470</v>
      </c>
      <c r="B286" s="3" t="s">
        <v>1471</v>
      </c>
      <c r="C286" s="4">
        <f t="shared" ca="1" si="11"/>
        <v>45391</v>
      </c>
      <c r="D286" s="4">
        <f ca="1">TODAY()-626</f>
        <v>45411</v>
      </c>
      <c r="E286" s="3" t="s">
        <v>1029</v>
      </c>
      <c r="F286" s="43" t="b">
        <v>1</v>
      </c>
      <c r="G286" s="43" t="b">
        <v>1</v>
      </c>
      <c r="H286" s="44">
        <v>260</v>
      </c>
    </row>
    <row r="287" spans="1:8" x14ac:dyDescent="0.3">
      <c r="A287" s="42" t="s">
        <v>1472</v>
      </c>
      <c r="B287" s="3" t="s">
        <v>1400</v>
      </c>
      <c r="C287" s="4">
        <f t="shared" ca="1" si="11"/>
        <v>45391</v>
      </c>
      <c r="D287" s="42"/>
      <c r="E287" s="3" t="s">
        <v>1108</v>
      </c>
      <c r="F287" s="43" t="b">
        <v>0</v>
      </c>
      <c r="G287" s="43" t="b">
        <v>0</v>
      </c>
      <c r="H287" s="44">
        <v>1530</v>
      </c>
    </row>
    <row r="288" spans="1:8" x14ac:dyDescent="0.3">
      <c r="A288" s="42" t="s">
        <v>1129</v>
      </c>
      <c r="B288" s="3" t="s">
        <v>1130</v>
      </c>
      <c r="C288" s="4">
        <f t="shared" ca="1" si="11"/>
        <v>45391</v>
      </c>
      <c r="D288" s="4">
        <f ca="1">TODAY()-619</f>
        <v>45418</v>
      </c>
      <c r="E288" s="3" t="s">
        <v>1029</v>
      </c>
      <c r="F288" s="43" t="b">
        <v>1</v>
      </c>
      <c r="G288" s="43" t="b">
        <v>1</v>
      </c>
      <c r="H288" s="44">
        <v>1540</v>
      </c>
    </row>
    <row r="289" spans="1:8" x14ac:dyDescent="0.3">
      <c r="A289" s="42" t="s">
        <v>1286</v>
      </c>
      <c r="B289" s="3" t="s">
        <v>1287</v>
      </c>
      <c r="C289" s="4">
        <f t="shared" ca="1" si="11"/>
        <v>45391</v>
      </c>
      <c r="D289" s="4">
        <f ca="1">TODAY()-627</f>
        <v>45410</v>
      </c>
      <c r="E289" s="3" t="s">
        <v>1032</v>
      </c>
      <c r="F289" s="43" t="b">
        <v>1</v>
      </c>
      <c r="G289" s="43" t="b">
        <v>0</v>
      </c>
      <c r="H289" s="44">
        <v>2280</v>
      </c>
    </row>
    <row r="290" spans="1:8" x14ac:dyDescent="0.3">
      <c r="A290" s="42" t="s">
        <v>1089</v>
      </c>
      <c r="B290" s="3" t="s">
        <v>1090</v>
      </c>
      <c r="C290" s="4">
        <f t="shared" ca="1" si="11"/>
        <v>45391</v>
      </c>
      <c r="D290" s="4">
        <f ca="1">TODAY()-622</f>
        <v>45415</v>
      </c>
      <c r="E290" s="3" t="s">
        <v>1032</v>
      </c>
      <c r="F290" s="43" t="b">
        <v>1</v>
      </c>
      <c r="G290" s="43" t="b">
        <v>0</v>
      </c>
      <c r="H290" s="44">
        <v>1740</v>
      </c>
    </row>
    <row r="291" spans="1:8" x14ac:dyDescent="0.3">
      <c r="A291" s="42" t="s">
        <v>1431</v>
      </c>
      <c r="B291" s="3" t="s">
        <v>1473</v>
      </c>
      <c r="C291" s="4">
        <f t="shared" ca="1" si="11"/>
        <v>45391</v>
      </c>
      <c r="D291" s="4">
        <f ca="1">TODAY()-630</f>
        <v>45407</v>
      </c>
      <c r="E291" s="3" t="s">
        <v>1032</v>
      </c>
      <c r="F291" s="43" t="b">
        <v>1</v>
      </c>
      <c r="G291" s="43" t="b">
        <v>0</v>
      </c>
      <c r="H291" s="44">
        <v>300</v>
      </c>
    </row>
    <row r="292" spans="1:8" x14ac:dyDescent="0.3">
      <c r="A292" s="42" t="s">
        <v>1394</v>
      </c>
      <c r="B292" s="3" t="s">
        <v>1395</v>
      </c>
      <c r="C292" s="4">
        <f t="shared" ca="1" si="11"/>
        <v>45391</v>
      </c>
      <c r="D292" s="4">
        <f ca="1">TODAY()-631</f>
        <v>45406</v>
      </c>
      <c r="E292" s="3" t="s">
        <v>1029</v>
      </c>
      <c r="F292" s="43" t="b">
        <v>1</v>
      </c>
      <c r="G292" s="43" t="b">
        <v>1</v>
      </c>
      <c r="H292" s="44">
        <v>880</v>
      </c>
    </row>
    <row r="293" spans="1:8" x14ac:dyDescent="0.3">
      <c r="A293" s="42" t="s">
        <v>1474</v>
      </c>
      <c r="B293" s="3" t="s">
        <v>1475</v>
      </c>
      <c r="C293" s="4">
        <f t="shared" ca="1" si="11"/>
        <v>45391</v>
      </c>
      <c r="D293" s="4">
        <f ca="1">TODAY()-627</f>
        <v>45410</v>
      </c>
      <c r="E293" s="3" t="s">
        <v>1029</v>
      </c>
      <c r="F293" s="43" t="b">
        <v>1</v>
      </c>
      <c r="G293" s="43" t="b">
        <v>1</v>
      </c>
      <c r="H293" s="44">
        <v>630</v>
      </c>
    </row>
    <row r="294" spans="1:8" x14ac:dyDescent="0.3">
      <c r="A294" s="42" t="s">
        <v>1123</v>
      </c>
      <c r="B294" s="3" t="s">
        <v>1124</v>
      </c>
      <c r="C294" s="4">
        <f t="shared" ca="1" si="11"/>
        <v>45391</v>
      </c>
      <c r="D294" s="4">
        <f ca="1">TODAY()-621</f>
        <v>45416</v>
      </c>
      <c r="E294" s="3" t="s">
        <v>1029</v>
      </c>
      <c r="F294" s="43" t="b">
        <v>1</v>
      </c>
      <c r="G294" s="43" t="b">
        <v>1</v>
      </c>
      <c r="H294" s="44">
        <v>3030</v>
      </c>
    </row>
    <row r="295" spans="1:8" x14ac:dyDescent="0.3">
      <c r="A295" s="42" t="s">
        <v>1476</v>
      </c>
      <c r="B295" s="3" t="s">
        <v>1477</v>
      </c>
      <c r="C295" s="4">
        <f t="shared" ca="1" si="11"/>
        <v>45391</v>
      </c>
      <c r="D295" s="4">
        <f ca="1">TODAY()-627</f>
        <v>45410</v>
      </c>
      <c r="E295" s="3" t="s">
        <v>1029</v>
      </c>
      <c r="F295" s="43" t="b">
        <v>1</v>
      </c>
      <c r="G295" s="43" t="b">
        <v>1</v>
      </c>
      <c r="H295" s="44">
        <v>1720</v>
      </c>
    </row>
    <row r="296" spans="1:8" x14ac:dyDescent="0.3">
      <c r="A296" s="42" t="s">
        <v>1478</v>
      </c>
      <c r="B296" s="3" t="s">
        <v>1479</v>
      </c>
      <c r="C296" s="4">
        <f t="shared" ca="1" si="11"/>
        <v>45391</v>
      </c>
      <c r="D296" s="4">
        <f ca="1">TODAY()-620</f>
        <v>45417</v>
      </c>
      <c r="E296" s="3" t="s">
        <v>1032</v>
      </c>
      <c r="F296" s="43" t="b">
        <v>1</v>
      </c>
      <c r="G296" s="43" t="b">
        <v>0</v>
      </c>
      <c r="H296" s="44">
        <v>2010</v>
      </c>
    </row>
    <row r="297" spans="1:8" x14ac:dyDescent="0.3">
      <c r="A297" s="42" t="s">
        <v>1348</v>
      </c>
      <c r="B297" s="3" t="s">
        <v>1480</v>
      </c>
      <c r="C297" s="4">
        <f t="shared" ca="1" si="11"/>
        <v>45391</v>
      </c>
      <c r="D297" s="42"/>
      <c r="E297" s="3" t="s">
        <v>1108</v>
      </c>
      <c r="F297" s="43" t="b">
        <v>0</v>
      </c>
      <c r="G297" s="43" t="b">
        <v>0</v>
      </c>
      <c r="H297" s="44">
        <v>2330</v>
      </c>
    </row>
    <row r="298" spans="1:8" x14ac:dyDescent="0.3">
      <c r="A298" s="42" t="s">
        <v>1165</v>
      </c>
      <c r="B298" s="3" t="s">
        <v>1481</v>
      </c>
      <c r="C298" s="4">
        <f t="shared" ca="1" si="11"/>
        <v>45391</v>
      </c>
      <c r="D298" s="42"/>
      <c r="E298" s="3" t="s">
        <v>1108</v>
      </c>
      <c r="F298" s="43" t="b">
        <v>0</v>
      </c>
      <c r="G298" s="43" t="b">
        <v>0</v>
      </c>
      <c r="H298" s="44">
        <v>1300</v>
      </c>
    </row>
    <row r="299" spans="1:8" x14ac:dyDescent="0.3">
      <c r="A299" s="42" t="s">
        <v>1482</v>
      </c>
      <c r="B299" s="3" t="s">
        <v>1483</v>
      </c>
      <c r="C299" s="4">
        <f t="shared" ca="1" si="11"/>
        <v>45391</v>
      </c>
      <c r="D299" s="4">
        <f ca="1">TODAY()-632</f>
        <v>45405</v>
      </c>
      <c r="E299" s="3" t="s">
        <v>1032</v>
      </c>
      <c r="F299" s="43" t="b">
        <v>1</v>
      </c>
      <c r="G299" s="43" t="b">
        <v>0</v>
      </c>
      <c r="H299" s="44">
        <v>1150</v>
      </c>
    </row>
    <row r="300" spans="1:8" x14ac:dyDescent="0.3">
      <c r="A300" s="42" t="s">
        <v>1484</v>
      </c>
      <c r="B300" s="3" t="s">
        <v>1485</v>
      </c>
      <c r="C300" s="4">
        <f t="shared" ca="1" si="11"/>
        <v>45391</v>
      </c>
      <c r="D300" s="42"/>
      <c r="E300" s="3" t="s">
        <v>1037</v>
      </c>
      <c r="F300" s="43" t="b">
        <v>0</v>
      </c>
      <c r="G300" s="43" t="b">
        <v>0</v>
      </c>
      <c r="H300" s="44">
        <v>2330</v>
      </c>
    </row>
    <row r="301" spans="1:8" x14ac:dyDescent="0.3">
      <c r="A301" s="42" t="s">
        <v>1266</v>
      </c>
      <c r="B301" s="3" t="s">
        <v>1267</v>
      </c>
      <c r="C301" s="4">
        <f t="shared" ca="1" si="11"/>
        <v>45391</v>
      </c>
      <c r="D301" s="4">
        <f ca="1">TODAY()-620</f>
        <v>45417</v>
      </c>
      <c r="E301" s="3" t="s">
        <v>1029</v>
      </c>
      <c r="F301" s="43" t="b">
        <v>1</v>
      </c>
      <c r="G301" s="43" t="b">
        <v>1</v>
      </c>
      <c r="H301" s="44">
        <v>1110</v>
      </c>
    </row>
    <row r="302" spans="1:8" x14ac:dyDescent="0.3">
      <c r="A302" s="42" t="s">
        <v>1181</v>
      </c>
      <c r="B302" s="3" t="s">
        <v>1182</v>
      </c>
      <c r="C302" s="4">
        <f t="shared" ca="1" si="11"/>
        <v>45391</v>
      </c>
      <c r="D302" s="4">
        <f ca="1">TODAY()-627</f>
        <v>45410</v>
      </c>
      <c r="E302" s="3" t="s">
        <v>1029</v>
      </c>
      <c r="F302" s="43" t="b">
        <v>1</v>
      </c>
      <c r="G302" s="43" t="b">
        <v>1</v>
      </c>
      <c r="H302" s="44">
        <v>1840</v>
      </c>
    </row>
    <row r="303" spans="1:8" x14ac:dyDescent="0.3">
      <c r="A303" s="42" t="s">
        <v>1288</v>
      </c>
      <c r="B303" s="3" t="s">
        <v>1116</v>
      </c>
      <c r="C303" s="4">
        <f t="shared" ca="1" si="11"/>
        <v>45391</v>
      </c>
      <c r="D303" s="4">
        <f ca="1">TODAY()-625</f>
        <v>45412</v>
      </c>
      <c r="E303" s="3" t="s">
        <v>1029</v>
      </c>
      <c r="F303" s="43" t="b">
        <v>1</v>
      </c>
      <c r="G303" s="43" t="b">
        <v>1</v>
      </c>
      <c r="H303" s="44">
        <v>1800</v>
      </c>
    </row>
    <row r="304" spans="1:8" x14ac:dyDescent="0.3">
      <c r="A304" s="42" t="s">
        <v>1387</v>
      </c>
      <c r="B304" s="3" t="s">
        <v>1486</v>
      </c>
      <c r="C304" s="4">
        <f t="shared" ca="1" si="11"/>
        <v>45391</v>
      </c>
      <c r="D304" s="42"/>
      <c r="E304" s="3" t="s">
        <v>1108</v>
      </c>
      <c r="F304" s="43" t="b">
        <v>0</v>
      </c>
      <c r="G304" s="43" t="b">
        <v>0</v>
      </c>
      <c r="H304" s="44">
        <v>2480</v>
      </c>
    </row>
    <row r="305" spans="1:8" x14ac:dyDescent="0.3">
      <c r="A305" s="42" t="s">
        <v>1487</v>
      </c>
      <c r="B305" s="3" t="s">
        <v>1488</v>
      </c>
      <c r="C305" s="4">
        <f t="shared" ca="1" si="11"/>
        <v>45391</v>
      </c>
      <c r="D305" s="4">
        <f ca="1">TODAY()-620</f>
        <v>45417</v>
      </c>
      <c r="E305" s="3" t="s">
        <v>1032</v>
      </c>
      <c r="F305" s="43" t="b">
        <v>1</v>
      </c>
      <c r="G305" s="43" t="b">
        <v>0</v>
      </c>
      <c r="H305" s="44">
        <v>2470</v>
      </c>
    </row>
    <row r="306" spans="1:8" x14ac:dyDescent="0.3">
      <c r="A306" s="42" t="s">
        <v>1087</v>
      </c>
      <c r="B306" s="3" t="s">
        <v>1489</v>
      </c>
      <c r="C306" s="4">
        <f t="shared" ca="1" si="11"/>
        <v>45391</v>
      </c>
      <c r="D306" s="4">
        <f ca="1">TODAY()-624</f>
        <v>45413</v>
      </c>
      <c r="E306" s="3" t="s">
        <v>1029</v>
      </c>
      <c r="F306" s="43" t="b">
        <v>1</v>
      </c>
      <c r="G306" s="43" t="b">
        <v>1</v>
      </c>
      <c r="H306" s="44">
        <v>1680</v>
      </c>
    </row>
    <row r="307" spans="1:8" x14ac:dyDescent="0.3">
      <c r="A307" s="42" t="s">
        <v>1490</v>
      </c>
      <c r="B307" s="3" t="s">
        <v>1491</v>
      </c>
      <c r="C307" s="4">
        <f t="shared" ca="1" si="11"/>
        <v>45391</v>
      </c>
      <c r="D307" s="42"/>
      <c r="E307" s="3" t="s">
        <v>1037</v>
      </c>
      <c r="F307" s="43" t="b">
        <v>0</v>
      </c>
      <c r="G307" s="43" t="b">
        <v>0</v>
      </c>
      <c r="H307" s="44">
        <v>980</v>
      </c>
    </row>
    <row r="308" spans="1:8" x14ac:dyDescent="0.3">
      <c r="A308" s="42" t="s">
        <v>1492</v>
      </c>
      <c r="B308" s="3" t="s">
        <v>1493</v>
      </c>
      <c r="C308" s="4">
        <f t="shared" ca="1" si="11"/>
        <v>45391</v>
      </c>
      <c r="D308" s="42"/>
      <c r="E308" s="3" t="s">
        <v>1108</v>
      </c>
      <c r="F308" s="43" t="b">
        <v>0</v>
      </c>
      <c r="G308" s="43" t="b">
        <v>0</v>
      </c>
      <c r="H308" s="44">
        <v>1860</v>
      </c>
    </row>
    <row r="309" spans="1:8" x14ac:dyDescent="0.3">
      <c r="A309" s="42" t="s">
        <v>1494</v>
      </c>
      <c r="B309" s="3" t="s">
        <v>1495</v>
      </c>
      <c r="C309" s="4">
        <f t="shared" ca="1" si="11"/>
        <v>45391</v>
      </c>
      <c r="D309" s="4">
        <f ca="1">TODAY()-632</f>
        <v>45405</v>
      </c>
      <c r="E309" s="3" t="s">
        <v>1032</v>
      </c>
      <c r="F309" s="43" t="b">
        <v>1</v>
      </c>
      <c r="G309" s="43" t="b">
        <v>0</v>
      </c>
      <c r="H309" s="44">
        <v>790</v>
      </c>
    </row>
    <row r="310" spans="1:8" x14ac:dyDescent="0.3">
      <c r="A310" s="42" t="s">
        <v>1496</v>
      </c>
      <c r="B310" s="3" t="s">
        <v>1497</v>
      </c>
      <c r="C310" s="4">
        <f t="shared" ca="1" si="11"/>
        <v>45391</v>
      </c>
      <c r="D310" s="4">
        <f ca="1">TODAY()-631</f>
        <v>45406</v>
      </c>
      <c r="E310" s="3" t="s">
        <v>1029</v>
      </c>
      <c r="F310" s="43" t="b">
        <v>1</v>
      </c>
      <c r="G310" s="43" t="b">
        <v>1</v>
      </c>
      <c r="H310" s="44">
        <v>2330</v>
      </c>
    </row>
    <row r="311" spans="1:8" x14ac:dyDescent="0.3">
      <c r="A311" s="42" t="s">
        <v>1054</v>
      </c>
      <c r="B311" s="3" t="s">
        <v>1381</v>
      </c>
      <c r="C311" s="4">
        <f t="shared" ca="1" si="11"/>
        <v>45391</v>
      </c>
      <c r="D311" s="4">
        <f ca="1">TODAY()-621</f>
        <v>45416</v>
      </c>
      <c r="E311" s="3" t="s">
        <v>1029</v>
      </c>
      <c r="F311" s="43" t="b">
        <v>1</v>
      </c>
      <c r="G311" s="43" t="b">
        <v>1</v>
      </c>
      <c r="H311" s="44">
        <v>1240</v>
      </c>
    </row>
    <row r="312" spans="1:8" x14ac:dyDescent="0.3">
      <c r="A312" s="42" t="s">
        <v>1498</v>
      </c>
      <c r="B312" s="3" t="s">
        <v>1136</v>
      </c>
      <c r="C312" s="4">
        <f t="shared" ca="1" si="11"/>
        <v>45391</v>
      </c>
      <c r="D312" s="4">
        <f ca="1">TODAY()-628</f>
        <v>45409</v>
      </c>
      <c r="E312" s="3" t="s">
        <v>1029</v>
      </c>
      <c r="F312" s="43" t="b">
        <v>1</v>
      </c>
      <c r="G312" s="43" t="b">
        <v>1</v>
      </c>
      <c r="H312" s="44">
        <v>1500</v>
      </c>
    </row>
    <row r="313" spans="1:8" x14ac:dyDescent="0.3">
      <c r="A313" s="42" t="s">
        <v>1499</v>
      </c>
      <c r="B313" s="3" t="s">
        <v>1500</v>
      </c>
      <c r="C313" s="4">
        <f t="shared" ca="1" si="11"/>
        <v>45391</v>
      </c>
      <c r="D313" s="42"/>
      <c r="E313" s="3" t="s">
        <v>1037</v>
      </c>
      <c r="F313" s="43" t="b">
        <v>0</v>
      </c>
      <c r="G313" s="43" t="b">
        <v>0</v>
      </c>
      <c r="H313" s="44">
        <v>840</v>
      </c>
    </row>
    <row r="314" spans="1:8" x14ac:dyDescent="0.3">
      <c r="A314" s="42" t="s">
        <v>1302</v>
      </c>
      <c r="B314" s="3" t="s">
        <v>1303</v>
      </c>
      <c r="C314" s="4">
        <f t="shared" ca="1" si="11"/>
        <v>45391</v>
      </c>
      <c r="D314" s="4">
        <f ca="1">TODAY()-627</f>
        <v>45410</v>
      </c>
      <c r="E314" s="3" t="s">
        <v>1029</v>
      </c>
      <c r="F314" s="43" t="b">
        <v>1</v>
      </c>
      <c r="G314" s="43" t="b">
        <v>1</v>
      </c>
      <c r="H314" s="44">
        <v>420</v>
      </c>
    </row>
    <row r="315" spans="1:8" x14ac:dyDescent="0.3">
      <c r="A315" s="42" t="s">
        <v>1332</v>
      </c>
      <c r="B315" s="3" t="s">
        <v>1501</v>
      </c>
      <c r="C315" s="4">
        <f t="shared" ca="1" si="11"/>
        <v>45391</v>
      </c>
      <c r="D315" s="42"/>
      <c r="E315" s="3" t="s">
        <v>1101</v>
      </c>
      <c r="F315" s="43" t="b">
        <v>0</v>
      </c>
      <c r="G315" s="43" t="b">
        <v>0</v>
      </c>
      <c r="H315" s="44">
        <v>550</v>
      </c>
    </row>
    <row r="316" spans="1:8" x14ac:dyDescent="0.3">
      <c r="A316" s="42" t="s">
        <v>1073</v>
      </c>
      <c r="B316" s="3" t="s">
        <v>1502</v>
      </c>
      <c r="C316" s="4">
        <f t="shared" ca="1" si="11"/>
        <v>45391</v>
      </c>
      <c r="D316" s="4">
        <f ca="1">TODAY()-620</f>
        <v>45417</v>
      </c>
      <c r="E316" s="3" t="s">
        <v>1032</v>
      </c>
      <c r="F316" s="43" t="b">
        <v>1</v>
      </c>
      <c r="G316" s="43" t="b">
        <v>0</v>
      </c>
      <c r="H316" s="44">
        <v>2040</v>
      </c>
    </row>
    <row r="317" spans="1:8" x14ac:dyDescent="0.3">
      <c r="A317" s="42" t="s">
        <v>1145</v>
      </c>
      <c r="B317" s="3" t="s">
        <v>1146</v>
      </c>
      <c r="C317" s="4">
        <f t="shared" ca="1" si="11"/>
        <v>45391</v>
      </c>
      <c r="D317" s="42"/>
      <c r="E317" s="3" t="s">
        <v>1077</v>
      </c>
      <c r="F317" s="43" t="b">
        <v>0</v>
      </c>
      <c r="G317" s="43" t="b">
        <v>0</v>
      </c>
      <c r="H317" s="44">
        <v>950</v>
      </c>
    </row>
    <row r="318" spans="1:8" x14ac:dyDescent="0.3">
      <c r="A318" s="42" t="s">
        <v>1205</v>
      </c>
      <c r="B318" s="3" t="s">
        <v>1206</v>
      </c>
      <c r="C318" s="4">
        <f t="shared" ca="1" si="11"/>
        <v>45391</v>
      </c>
      <c r="D318" s="4">
        <f ca="1">TODAY()-628</f>
        <v>45409</v>
      </c>
      <c r="E318" s="3" t="s">
        <v>1029</v>
      </c>
      <c r="F318" s="43" t="b">
        <v>1</v>
      </c>
      <c r="G318" s="43" t="b">
        <v>1</v>
      </c>
      <c r="H318" s="44">
        <v>200</v>
      </c>
    </row>
    <row r="319" spans="1:8" x14ac:dyDescent="0.3">
      <c r="A319" s="42" t="s">
        <v>1503</v>
      </c>
      <c r="B319" s="3" t="s">
        <v>1504</v>
      </c>
      <c r="C319" s="4">
        <f t="shared" ca="1" si="11"/>
        <v>45391</v>
      </c>
      <c r="D319" s="42"/>
      <c r="E319" s="3" t="s">
        <v>1108</v>
      </c>
      <c r="F319" s="43" t="b">
        <v>0</v>
      </c>
      <c r="G319" s="43" t="b">
        <v>0</v>
      </c>
      <c r="H319" s="44">
        <v>2200</v>
      </c>
    </row>
    <row r="320" spans="1:8" x14ac:dyDescent="0.3">
      <c r="A320" s="42" t="s">
        <v>1505</v>
      </c>
      <c r="B320" s="3" t="s">
        <v>1506</v>
      </c>
      <c r="C320" s="4">
        <f t="shared" ca="1" si="11"/>
        <v>45391</v>
      </c>
      <c r="D320" s="4">
        <f ca="1">TODAY()-619</f>
        <v>45418</v>
      </c>
      <c r="E320" s="3" t="s">
        <v>1032</v>
      </c>
      <c r="F320" s="43" t="b">
        <v>1</v>
      </c>
      <c r="G320" s="43" t="b">
        <v>0</v>
      </c>
      <c r="H320" s="44">
        <v>2180</v>
      </c>
    </row>
    <row r="321" spans="1:8" x14ac:dyDescent="0.3">
      <c r="A321" s="42" t="s">
        <v>1507</v>
      </c>
      <c r="B321" s="3" t="s">
        <v>1508</v>
      </c>
      <c r="C321" s="4">
        <f t="shared" ca="1" si="11"/>
        <v>45391</v>
      </c>
      <c r="D321" s="4">
        <f ca="1">TODAY()-620</f>
        <v>45417</v>
      </c>
      <c r="E321" s="3" t="s">
        <v>1029</v>
      </c>
      <c r="F321" s="43" t="b">
        <v>1</v>
      </c>
      <c r="G321" s="43" t="b">
        <v>1</v>
      </c>
      <c r="H321" s="44">
        <v>1200</v>
      </c>
    </row>
    <row r="322" spans="1:8" x14ac:dyDescent="0.3">
      <c r="A322" s="42" t="s">
        <v>1401</v>
      </c>
      <c r="B322" s="3" t="s">
        <v>1509</v>
      </c>
      <c r="C322" s="4">
        <f t="shared" ca="1" si="11"/>
        <v>45391</v>
      </c>
      <c r="D322" s="4">
        <f ca="1">TODAY()-621</f>
        <v>45416</v>
      </c>
      <c r="E322" s="3" t="s">
        <v>1029</v>
      </c>
      <c r="F322" s="43" t="b">
        <v>1</v>
      </c>
      <c r="G322" s="43" t="b">
        <v>1</v>
      </c>
      <c r="H322" s="44">
        <v>2370</v>
      </c>
    </row>
    <row r="323" spans="1:8" x14ac:dyDescent="0.3">
      <c r="A323" s="42" t="s">
        <v>1510</v>
      </c>
      <c r="B323" s="3" t="s">
        <v>1511</v>
      </c>
      <c r="C323" s="4">
        <f t="shared" ca="1" si="11"/>
        <v>45391</v>
      </c>
      <c r="D323" s="42"/>
      <c r="E323" s="3" t="s">
        <v>1037</v>
      </c>
      <c r="F323" s="43" t="b">
        <v>0</v>
      </c>
      <c r="G323" s="43" t="b">
        <v>0</v>
      </c>
      <c r="H323" s="44">
        <v>2070</v>
      </c>
    </row>
    <row r="324" spans="1:8" x14ac:dyDescent="0.3">
      <c r="A324" s="42" t="s">
        <v>1512</v>
      </c>
      <c r="B324" s="3" t="s">
        <v>1513</v>
      </c>
      <c r="C324" s="4">
        <f t="shared" ca="1" si="11"/>
        <v>45391</v>
      </c>
      <c r="D324" s="4">
        <f ca="1">TODAY()-617</f>
        <v>45420</v>
      </c>
      <c r="E324" s="3" t="s">
        <v>1029</v>
      </c>
      <c r="F324" s="43" t="b">
        <v>1</v>
      </c>
      <c r="G324" s="43" t="b">
        <v>1</v>
      </c>
      <c r="H324" s="44">
        <v>530</v>
      </c>
    </row>
    <row r="325" spans="1:8" x14ac:dyDescent="0.3">
      <c r="A325" s="42" t="s">
        <v>1221</v>
      </c>
      <c r="B325" s="3" t="s">
        <v>1514</v>
      </c>
      <c r="C325" s="4">
        <f t="shared" ca="1" si="11"/>
        <v>45391</v>
      </c>
      <c r="D325" s="42"/>
      <c r="E325" s="3" t="s">
        <v>1103</v>
      </c>
      <c r="F325" s="43" t="b">
        <v>0</v>
      </c>
      <c r="G325" s="43" t="b">
        <v>0</v>
      </c>
      <c r="H325" s="44">
        <v>1690</v>
      </c>
    </row>
    <row r="326" spans="1:8" x14ac:dyDescent="0.3">
      <c r="A326" s="42" t="s">
        <v>1147</v>
      </c>
      <c r="B326" s="3" t="s">
        <v>1247</v>
      </c>
      <c r="C326" s="4">
        <f t="shared" ref="C326:C418" ca="1" si="13">TODAY()-615</f>
        <v>45422</v>
      </c>
      <c r="D326" s="4">
        <f ca="1">TODAY()-589</f>
        <v>45448</v>
      </c>
      <c r="E326" s="3" t="s">
        <v>1029</v>
      </c>
      <c r="F326" s="43" t="b">
        <v>1</v>
      </c>
      <c r="G326" s="43" t="b">
        <v>1</v>
      </c>
      <c r="H326" s="44">
        <v>1530</v>
      </c>
    </row>
    <row r="327" spans="1:8" x14ac:dyDescent="0.3">
      <c r="A327" s="42" t="s">
        <v>1352</v>
      </c>
      <c r="B327" s="3" t="s">
        <v>1353</v>
      </c>
      <c r="C327" s="4">
        <f t="shared" ca="1" si="13"/>
        <v>45422</v>
      </c>
      <c r="D327" s="4">
        <f ca="1">TODAY()-603</f>
        <v>45434</v>
      </c>
      <c r="E327" s="3" t="s">
        <v>1029</v>
      </c>
      <c r="F327" s="43" t="b">
        <v>1</v>
      </c>
      <c r="G327" s="43" t="b">
        <v>1</v>
      </c>
      <c r="H327" s="44">
        <v>1170</v>
      </c>
    </row>
    <row r="328" spans="1:8" x14ac:dyDescent="0.3">
      <c r="A328" s="42" t="s">
        <v>1336</v>
      </c>
      <c r="B328" s="3" t="s">
        <v>1337</v>
      </c>
      <c r="C328" s="4">
        <f t="shared" ca="1" si="13"/>
        <v>45422</v>
      </c>
      <c r="D328" s="42"/>
      <c r="E328" s="3" t="s">
        <v>1077</v>
      </c>
      <c r="F328" s="43" t="b">
        <v>0</v>
      </c>
      <c r="G328" s="43" t="b">
        <v>0</v>
      </c>
      <c r="H328" s="44">
        <v>1300</v>
      </c>
    </row>
    <row r="329" spans="1:8" x14ac:dyDescent="0.3">
      <c r="A329" s="42" t="s">
        <v>1515</v>
      </c>
      <c r="B329" s="3" t="s">
        <v>1516</v>
      </c>
      <c r="C329" s="4">
        <f t="shared" ca="1" si="13"/>
        <v>45422</v>
      </c>
      <c r="D329" s="4">
        <f ca="1">TODAY()-597</f>
        <v>45440</v>
      </c>
      <c r="E329" s="3" t="s">
        <v>1032</v>
      </c>
      <c r="F329" s="43" t="b">
        <v>1</v>
      </c>
      <c r="G329" s="43" t="b">
        <v>0</v>
      </c>
      <c r="H329" s="44">
        <v>980</v>
      </c>
    </row>
    <row r="330" spans="1:8" x14ac:dyDescent="0.3">
      <c r="A330" s="42" t="s">
        <v>1517</v>
      </c>
      <c r="B330" s="3" t="s">
        <v>1518</v>
      </c>
      <c r="C330" s="4">
        <f t="shared" ca="1" si="13"/>
        <v>45422</v>
      </c>
      <c r="D330" s="4">
        <f ca="1">TODAY()-586</f>
        <v>45451</v>
      </c>
      <c r="E330" s="3" t="s">
        <v>1032</v>
      </c>
      <c r="F330" s="43" t="b">
        <v>1</v>
      </c>
      <c r="G330" s="43" t="b">
        <v>0</v>
      </c>
      <c r="H330" s="44">
        <v>1090</v>
      </c>
    </row>
    <row r="331" spans="1:8" x14ac:dyDescent="0.3">
      <c r="A331" s="42" t="s">
        <v>1163</v>
      </c>
      <c r="B331" s="3" t="s">
        <v>1164</v>
      </c>
      <c r="C331" s="4">
        <f t="shared" ca="1" si="13"/>
        <v>45422</v>
      </c>
      <c r="D331" s="4">
        <f ca="1">TODAY()-604</f>
        <v>45433</v>
      </c>
      <c r="E331" s="3" t="s">
        <v>1029</v>
      </c>
      <c r="F331" s="43" t="b">
        <v>1</v>
      </c>
      <c r="G331" s="43" t="b">
        <v>1</v>
      </c>
      <c r="H331" s="44">
        <v>2000</v>
      </c>
    </row>
    <row r="332" spans="1:8" x14ac:dyDescent="0.3">
      <c r="A332" s="42" t="s">
        <v>1519</v>
      </c>
      <c r="B332" s="3" t="s">
        <v>1520</v>
      </c>
      <c r="C332" s="4">
        <f t="shared" ca="1" si="13"/>
        <v>45422</v>
      </c>
      <c r="D332" s="42"/>
      <c r="E332" s="3" t="s">
        <v>1103</v>
      </c>
      <c r="F332" s="43" t="b">
        <v>0</v>
      </c>
      <c r="G332" s="43" t="b">
        <v>0</v>
      </c>
      <c r="H332" s="44">
        <v>1030</v>
      </c>
    </row>
    <row r="333" spans="1:8" x14ac:dyDescent="0.3">
      <c r="A333" s="42" t="s">
        <v>1433</v>
      </c>
      <c r="B333" s="3" t="s">
        <v>1136</v>
      </c>
      <c r="C333" s="4">
        <f t="shared" ca="1" si="13"/>
        <v>45422</v>
      </c>
      <c r="D333" s="4">
        <f ca="1">TODAY()-594</f>
        <v>45443</v>
      </c>
      <c r="E333" s="3" t="s">
        <v>1029</v>
      </c>
      <c r="F333" s="43" t="b">
        <v>1</v>
      </c>
      <c r="G333" s="43" t="b">
        <v>1</v>
      </c>
      <c r="H333" s="44">
        <v>1670</v>
      </c>
    </row>
    <row r="334" spans="1:8" x14ac:dyDescent="0.3">
      <c r="A334" s="42" t="s">
        <v>1407</v>
      </c>
      <c r="B334" s="3" t="s">
        <v>1408</v>
      </c>
      <c r="C334" s="4">
        <f t="shared" ca="1" si="13"/>
        <v>45422</v>
      </c>
      <c r="D334" s="4">
        <f ca="1">TODAY()-605</f>
        <v>45432</v>
      </c>
      <c r="E334" s="3" t="s">
        <v>1029</v>
      </c>
      <c r="F334" s="43" t="b">
        <v>1</v>
      </c>
      <c r="G334" s="43" t="b">
        <v>1</v>
      </c>
      <c r="H334" s="44">
        <v>1020</v>
      </c>
    </row>
    <row r="335" spans="1:8" x14ac:dyDescent="0.3">
      <c r="A335" s="42" t="s">
        <v>1498</v>
      </c>
      <c r="B335" s="3" t="s">
        <v>1521</v>
      </c>
      <c r="C335" s="4">
        <f t="shared" ca="1" si="13"/>
        <v>45422</v>
      </c>
      <c r="D335" s="42"/>
      <c r="E335" s="3" t="s">
        <v>1077</v>
      </c>
      <c r="F335" s="43" t="b">
        <v>0</v>
      </c>
      <c r="G335" s="43" t="b">
        <v>0</v>
      </c>
      <c r="H335" s="44">
        <v>420</v>
      </c>
    </row>
    <row r="336" spans="1:8" x14ac:dyDescent="0.3">
      <c r="A336" s="42" t="s">
        <v>1522</v>
      </c>
      <c r="B336" s="3" t="s">
        <v>1523</v>
      </c>
      <c r="C336" s="4">
        <f t="shared" ca="1" si="13"/>
        <v>45422</v>
      </c>
      <c r="D336" s="4">
        <f ca="1">TODAY()-597</f>
        <v>45440</v>
      </c>
      <c r="E336" s="3" t="s">
        <v>1029</v>
      </c>
      <c r="F336" s="43" t="b">
        <v>1</v>
      </c>
      <c r="G336" s="43" t="b">
        <v>1</v>
      </c>
      <c r="H336" s="44">
        <v>2180</v>
      </c>
    </row>
    <row r="337" spans="1:8" x14ac:dyDescent="0.3">
      <c r="A337" s="42" t="s">
        <v>1524</v>
      </c>
      <c r="B337" s="3" t="s">
        <v>1525</v>
      </c>
      <c r="C337" s="4">
        <f t="shared" ca="1" si="13"/>
        <v>45422</v>
      </c>
      <c r="D337" s="4">
        <f ca="1">TODAY()-601</f>
        <v>45436</v>
      </c>
      <c r="E337" s="3" t="s">
        <v>1029</v>
      </c>
      <c r="F337" s="43" t="b">
        <v>1</v>
      </c>
      <c r="G337" s="43" t="b">
        <v>1</v>
      </c>
      <c r="H337" s="44">
        <v>170</v>
      </c>
    </row>
    <row r="338" spans="1:8" x14ac:dyDescent="0.3">
      <c r="A338" s="42" t="s">
        <v>1190</v>
      </c>
      <c r="B338" s="3" t="s">
        <v>1191</v>
      </c>
      <c r="C338" s="4">
        <f t="shared" ca="1" si="13"/>
        <v>45422</v>
      </c>
      <c r="D338" s="42"/>
      <c r="E338" s="3" t="s">
        <v>1103</v>
      </c>
      <c r="F338" s="43" t="b">
        <v>0</v>
      </c>
      <c r="G338" s="43" t="b">
        <v>0</v>
      </c>
      <c r="H338" s="44">
        <v>200</v>
      </c>
    </row>
    <row r="339" spans="1:8" x14ac:dyDescent="0.3">
      <c r="A339" s="42" t="s">
        <v>1526</v>
      </c>
      <c r="B339" s="3" t="s">
        <v>1527</v>
      </c>
      <c r="C339" s="4">
        <f t="shared" ca="1" si="13"/>
        <v>45422</v>
      </c>
      <c r="D339" s="4">
        <f ca="1">TODAY()-599</f>
        <v>45438</v>
      </c>
      <c r="E339" s="3" t="s">
        <v>1029</v>
      </c>
      <c r="F339" s="43" t="b">
        <v>1</v>
      </c>
      <c r="G339" s="43" t="b">
        <v>1</v>
      </c>
      <c r="H339" s="44">
        <v>1110</v>
      </c>
    </row>
    <row r="340" spans="1:8" x14ac:dyDescent="0.3">
      <c r="A340" s="42" t="s">
        <v>1294</v>
      </c>
      <c r="B340" s="3" t="s">
        <v>1528</v>
      </c>
      <c r="C340" s="4">
        <f t="shared" ca="1" si="13"/>
        <v>45422</v>
      </c>
      <c r="D340" s="4">
        <f ca="1">TODAY()-602</f>
        <v>45435</v>
      </c>
      <c r="E340" s="3" t="s">
        <v>1032</v>
      </c>
      <c r="F340" s="43" t="b">
        <v>1</v>
      </c>
      <c r="G340" s="43" t="b">
        <v>0</v>
      </c>
      <c r="H340" s="44">
        <v>530</v>
      </c>
    </row>
    <row r="341" spans="1:8" x14ac:dyDescent="0.3">
      <c r="A341" s="42" t="s">
        <v>1529</v>
      </c>
      <c r="B341" s="3" t="s">
        <v>1443</v>
      </c>
      <c r="C341" s="4">
        <f t="shared" ca="1" si="13"/>
        <v>45422</v>
      </c>
      <c r="D341" s="4">
        <f ca="1">TODAY()-597</f>
        <v>45440</v>
      </c>
      <c r="E341" s="3" t="s">
        <v>1032</v>
      </c>
      <c r="F341" s="43" t="b">
        <v>1</v>
      </c>
      <c r="G341" s="43" t="b">
        <v>0</v>
      </c>
      <c r="H341" s="44">
        <v>1570</v>
      </c>
    </row>
    <row r="342" spans="1:8" x14ac:dyDescent="0.3">
      <c r="A342" s="42" t="s">
        <v>1030</v>
      </c>
      <c r="B342" s="3" t="s">
        <v>1378</v>
      </c>
      <c r="C342" s="4">
        <f t="shared" ca="1" si="13"/>
        <v>45422</v>
      </c>
      <c r="D342" s="4">
        <f ca="1">TODAY()-604</f>
        <v>45433</v>
      </c>
      <c r="E342" s="3" t="s">
        <v>1029</v>
      </c>
      <c r="F342" s="43" t="b">
        <v>1</v>
      </c>
      <c r="G342" s="43" t="b">
        <v>1</v>
      </c>
      <c r="H342" s="44">
        <v>1260</v>
      </c>
    </row>
    <row r="343" spans="1:8" x14ac:dyDescent="0.3">
      <c r="A343" s="42" t="s">
        <v>1200</v>
      </c>
      <c r="B343" s="3" t="s">
        <v>1201</v>
      </c>
      <c r="C343" s="4">
        <f t="shared" ca="1" si="13"/>
        <v>45422</v>
      </c>
      <c r="D343" s="42"/>
      <c r="E343" s="3" t="s">
        <v>1037</v>
      </c>
      <c r="F343" s="43" t="b">
        <v>0</v>
      </c>
      <c r="G343" s="43" t="b">
        <v>0</v>
      </c>
      <c r="H343" s="44">
        <v>2470</v>
      </c>
    </row>
    <row r="344" spans="1:8" x14ac:dyDescent="0.3">
      <c r="A344" s="42" t="s">
        <v>1530</v>
      </c>
      <c r="B344" s="3" t="s">
        <v>1531</v>
      </c>
      <c r="C344" s="4">
        <f t="shared" ca="1" si="13"/>
        <v>45422</v>
      </c>
      <c r="D344" s="4">
        <f ca="1">TODAY()-589</f>
        <v>45448</v>
      </c>
      <c r="E344" s="3" t="s">
        <v>1029</v>
      </c>
      <c r="F344" s="43" t="b">
        <v>1</v>
      </c>
      <c r="G344" s="43" t="b">
        <v>1</v>
      </c>
      <c r="H344" s="44">
        <v>1390</v>
      </c>
    </row>
    <row r="345" spans="1:8" x14ac:dyDescent="0.3">
      <c r="A345" s="42" t="s">
        <v>1532</v>
      </c>
      <c r="B345" s="3" t="s">
        <v>1533</v>
      </c>
      <c r="C345" s="4">
        <f t="shared" ca="1" si="13"/>
        <v>45422</v>
      </c>
      <c r="D345" s="4">
        <f ca="1">TODAY()-599</f>
        <v>45438</v>
      </c>
      <c r="E345" s="3" t="s">
        <v>1029</v>
      </c>
      <c r="F345" s="43" t="b">
        <v>1</v>
      </c>
      <c r="G345" s="43" t="b">
        <v>1</v>
      </c>
      <c r="H345" s="44">
        <v>1640</v>
      </c>
    </row>
    <row r="346" spans="1:8" x14ac:dyDescent="0.3">
      <c r="A346" s="42" t="s">
        <v>1368</v>
      </c>
      <c r="B346" s="3" t="s">
        <v>1534</v>
      </c>
      <c r="C346" s="4">
        <f t="shared" ca="1" si="13"/>
        <v>45422</v>
      </c>
      <c r="D346" s="4">
        <f ca="1">TODAY()-597</f>
        <v>45440</v>
      </c>
      <c r="E346" s="3" t="s">
        <v>1029</v>
      </c>
      <c r="F346" s="43" t="b">
        <v>1</v>
      </c>
      <c r="G346" s="43" t="b">
        <v>1</v>
      </c>
      <c r="H346" s="44">
        <v>1140</v>
      </c>
    </row>
    <row r="347" spans="1:8" x14ac:dyDescent="0.3">
      <c r="A347" s="42" t="s">
        <v>1356</v>
      </c>
      <c r="B347" s="3" t="s">
        <v>1234</v>
      </c>
      <c r="C347" s="4">
        <f t="shared" ca="1" si="13"/>
        <v>45422</v>
      </c>
      <c r="D347" s="4">
        <f ca="1">TODAY()-595</f>
        <v>45442</v>
      </c>
      <c r="E347" s="3" t="s">
        <v>1032</v>
      </c>
      <c r="F347" s="43" t="b">
        <v>1</v>
      </c>
      <c r="G347" s="43" t="b">
        <v>0</v>
      </c>
      <c r="H347" s="44">
        <v>390</v>
      </c>
    </row>
    <row r="348" spans="1:8" x14ac:dyDescent="0.3">
      <c r="A348" s="42" t="s">
        <v>1535</v>
      </c>
      <c r="B348" s="3" t="s">
        <v>1536</v>
      </c>
      <c r="C348" s="4">
        <f t="shared" ca="1" si="13"/>
        <v>45422</v>
      </c>
      <c r="D348" s="4">
        <f ca="1">TODAY()-605</f>
        <v>45432</v>
      </c>
      <c r="E348" s="3" t="s">
        <v>1029</v>
      </c>
      <c r="F348" s="43" t="b">
        <v>1</v>
      </c>
      <c r="G348" s="43" t="b">
        <v>1</v>
      </c>
      <c r="H348" s="44">
        <v>150</v>
      </c>
    </row>
    <row r="349" spans="1:8" x14ac:dyDescent="0.3">
      <c r="A349" s="42" t="s">
        <v>1354</v>
      </c>
      <c r="B349" s="3" t="s">
        <v>1537</v>
      </c>
      <c r="C349" s="4">
        <f t="shared" ca="1" si="13"/>
        <v>45422</v>
      </c>
      <c r="D349" s="4">
        <f ca="1">TODAY()-588</f>
        <v>45449</v>
      </c>
      <c r="E349" s="3" t="s">
        <v>1029</v>
      </c>
      <c r="F349" s="43" t="b">
        <v>1</v>
      </c>
      <c r="G349" s="43" t="b">
        <v>1</v>
      </c>
      <c r="H349" s="44">
        <v>680</v>
      </c>
    </row>
    <row r="350" spans="1:8" x14ac:dyDescent="0.3">
      <c r="A350" s="42" t="s">
        <v>1538</v>
      </c>
      <c r="B350" s="3" t="s">
        <v>1539</v>
      </c>
      <c r="C350" s="4">
        <f t="shared" ca="1" si="13"/>
        <v>45422</v>
      </c>
      <c r="D350" s="42"/>
      <c r="E350" s="3" t="s">
        <v>1037</v>
      </c>
      <c r="F350" s="43" t="b">
        <v>0</v>
      </c>
      <c r="G350" s="43" t="b">
        <v>0</v>
      </c>
      <c r="H350" s="44">
        <v>780</v>
      </c>
    </row>
    <row r="351" spans="1:8" x14ac:dyDescent="0.3">
      <c r="A351" s="42" t="s">
        <v>1056</v>
      </c>
      <c r="B351" s="3" t="s">
        <v>1540</v>
      </c>
      <c r="C351" s="4">
        <f t="shared" ca="1" si="13"/>
        <v>45422</v>
      </c>
      <c r="D351" s="42"/>
      <c r="E351" s="3" t="s">
        <v>1108</v>
      </c>
      <c r="F351" s="43" t="b">
        <v>0</v>
      </c>
      <c r="G351" s="43" t="b">
        <v>0</v>
      </c>
      <c r="H351" s="44">
        <v>620</v>
      </c>
    </row>
    <row r="352" spans="1:8" x14ac:dyDescent="0.3">
      <c r="A352" s="42" t="s">
        <v>1391</v>
      </c>
      <c r="B352" s="3" t="s">
        <v>1222</v>
      </c>
      <c r="C352" s="4">
        <f t="shared" ca="1" si="13"/>
        <v>45422</v>
      </c>
      <c r="D352" s="42"/>
      <c r="E352" s="3" t="s">
        <v>1037</v>
      </c>
      <c r="F352" s="43" t="b">
        <v>0</v>
      </c>
      <c r="G352" s="43" t="b">
        <v>0</v>
      </c>
      <c r="H352" s="44">
        <v>1280</v>
      </c>
    </row>
    <row r="353" spans="1:8" x14ac:dyDescent="0.3">
      <c r="A353" s="42" t="s">
        <v>1541</v>
      </c>
      <c r="B353" s="3" t="s">
        <v>1542</v>
      </c>
      <c r="C353" s="4">
        <f t="shared" ca="1" si="13"/>
        <v>45422</v>
      </c>
      <c r="D353" s="4">
        <f ca="1">TODAY()-589</f>
        <v>45448</v>
      </c>
      <c r="E353" s="3" t="s">
        <v>1032</v>
      </c>
      <c r="F353" s="43" t="b">
        <v>1</v>
      </c>
      <c r="G353" s="43" t="b">
        <v>0</v>
      </c>
      <c r="H353" s="44">
        <v>1480</v>
      </c>
    </row>
    <row r="354" spans="1:8" x14ac:dyDescent="0.3">
      <c r="A354" s="42" t="s">
        <v>1543</v>
      </c>
      <c r="B354" s="3" t="s">
        <v>1388</v>
      </c>
      <c r="C354" s="4">
        <f t="shared" ca="1" si="13"/>
        <v>45422</v>
      </c>
      <c r="D354" s="4">
        <f ca="1">TODAY()-587</f>
        <v>45450</v>
      </c>
      <c r="E354" s="3" t="s">
        <v>1032</v>
      </c>
      <c r="F354" s="43" t="b">
        <v>1</v>
      </c>
      <c r="G354" s="43" t="b">
        <v>0</v>
      </c>
      <c r="H354" s="44">
        <v>1040</v>
      </c>
    </row>
    <row r="355" spans="1:8" x14ac:dyDescent="0.3">
      <c r="A355" s="42" t="s">
        <v>1544</v>
      </c>
      <c r="B355" s="3" t="s">
        <v>1545</v>
      </c>
      <c r="C355" s="4">
        <f t="shared" ca="1" si="13"/>
        <v>45422</v>
      </c>
      <c r="D355" s="4">
        <f ca="1">TODAY()-593</f>
        <v>45444</v>
      </c>
      <c r="E355" s="3" t="s">
        <v>1029</v>
      </c>
      <c r="F355" s="43" t="b">
        <v>1</v>
      </c>
      <c r="G355" s="43" t="b">
        <v>1</v>
      </c>
      <c r="H355" s="44">
        <v>250</v>
      </c>
    </row>
    <row r="356" spans="1:8" x14ac:dyDescent="0.3">
      <c r="A356" s="42" t="s">
        <v>1056</v>
      </c>
      <c r="B356" s="3" t="s">
        <v>1540</v>
      </c>
      <c r="C356" s="4">
        <f t="shared" ca="1" si="13"/>
        <v>45422</v>
      </c>
      <c r="D356" s="42"/>
      <c r="E356" s="3" t="s">
        <v>1108</v>
      </c>
      <c r="F356" s="43" t="b">
        <v>0</v>
      </c>
      <c r="G356" s="43" t="b">
        <v>0</v>
      </c>
      <c r="H356" s="44">
        <v>620</v>
      </c>
    </row>
    <row r="357" spans="1:8" x14ac:dyDescent="0.3">
      <c r="A357" s="42" t="s">
        <v>1177</v>
      </c>
      <c r="B357" s="3" t="s">
        <v>1546</v>
      </c>
      <c r="C357" s="4">
        <f t="shared" ca="1" si="13"/>
        <v>45422</v>
      </c>
      <c r="D357" s="4">
        <f ca="1">TODAY()-596</f>
        <v>45441</v>
      </c>
      <c r="E357" s="3" t="s">
        <v>1029</v>
      </c>
      <c r="F357" s="43" t="b">
        <v>1</v>
      </c>
      <c r="G357" s="43" t="b">
        <v>1</v>
      </c>
      <c r="H357" s="44">
        <v>1310</v>
      </c>
    </row>
    <row r="358" spans="1:8" x14ac:dyDescent="0.3">
      <c r="A358" s="42" t="s">
        <v>1223</v>
      </c>
      <c r="B358" s="3" t="s">
        <v>1427</v>
      </c>
      <c r="C358" s="4">
        <f t="shared" ca="1" si="13"/>
        <v>45422</v>
      </c>
      <c r="D358" s="4">
        <f ca="1">TODAY()-586</f>
        <v>45451</v>
      </c>
      <c r="E358" s="3" t="s">
        <v>1029</v>
      </c>
      <c r="F358" s="43" t="b">
        <v>1</v>
      </c>
      <c r="G358" s="43" t="b">
        <v>1</v>
      </c>
      <c r="H358" s="44">
        <v>2360</v>
      </c>
    </row>
    <row r="359" spans="1:8" x14ac:dyDescent="0.3">
      <c r="A359" s="42" t="s">
        <v>1223</v>
      </c>
      <c r="B359" s="3" t="s">
        <v>1427</v>
      </c>
      <c r="C359" s="4">
        <f t="shared" ca="1" si="13"/>
        <v>45422</v>
      </c>
      <c r="D359" s="4">
        <f ca="1">TODAY()-588</f>
        <v>45449</v>
      </c>
      <c r="E359" s="3" t="s">
        <v>1029</v>
      </c>
      <c r="F359" s="43" t="b">
        <v>1</v>
      </c>
      <c r="G359" s="43" t="b">
        <v>1</v>
      </c>
      <c r="H359" s="44">
        <v>2360</v>
      </c>
    </row>
    <row r="360" spans="1:8" x14ac:dyDescent="0.3">
      <c r="A360" s="42" t="s">
        <v>1099</v>
      </c>
      <c r="B360" s="3" t="s">
        <v>1100</v>
      </c>
      <c r="C360" s="4">
        <f t="shared" ca="1" si="13"/>
        <v>45422</v>
      </c>
      <c r="D360" s="42"/>
      <c r="E360" s="3" t="s">
        <v>1101</v>
      </c>
      <c r="F360" s="43" t="b">
        <v>0</v>
      </c>
      <c r="G360" s="43" t="b">
        <v>0</v>
      </c>
      <c r="H360" s="44">
        <v>1040</v>
      </c>
    </row>
    <row r="361" spans="1:8" x14ac:dyDescent="0.3">
      <c r="A361" s="42" t="s">
        <v>1547</v>
      </c>
      <c r="B361" s="3" t="s">
        <v>1548</v>
      </c>
      <c r="C361" s="4">
        <f t="shared" ca="1" si="13"/>
        <v>45422</v>
      </c>
      <c r="D361" s="4">
        <f ca="1">TODAY()-601</f>
        <v>45436</v>
      </c>
      <c r="E361" s="3" t="s">
        <v>1032</v>
      </c>
      <c r="F361" s="43" t="b">
        <v>1</v>
      </c>
      <c r="G361" s="43" t="b">
        <v>0</v>
      </c>
      <c r="H361" s="44">
        <v>1680</v>
      </c>
    </row>
    <row r="362" spans="1:8" x14ac:dyDescent="0.3">
      <c r="A362" s="42" t="s">
        <v>1549</v>
      </c>
      <c r="B362" s="3" t="s">
        <v>1550</v>
      </c>
      <c r="C362" s="4">
        <f t="shared" ca="1" si="13"/>
        <v>45422</v>
      </c>
      <c r="D362" s="4">
        <f ca="1">TODAY()-594</f>
        <v>45443</v>
      </c>
      <c r="E362" s="3" t="s">
        <v>1032</v>
      </c>
      <c r="F362" s="43" t="b">
        <v>1</v>
      </c>
      <c r="G362" s="43" t="b">
        <v>0</v>
      </c>
      <c r="H362" s="44">
        <v>610</v>
      </c>
    </row>
    <row r="363" spans="1:8" x14ac:dyDescent="0.3">
      <c r="A363" s="42" t="s">
        <v>1551</v>
      </c>
      <c r="B363" s="3" t="s">
        <v>1552</v>
      </c>
      <c r="C363" s="4">
        <f t="shared" ca="1" si="13"/>
        <v>45422</v>
      </c>
      <c r="D363" s="4">
        <f ca="1">TODAY()-601</f>
        <v>45436</v>
      </c>
      <c r="E363" s="3" t="s">
        <v>1029</v>
      </c>
      <c r="F363" s="43" t="b">
        <v>1</v>
      </c>
      <c r="G363" s="43" t="b">
        <v>1</v>
      </c>
      <c r="H363" s="44">
        <v>2230</v>
      </c>
    </row>
    <row r="364" spans="1:8" x14ac:dyDescent="0.3">
      <c r="A364" s="42" t="s">
        <v>1553</v>
      </c>
      <c r="B364" s="3" t="s">
        <v>1554</v>
      </c>
      <c r="C364" s="4">
        <f t="shared" ca="1" si="13"/>
        <v>45422</v>
      </c>
      <c r="D364" s="4">
        <f ca="1">TODAY()-594</f>
        <v>45443</v>
      </c>
      <c r="E364" s="3" t="s">
        <v>1029</v>
      </c>
      <c r="F364" s="43" t="b">
        <v>1</v>
      </c>
      <c r="G364" s="43" t="b">
        <v>1</v>
      </c>
      <c r="H364" s="44">
        <v>120</v>
      </c>
    </row>
    <row r="365" spans="1:8" x14ac:dyDescent="0.3">
      <c r="A365" s="42" t="s">
        <v>1474</v>
      </c>
      <c r="B365" s="3" t="s">
        <v>1555</v>
      </c>
      <c r="C365" s="4">
        <f t="shared" ca="1" si="13"/>
        <v>45422</v>
      </c>
      <c r="D365" s="4">
        <f t="shared" ref="D365:D366" ca="1" si="14">TODAY()-601</f>
        <v>45436</v>
      </c>
      <c r="E365" s="3" t="s">
        <v>1029</v>
      </c>
      <c r="F365" s="43" t="b">
        <v>1</v>
      </c>
      <c r="G365" s="43" t="b">
        <v>1</v>
      </c>
      <c r="H365" s="44">
        <v>340</v>
      </c>
    </row>
    <row r="366" spans="1:8" x14ac:dyDescent="0.3">
      <c r="A366" s="42" t="s">
        <v>1556</v>
      </c>
      <c r="B366" s="3" t="s">
        <v>1557</v>
      </c>
      <c r="C366" s="4">
        <f t="shared" ca="1" si="13"/>
        <v>45422</v>
      </c>
      <c r="D366" s="4">
        <f t="shared" ca="1" si="14"/>
        <v>45436</v>
      </c>
      <c r="E366" s="3" t="s">
        <v>1032</v>
      </c>
      <c r="F366" s="43" t="b">
        <v>1</v>
      </c>
      <c r="G366" s="43" t="b">
        <v>0</v>
      </c>
      <c r="H366" s="44">
        <v>1220</v>
      </c>
    </row>
    <row r="367" spans="1:8" x14ac:dyDescent="0.3">
      <c r="A367" s="42" t="s">
        <v>1558</v>
      </c>
      <c r="B367" s="3" t="s">
        <v>1559</v>
      </c>
      <c r="C367" s="4">
        <f t="shared" ca="1" si="13"/>
        <v>45422</v>
      </c>
      <c r="D367" s="4">
        <f ca="1">TODAY()-594</f>
        <v>45443</v>
      </c>
      <c r="E367" s="3" t="s">
        <v>1029</v>
      </c>
      <c r="F367" s="43" t="b">
        <v>1</v>
      </c>
      <c r="G367" s="43" t="b">
        <v>1</v>
      </c>
      <c r="H367" s="44">
        <v>1670</v>
      </c>
    </row>
    <row r="368" spans="1:8" x14ac:dyDescent="0.3">
      <c r="A368" s="42" t="s">
        <v>1167</v>
      </c>
      <c r="B368" s="3" t="s">
        <v>1168</v>
      </c>
      <c r="C368" s="4">
        <f t="shared" ca="1" si="13"/>
        <v>45422</v>
      </c>
      <c r="D368" s="42"/>
      <c r="E368" s="3" t="s">
        <v>1101</v>
      </c>
      <c r="F368" s="43" t="b">
        <v>0</v>
      </c>
      <c r="G368" s="43" t="b">
        <v>0</v>
      </c>
      <c r="H368" s="44">
        <v>250</v>
      </c>
    </row>
    <row r="369" spans="1:8" x14ac:dyDescent="0.3">
      <c r="A369" s="42" t="s">
        <v>1048</v>
      </c>
      <c r="B369" s="3" t="s">
        <v>1540</v>
      </c>
      <c r="C369" s="4">
        <f t="shared" ca="1" si="13"/>
        <v>45422</v>
      </c>
      <c r="D369" s="4">
        <f ca="1">TODAY()-589</f>
        <v>45448</v>
      </c>
      <c r="E369" s="3" t="s">
        <v>1029</v>
      </c>
      <c r="F369" s="43" t="b">
        <v>1</v>
      </c>
      <c r="G369" s="43" t="b">
        <v>1</v>
      </c>
      <c r="H369" s="44">
        <v>1470</v>
      </c>
    </row>
    <row r="370" spans="1:8" x14ac:dyDescent="0.3">
      <c r="A370" s="42" t="s">
        <v>1203</v>
      </c>
      <c r="B370" s="3" t="s">
        <v>1560</v>
      </c>
      <c r="C370" s="4">
        <f t="shared" ca="1" si="13"/>
        <v>45422</v>
      </c>
      <c r="D370" s="42"/>
      <c r="E370" s="3" t="s">
        <v>1070</v>
      </c>
      <c r="F370" s="43" t="b">
        <v>0</v>
      </c>
      <c r="G370" s="43" t="b">
        <v>0</v>
      </c>
      <c r="H370" s="44">
        <v>1250</v>
      </c>
    </row>
    <row r="371" spans="1:8" x14ac:dyDescent="0.3">
      <c r="A371" s="42" t="s">
        <v>1357</v>
      </c>
      <c r="B371" s="3" t="s">
        <v>1561</v>
      </c>
      <c r="C371" s="4">
        <f t="shared" ca="1" si="13"/>
        <v>45422</v>
      </c>
      <c r="D371" s="42"/>
      <c r="E371" s="3" t="s">
        <v>1103</v>
      </c>
      <c r="F371" s="43" t="b">
        <v>0</v>
      </c>
      <c r="G371" s="43" t="b">
        <v>0</v>
      </c>
      <c r="H371" s="44">
        <v>1690</v>
      </c>
    </row>
    <row r="372" spans="1:8" x14ac:dyDescent="0.3">
      <c r="A372" s="42" t="s">
        <v>1562</v>
      </c>
      <c r="B372" s="3" t="s">
        <v>1563</v>
      </c>
      <c r="C372" s="4">
        <f t="shared" ca="1" si="13"/>
        <v>45422</v>
      </c>
      <c r="D372" s="4">
        <f ca="1">TODAY()-592</f>
        <v>45445</v>
      </c>
      <c r="E372" s="3" t="s">
        <v>1032</v>
      </c>
      <c r="F372" s="43" t="b">
        <v>1</v>
      </c>
      <c r="G372" s="43" t="b">
        <v>0</v>
      </c>
      <c r="H372" s="44">
        <v>2400</v>
      </c>
    </row>
    <row r="373" spans="1:8" x14ac:dyDescent="0.3">
      <c r="A373" s="42" t="s">
        <v>1564</v>
      </c>
      <c r="B373" s="3" t="s">
        <v>1565</v>
      </c>
      <c r="C373" s="4">
        <f t="shared" ca="1" si="13"/>
        <v>45422</v>
      </c>
      <c r="D373" s="42"/>
      <c r="E373" s="3" t="s">
        <v>1101</v>
      </c>
      <c r="F373" s="43" t="b">
        <v>0</v>
      </c>
      <c r="G373" s="43" t="b">
        <v>0</v>
      </c>
      <c r="H373" s="44">
        <v>1120</v>
      </c>
    </row>
    <row r="374" spans="1:8" x14ac:dyDescent="0.3">
      <c r="A374" s="42" t="s">
        <v>1566</v>
      </c>
      <c r="B374" s="3" t="s">
        <v>1567</v>
      </c>
      <c r="C374" s="4">
        <f t="shared" ca="1" si="13"/>
        <v>45422</v>
      </c>
      <c r="D374" s="4">
        <f t="shared" ref="D374:D376" ca="1" si="15">TODAY()-601</f>
        <v>45436</v>
      </c>
      <c r="E374" s="3" t="s">
        <v>1029</v>
      </c>
      <c r="F374" s="43" t="b">
        <v>1</v>
      </c>
      <c r="G374" s="43" t="b">
        <v>1</v>
      </c>
      <c r="H374" s="44">
        <v>650</v>
      </c>
    </row>
    <row r="375" spans="1:8" x14ac:dyDescent="0.3">
      <c r="A375" s="42" t="s">
        <v>1359</v>
      </c>
      <c r="B375" s="3" t="s">
        <v>1360</v>
      </c>
      <c r="C375" s="4">
        <f t="shared" ca="1" si="13"/>
        <v>45422</v>
      </c>
      <c r="D375" s="4">
        <f t="shared" ca="1" si="15"/>
        <v>45436</v>
      </c>
      <c r="E375" s="3" t="s">
        <v>1032</v>
      </c>
      <c r="F375" s="43" t="b">
        <v>1</v>
      </c>
      <c r="G375" s="43" t="b">
        <v>0</v>
      </c>
      <c r="H375" s="44">
        <v>520</v>
      </c>
    </row>
    <row r="376" spans="1:8" x14ac:dyDescent="0.3">
      <c r="A376" s="42" t="s">
        <v>1556</v>
      </c>
      <c r="B376" s="3" t="s">
        <v>1568</v>
      </c>
      <c r="C376" s="4">
        <f t="shared" ca="1" si="13"/>
        <v>45422</v>
      </c>
      <c r="D376" s="4">
        <f t="shared" ca="1" si="15"/>
        <v>45436</v>
      </c>
      <c r="E376" s="3" t="s">
        <v>1032</v>
      </c>
      <c r="F376" s="43" t="b">
        <v>1</v>
      </c>
      <c r="G376" s="43" t="b">
        <v>0</v>
      </c>
      <c r="H376" s="44">
        <v>1450</v>
      </c>
    </row>
    <row r="377" spans="1:8" x14ac:dyDescent="0.3">
      <c r="A377" s="42" t="s">
        <v>1569</v>
      </c>
      <c r="B377" s="3" t="s">
        <v>1570</v>
      </c>
      <c r="C377" s="4">
        <f t="shared" ca="1" si="13"/>
        <v>45422</v>
      </c>
      <c r="D377" s="4">
        <f ca="1">TODAY()-594</f>
        <v>45443</v>
      </c>
      <c r="E377" s="3" t="s">
        <v>1032</v>
      </c>
      <c r="F377" s="43" t="b">
        <v>1</v>
      </c>
      <c r="G377" s="43" t="b">
        <v>0</v>
      </c>
      <c r="H377" s="44">
        <v>780</v>
      </c>
    </row>
    <row r="378" spans="1:8" x14ac:dyDescent="0.3">
      <c r="A378" s="42" t="s">
        <v>1320</v>
      </c>
      <c r="B378" s="3" t="s">
        <v>1321</v>
      </c>
      <c r="C378" s="4">
        <f t="shared" ca="1" si="13"/>
        <v>45422</v>
      </c>
      <c r="D378" s="4">
        <f ca="1">TODAY()-586</f>
        <v>45451</v>
      </c>
      <c r="E378" s="3" t="s">
        <v>1029</v>
      </c>
      <c r="F378" s="43" t="b">
        <v>1</v>
      </c>
      <c r="G378" s="43" t="b">
        <v>1</v>
      </c>
      <c r="H378" s="44">
        <v>1080</v>
      </c>
    </row>
    <row r="379" spans="1:8" x14ac:dyDescent="0.3">
      <c r="A379" s="42" t="s">
        <v>1571</v>
      </c>
      <c r="B379" s="3" t="s">
        <v>1432</v>
      </c>
      <c r="C379" s="4">
        <f t="shared" ca="1" si="13"/>
        <v>45422</v>
      </c>
      <c r="D379" s="4">
        <f ca="1">TODAY()-597</f>
        <v>45440</v>
      </c>
      <c r="E379" s="3" t="s">
        <v>1029</v>
      </c>
      <c r="F379" s="43" t="b">
        <v>1</v>
      </c>
      <c r="G379" s="43" t="b">
        <v>1</v>
      </c>
      <c r="H379" s="44">
        <v>1050</v>
      </c>
    </row>
    <row r="380" spans="1:8" x14ac:dyDescent="0.3">
      <c r="A380" s="42" t="s">
        <v>1334</v>
      </c>
      <c r="B380" s="3" t="s">
        <v>1222</v>
      </c>
      <c r="C380" s="4">
        <f t="shared" ca="1" si="13"/>
        <v>45422</v>
      </c>
      <c r="D380" s="42"/>
      <c r="E380" s="3" t="s">
        <v>1108</v>
      </c>
      <c r="F380" s="43" t="b">
        <v>0</v>
      </c>
      <c r="G380" s="43" t="b">
        <v>0</v>
      </c>
      <c r="H380" s="44">
        <v>2230</v>
      </c>
    </row>
    <row r="381" spans="1:8" x14ac:dyDescent="0.3">
      <c r="A381" s="42" t="s">
        <v>1044</v>
      </c>
      <c r="B381" s="3" t="s">
        <v>1572</v>
      </c>
      <c r="C381" s="4">
        <f t="shared" ca="1" si="13"/>
        <v>45422</v>
      </c>
      <c r="D381" s="4">
        <f ca="1">TODAY()-586</f>
        <v>45451</v>
      </c>
      <c r="E381" s="3" t="s">
        <v>1029</v>
      </c>
      <c r="F381" s="43" t="b">
        <v>1</v>
      </c>
      <c r="G381" s="43" t="b">
        <v>1</v>
      </c>
      <c r="H381" s="44">
        <v>360</v>
      </c>
    </row>
    <row r="382" spans="1:8" x14ac:dyDescent="0.3">
      <c r="A382" s="42" t="s">
        <v>1361</v>
      </c>
      <c r="B382" s="3" t="s">
        <v>1362</v>
      </c>
      <c r="C382" s="4">
        <f t="shared" ca="1" si="13"/>
        <v>45422</v>
      </c>
      <c r="D382" s="4">
        <f ca="1">TODAY()-600</f>
        <v>45437</v>
      </c>
      <c r="E382" s="3" t="s">
        <v>1032</v>
      </c>
      <c r="F382" s="43" t="b">
        <v>1</v>
      </c>
      <c r="G382" s="43" t="b">
        <v>0</v>
      </c>
      <c r="H382" s="44">
        <v>1540</v>
      </c>
    </row>
    <row r="383" spans="1:8" x14ac:dyDescent="0.3">
      <c r="A383" s="42" t="s">
        <v>1292</v>
      </c>
      <c r="B383" s="3" t="s">
        <v>1293</v>
      </c>
      <c r="C383" s="4">
        <f t="shared" ca="1" si="13"/>
        <v>45422</v>
      </c>
      <c r="D383" s="4">
        <f t="shared" ref="D383:D384" ca="1" si="16">TODAY()-589</f>
        <v>45448</v>
      </c>
      <c r="E383" s="3" t="s">
        <v>1029</v>
      </c>
      <c r="F383" s="43" t="b">
        <v>1</v>
      </c>
      <c r="G383" s="43" t="b">
        <v>1</v>
      </c>
      <c r="H383" s="44">
        <v>930</v>
      </c>
    </row>
    <row r="384" spans="1:8" x14ac:dyDescent="0.3">
      <c r="A384" s="42" t="s">
        <v>1262</v>
      </c>
      <c r="B384" s="3" t="s">
        <v>1573</v>
      </c>
      <c r="C384" s="4">
        <f t="shared" ca="1" si="13"/>
        <v>45422</v>
      </c>
      <c r="D384" s="4">
        <f t="shared" ca="1" si="16"/>
        <v>45448</v>
      </c>
      <c r="E384" s="3" t="s">
        <v>1029</v>
      </c>
      <c r="F384" s="43" t="b">
        <v>1</v>
      </c>
      <c r="G384" s="43" t="b">
        <v>1</v>
      </c>
      <c r="H384" s="44">
        <v>1120</v>
      </c>
    </row>
    <row r="385" spans="1:8" x14ac:dyDescent="0.3">
      <c r="A385" s="42" t="s">
        <v>1524</v>
      </c>
      <c r="B385" s="3" t="s">
        <v>1574</v>
      </c>
      <c r="C385" s="4">
        <f t="shared" ca="1" si="13"/>
        <v>45422</v>
      </c>
      <c r="D385" s="4">
        <f ca="1">TODAY()-605</f>
        <v>45432</v>
      </c>
      <c r="E385" s="3" t="s">
        <v>1029</v>
      </c>
      <c r="F385" s="43" t="b">
        <v>1</v>
      </c>
      <c r="G385" s="43" t="b">
        <v>1</v>
      </c>
      <c r="H385" s="44">
        <v>530</v>
      </c>
    </row>
    <row r="386" spans="1:8" x14ac:dyDescent="0.3">
      <c r="A386" s="42" t="s">
        <v>1490</v>
      </c>
      <c r="B386" s="3" t="s">
        <v>1575</v>
      </c>
      <c r="C386" s="4">
        <f t="shared" ca="1" si="13"/>
        <v>45422</v>
      </c>
      <c r="D386" s="4">
        <f ca="1">TODAY()-590</f>
        <v>45447</v>
      </c>
      <c r="E386" s="3" t="s">
        <v>1029</v>
      </c>
      <c r="F386" s="43" t="b">
        <v>1</v>
      </c>
      <c r="G386" s="43" t="b">
        <v>1</v>
      </c>
      <c r="H386" s="44">
        <v>910</v>
      </c>
    </row>
    <row r="387" spans="1:8" x14ac:dyDescent="0.3">
      <c r="A387" s="42" t="s">
        <v>1576</v>
      </c>
      <c r="B387" s="3" t="s">
        <v>1577</v>
      </c>
      <c r="C387" s="4">
        <f t="shared" ca="1" si="13"/>
        <v>45422</v>
      </c>
      <c r="D387" s="42"/>
      <c r="E387" s="3" t="s">
        <v>1077</v>
      </c>
      <c r="F387" s="43" t="b">
        <v>0</v>
      </c>
      <c r="G387" s="43" t="b">
        <v>0</v>
      </c>
      <c r="H387" s="44">
        <v>590</v>
      </c>
    </row>
    <row r="388" spans="1:8" x14ac:dyDescent="0.3">
      <c r="A388" s="42" t="s">
        <v>1578</v>
      </c>
      <c r="B388" s="3" t="s">
        <v>1579</v>
      </c>
      <c r="C388" s="4">
        <f t="shared" ca="1" si="13"/>
        <v>45422</v>
      </c>
      <c r="D388" s="4">
        <f ca="1">TODAY()-602</f>
        <v>45435</v>
      </c>
      <c r="E388" s="3" t="s">
        <v>1032</v>
      </c>
      <c r="F388" s="43" t="b">
        <v>1</v>
      </c>
      <c r="G388" s="43" t="b">
        <v>0</v>
      </c>
      <c r="H388" s="44">
        <v>2440</v>
      </c>
    </row>
    <row r="389" spans="1:8" x14ac:dyDescent="0.3">
      <c r="A389" s="42" t="s">
        <v>1205</v>
      </c>
      <c r="B389" s="3" t="s">
        <v>1580</v>
      </c>
      <c r="C389" s="4">
        <f t="shared" ca="1" si="13"/>
        <v>45422</v>
      </c>
      <c r="D389" s="4">
        <f ca="1">TODAY()-587</f>
        <v>45450</v>
      </c>
      <c r="E389" s="3" t="s">
        <v>1032</v>
      </c>
      <c r="F389" s="43" t="b">
        <v>1</v>
      </c>
      <c r="G389" s="43" t="b">
        <v>0</v>
      </c>
      <c r="H389" s="44">
        <v>1190</v>
      </c>
    </row>
    <row r="390" spans="1:8" x14ac:dyDescent="0.3">
      <c r="A390" s="42" t="s">
        <v>1237</v>
      </c>
      <c r="B390" s="3" t="s">
        <v>1201</v>
      </c>
      <c r="C390" s="4">
        <f t="shared" ca="1" si="13"/>
        <v>45422</v>
      </c>
      <c r="D390" s="4">
        <f ca="1">TODAY()-598</f>
        <v>45439</v>
      </c>
      <c r="E390" s="3" t="s">
        <v>1032</v>
      </c>
      <c r="F390" s="43" t="b">
        <v>1</v>
      </c>
      <c r="G390" s="43" t="b">
        <v>0</v>
      </c>
      <c r="H390" s="44">
        <v>510</v>
      </c>
    </row>
    <row r="391" spans="1:8" x14ac:dyDescent="0.3">
      <c r="A391" s="42" t="s">
        <v>1581</v>
      </c>
      <c r="B391" s="3" t="s">
        <v>1582</v>
      </c>
      <c r="C391" s="4">
        <f t="shared" ca="1" si="13"/>
        <v>45422</v>
      </c>
      <c r="D391" s="4">
        <f ca="1">TODAY()-588</f>
        <v>45449</v>
      </c>
      <c r="E391" s="3" t="s">
        <v>1032</v>
      </c>
      <c r="F391" s="43" t="b">
        <v>1</v>
      </c>
      <c r="G391" s="43" t="b">
        <v>0</v>
      </c>
      <c r="H391" s="44">
        <v>820</v>
      </c>
    </row>
    <row r="392" spans="1:8" x14ac:dyDescent="0.3">
      <c r="A392" s="42" t="s">
        <v>1583</v>
      </c>
      <c r="B392" s="3" t="s">
        <v>1584</v>
      </c>
      <c r="C392" s="4">
        <f t="shared" ca="1" si="13"/>
        <v>45422</v>
      </c>
      <c r="D392" s="4">
        <f ca="1">TODAY()-598</f>
        <v>45439</v>
      </c>
      <c r="E392" s="3" t="s">
        <v>1032</v>
      </c>
      <c r="F392" s="43" t="b">
        <v>1</v>
      </c>
      <c r="G392" s="43" t="b">
        <v>0</v>
      </c>
      <c r="H392" s="44">
        <v>1750</v>
      </c>
    </row>
    <row r="393" spans="1:8" x14ac:dyDescent="0.3">
      <c r="A393" s="42" t="s">
        <v>1423</v>
      </c>
      <c r="B393" s="3" t="s">
        <v>1424</v>
      </c>
      <c r="C393" s="4">
        <f t="shared" ca="1" si="13"/>
        <v>45422</v>
      </c>
      <c r="D393" s="4">
        <f ca="1">TODAY()-605</f>
        <v>45432</v>
      </c>
      <c r="E393" s="3" t="s">
        <v>1029</v>
      </c>
      <c r="F393" s="43" t="b">
        <v>1</v>
      </c>
      <c r="G393" s="43" t="b">
        <v>1</v>
      </c>
      <c r="H393" s="44">
        <v>1740</v>
      </c>
    </row>
    <row r="394" spans="1:8" x14ac:dyDescent="0.3">
      <c r="A394" s="42" t="s">
        <v>1444</v>
      </c>
      <c r="B394" s="3" t="s">
        <v>1585</v>
      </c>
      <c r="C394" s="4">
        <f t="shared" ca="1" si="13"/>
        <v>45422</v>
      </c>
      <c r="D394" s="4">
        <f t="shared" ref="D394:D395" ca="1" si="17">TODAY()-595</f>
        <v>45442</v>
      </c>
      <c r="E394" s="3" t="s">
        <v>1029</v>
      </c>
      <c r="F394" s="43" t="b">
        <v>1</v>
      </c>
      <c r="G394" s="43" t="b">
        <v>1</v>
      </c>
      <c r="H394" s="44">
        <v>1340</v>
      </c>
    </row>
    <row r="395" spans="1:8" x14ac:dyDescent="0.3">
      <c r="A395" s="42" t="s">
        <v>1564</v>
      </c>
      <c r="B395" s="3" t="s">
        <v>1586</v>
      </c>
      <c r="C395" s="4">
        <f t="shared" ca="1" si="13"/>
        <v>45422</v>
      </c>
      <c r="D395" s="4">
        <f t="shared" ca="1" si="17"/>
        <v>45442</v>
      </c>
      <c r="E395" s="3" t="s">
        <v>1029</v>
      </c>
      <c r="F395" s="43" t="b">
        <v>1</v>
      </c>
      <c r="G395" s="43" t="b">
        <v>1</v>
      </c>
      <c r="H395" s="44">
        <v>2010</v>
      </c>
    </row>
    <row r="396" spans="1:8" x14ac:dyDescent="0.3">
      <c r="A396" s="42" t="s">
        <v>1171</v>
      </c>
      <c r="B396" s="3" t="s">
        <v>1587</v>
      </c>
      <c r="C396" s="4">
        <f t="shared" ca="1" si="13"/>
        <v>45422</v>
      </c>
      <c r="D396" s="42"/>
      <c r="E396" s="3" t="s">
        <v>1070</v>
      </c>
      <c r="F396" s="43" t="b">
        <v>0</v>
      </c>
      <c r="G396" s="43" t="b">
        <v>0</v>
      </c>
      <c r="H396" s="44">
        <v>400</v>
      </c>
    </row>
    <row r="397" spans="1:8" x14ac:dyDescent="0.3">
      <c r="A397" s="42" t="s">
        <v>1315</v>
      </c>
      <c r="B397" s="3" t="s">
        <v>1588</v>
      </c>
      <c r="C397" s="4">
        <f t="shared" ca="1" si="13"/>
        <v>45422</v>
      </c>
      <c r="D397" s="4">
        <f ca="1">TODAY()-604</f>
        <v>45433</v>
      </c>
      <c r="E397" s="3" t="s">
        <v>1032</v>
      </c>
      <c r="F397" s="43" t="b">
        <v>1</v>
      </c>
      <c r="G397" s="43" t="b">
        <v>0</v>
      </c>
      <c r="H397" s="44">
        <v>1680</v>
      </c>
    </row>
    <row r="398" spans="1:8" x14ac:dyDescent="0.3">
      <c r="A398" s="42" t="s">
        <v>1194</v>
      </c>
      <c r="B398" s="3" t="s">
        <v>1195</v>
      </c>
      <c r="C398" s="4">
        <f t="shared" ca="1" si="13"/>
        <v>45422</v>
      </c>
      <c r="D398" s="4">
        <f ca="1">TODAY()-602</f>
        <v>45435</v>
      </c>
      <c r="E398" s="3" t="s">
        <v>1032</v>
      </c>
      <c r="F398" s="43" t="b">
        <v>1</v>
      </c>
      <c r="G398" s="43" t="b">
        <v>0</v>
      </c>
      <c r="H398" s="44">
        <v>1600</v>
      </c>
    </row>
    <row r="399" spans="1:8" x14ac:dyDescent="0.3">
      <c r="A399" s="42" t="s">
        <v>1482</v>
      </c>
      <c r="B399" s="3" t="s">
        <v>1483</v>
      </c>
      <c r="C399" s="4">
        <f t="shared" ca="1" si="13"/>
        <v>45422</v>
      </c>
      <c r="D399" s="4">
        <f ca="1">TODAY()-605</f>
        <v>45432</v>
      </c>
      <c r="E399" s="3" t="s">
        <v>1032</v>
      </c>
      <c r="F399" s="43" t="b">
        <v>1</v>
      </c>
      <c r="G399" s="43" t="b">
        <v>0</v>
      </c>
      <c r="H399" s="44">
        <v>1150</v>
      </c>
    </row>
    <row r="400" spans="1:8" x14ac:dyDescent="0.3">
      <c r="A400" s="42" t="s">
        <v>1359</v>
      </c>
      <c r="B400" s="3" t="s">
        <v>1360</v>
      </c>
      <c r="C400" s="4">
        <f t="shared" ca="1" si="13"/>
        <v>45422</v>
      </c>
      <c r="D400" s="4">
        <f ca="1">TODAY()-603</f>
        <v>45434</v>
      </c>
      <c r="E400" s="3" t="s">
        <v>1032</v>
      </c>
      <c r="F400" s="43" t="b">
        <v>1</v>
      </c>
      <c r="G400" s="43" t="b">
        <v>0</v>
      </c>
      <c r="H400" s="44">
        <v>520</v>
      </c>
    </row>
    <row r="401" spans="1:8" x14ac:dyDescent="0.3">
      <c r="A401" s="42" t="s">
        <v>1562</v>
      </c>
      <c r="B401" s="3" t="s">
        <v>1563</v>
      </c>
      <c r="C401" s="4">
        <f t="shared" ca="1" si="13"/>
        <v>45422</v>
      </c>
      <c r="D401" s="4">
        <f t="shared" ref="D401:D402" ca="1" si="18">TODAY()-604</f>
        <v>45433</v>
      </c>
      <c r="E401" s="3" t="s">
        <v>1032</v>
      </c>
      <c r="F401" s="43" t="b">
        <v>1</v>
      </c>
      <c r="G401" s="43" t="b">
        <v>0</v>
      </c>
      <c r="H401" s="44">
        <v>2400</v>
      </c>
    </row>
    <row r="402" spans="1:8" x14ac:dyDescent="0.3">
      <c r="A402" s="42" t="s">
        <v>1510</v>
      </c>
      <c r="B402" s="3" t="s">
        <v>1589</v>
      </c>
      <c r="C402" s="4">
        <f t="shared" ca="1" si="13"/>
        <v>45422</v>
      </c>
      <c r="D402" s="4">
        <f t="shared" ca="1" si="18"/>
        <v>45433</v>
      </c>
      <c r="E402" s="3" t="s">
        <v>1032</v>
      </c>
      <c r="F402" s="43" t="b">
        <v>1</v>
      </c>
      <c r="G402" s="43" t="b">
        <v>0</v>
      </c>
      <c r="H402" s="44">
        <v>820</v>
      </c>
    </row>
    <row r="403" spans="1:8" x14ac:dyDescent="0.3">
      <c r="A403" s="42" t="s">
        <v>1145</v>
      </c>
      <c r="B403" s="3" t="s">
        <v>1146</v>
      </c>
      <c r="C403" s="4">
        <f t="shared" ca="1" si="13"/>
        <v>45422</v>
      </c>
      <c r="D403" s="42"/>
      <c r="E403" s="3" t="s">
        <v>1077</v>
      </c>
      <c r="F403" s="43" t="b">
        <v>0</v>
      </c>
      <c r="G403" s="43" t="b">
        <v>0</v>
      </c>
      <c r="H403" s="44">
        <v>950</v>
      </c>
    </row>
    <row r="404" spans="1:8" x14ac:dyDescent="0.3">
      <c r="A404" s="42" t="s">
        <v>1366</v>
      </c>
      <c r="B404" s="3" t="s">
        <v>1590</v>
      </c>
      <c r="C404" s="4">
        <f t="shared" ca="1" si="13"/>
        <v>45422</v>
      </c>
      <c r="D404" s="4">
        <f ca="1">TODAY()-599</f>
        <v>45438</v>
      </c>
      <c r="E404" s="3" t="s">
        <v>1032</v>
      </c>
      <c r="F404" s="43" t="b">
        <v>1</v>
      </c>
      <c r="G404" s="43" t="b">
        <v>0</v>
      </c>
      <c r="H404" s="44">
        <v>1960</v>
      </c>
    </row>
    <row r="405" spans="1:8" x14ac:dyDescent="0.3">
      <c r="A405" s="42" t="s">
        <v>1591</v>
      </c>
      <c r="B405" s="3" t="s">
        <v>1592</v>
      </c>
      <c r="C405" s="4">
        <f t="shared" ca="1" si="13"/>
        <v>45422</v>
      </c>
      <c r="D405" s="4">
        <f ca="1">TODAY()-591</f>
        <v>45446</v>
      </c>
      <c r="E405" s="3" t="s">
        <v>1029</v>
      </c>
      <c r="F405" s="43" t="b">
        <v>1</v>
      </c>
      <c r="G405" s="43" t="b">
        <v>1</v>
      </c>
      <c r="H405" s="44">
        <v>1300</v>
      </c>
    </row>
    <row r="406" spans="1:8" x14ac:dyDescent="0.3">
      <c r="A406" s="42" t="s">
        <v>1593</v>
      </c>
      <c r="B406" s="3" t="s">
        <v>1293</v>
      </c>
      <c r="C406" s="4">
        <f t="shared" ca="1" si="13"/>
        <v>45422</v>
      </c>
      <c r="D406" s="42"/>
      <c r="E406" s="3" t="s">
        <v>1108</v>
      </c>
      <c r="F406" s="43" t="b">
        <v>0</v>
      </c>
      <c r="G406" s="43" t="b">
        <v>0</v>
      </c>
      <c r="H406" s="44">
        <v>430</v>
      </c>
    </row>
    <row r="407" spans="1:8" x14ac:dyDescent="0.3">
      <c r="A407" s="42" t="s">
        <v>1594</v>
      </c>
      <c r="B407" s="3" t="s">
        <v>1275</v>
      </c>
      <c r="C407" s="4">
        <f t="shared" ca="1" si="13"/>
        <v>45422</v>
      </c>
      <c r="D407" s="4">
        <f ca="1">TODAY()-602</f>
        <v>45435</v>
      </c>
      <c r="E407" s="3" t="s">
        <v>1029</v>
      </c>
      <c r="F407" s="43" t="b">
        <v>1</v>
      </c>
      <c r="G407" s="43" t="b">
        <v>1</v>
      </c>
      <c r="H407" s="44">
        <v>4920</v>
      </c>
    </row>
    <row r="408" spans="1:8" x14ac:dyDescent="0.3">
      <c r="A408" s="42" t="s">
        <v>1595</v>
      </c>
      <c r="B408" s="3" t="s">
        <v>1596</v>
      </c>
      <c r="C408" s="4">
        <f t="shared" ca="1" si="13"/>
        <v>45422</v>
      </c>
      <c r="D408" s="4">
        <f ca="1">TODAY()-591</f>
        <v>45446</v>
      </c>
      <c r="E408" s="3" t="s">
        <v>1029</v>
      </c>
      <c r="F408" s="43" t="b">
        <v>1</v>
      </c>
      <c r="G408" s="43" t="b">
        <v>1</v>
      </c>
      <c r="H408" s="44">
        <v>2400</v>
      </c>
    </row>
    <row r="409" spans="1:8" x14ac:dyDescent="0.3">
      <c r="A409" s="42" t="s">
        <v>1330</v>
      </c>
      <c r="B409" s="3" t="s">
        <v>1331</v>
      </c>
      <c r="C409" s="4">
        <f t="shared" ca="1" si="13"/>
        <v>45422</v>
      </c>
      <c r="D409" s="42"/>
      <c r="E409" s="3" t="s">
        <v>1101</v>
      </c>
      <c r="F409" s="43" t="b">
        <v>0</v>
      </c>
      <c r="G409" s="43" t="b">
        <v>0</v>
      </c>
      <c r="H409" s="44">
        <v>1430</v>
      </c>
    </row>
    <row r="410" spans="1:8" x14ac:dyDescent="0.3">
      <c r="A410" s="42" t="s">
        <v>1276</v>
      </c>
      <c r="B410" s="3" t="s">
        <v>1114</v>
      </c>
      <c r="C410" s="4">
        <f t="shared" ca="1" si="13"/>
        <v>45422</v>
      </c>
      <c r="D410" s="42"/>
      <c r="E410" s="3" t="s">
        <v>1077</v>
      </c>
      <c r="F410" s="43" t="b">
        <v>0</v>
      </c>
      <c r="G410" s="43" t="b">
        <v>0</v>
      </c>
      <c r="H410" s="44">
        <v>550</v>
      </c>
    </row>
    <row r="411" spans="1:8" x14ac:dyDescent="0.3">
      <c r="A411" s="42" t="s">
        <v>1283</v>
      </c>
      <c r="B411" s="3" t="s">
        <v>1284</v>
      </c>
      <c r="C411" s="4">
        <f t="shared" ca="1" si="13"/>
        <v>45422</v>
      </c>
      <c r="D411" s="4">
        <f ca="1">TODAY()-605</f>
        <v>45432</v>
      </c>
      <c r="E411" s="3" t="s">
        <v>1029</v>
      </c>
      <c r="F411" s="43" t="b">
        <v>1</v>
      </c>
      <c r="G411" s="43" t="b">
        <v>1</v>
      </c>
      <c r="H411" s="44">
        <v>690</v>
      </c>
    </row>
    <row r="412" spans="1:8" x14ac:dyDescent="0.3">
      <c r="A412" s="42" t="s">
        <v>1535</v>
      </c>
      <c r="B412" s="3" t="s">
        <v>1597</v>
      </c>
      <c r="C412" s="4">
        <f t="shared" ca="1" si="13"/>
        <v>45422</v>
      </c>
      <c r="D412" s="4">
        <f ca="1">TODAY()-600</f>
        <v>45437</v>
      </c>
      <c r="E412" s="3" t="s">
        <v>1029</v>
      </c>
      <c r="F412" s="43" t="b">
        <v>1</v>
      </c>
      <c r="G412" s="43" t="b">
        <v>1</v>
      </c>
      <c r="H412" s="44">
        <v>1480</v>
      </c>
    </row>
    <row r="413" spans="1:8" x14ac:dyDescent="0.3">
      <c r="A413" s="42" t="s">
        <v>1510</v>
      </c>
      <c r="B413" s="3" t="s">
        <v>1511</v>
      </c>
      <c r="C413" s="4">
        <f t="shared" ca="1" si="13"/>
        <v>45422</v>
      </c>
      <c r="D413" s="42"/>
      <c r="E413" s="3" t="s">
        <v>1037</v>
      </c>
      <c r="F413" s="43" t="b">
        <v>0</v>
      </c>
      <c r="G413" s="43" t="b">
        <v>0</v>
      </c>
      <c r="H413" s="44">
        <v>2070</v>
      </c>
    </row>
    <row r="414" spans="1:8" x14ac:dyDescent="0.3">
      <c r="A414" s="42" t="s">
        <v>1249</v>
      </c>
      <c r="B414" s="3" t="s">
        <v>1250</v>
      </c>
      <c r="C414" s="4">
        <f t="shared" ca="1" si="13"/>
        <v>45422</v>
      </c>
      <c r="D414" s="4">
        <f ca="1">TODAY()-586</f>
        <v>45451</v>
      </c>
      <c r="E414" s="3" t="s">
        <v>1029</v>
      </c>
      <c r="F414" s="43" t="b">
        <v>1</v>
      </c>
      <c r="G414" s="43" t="b">
        <v>1</v>
      </c>
      <c r="H414" s="44">
        <v>630</v>
      </c>
    </row>
    <row r="415" spans="1:8" x14ac:dyDescent="0.3">
      <c r="A415" s="42" t="s">
        <v>1302</v>
      </c>
      <c r="B415" s="3" t="s">
        <v>1303</v>
      </c>
      <c r="C415" s="4">
        <f t="shared" ca="1" si="13"/>
        <v>45422</v>
      </c>
      <c r="D415" s="4">
        <f ca="1">TODAY()-598</f>
        <v>45439</v>
      </c>
      <c r="E415" s="3" t="s">
        <v>1029</v>
      </c>
      <c r="F415" s="43" t="b">
        <v>1</v>
      </c>
      <c r="G415" s="43" t="b">
        <v>1</v>
      </c>
      <c r="H415" s="44">
        <v>420</v>
      </c>
    </row>
    <row r="416" spans="1:8" x14ac:dyDescent="0.3">
      <c r="A416" s="42" t="s">
        <v>1598</v>
      </c>
      <c r="B416" s="3" t="s">
        <v>1275</v>
      </c>
      <c r="C416" s="4">
        <f t="shared" ca="1" si="13"/>
        <v>45422</v>
      </c>
      <c r="D416" s="4">
        <f ca="1">TODAY()-591</f>
        <v>45446</v>
      </c>
      <c r="E416" s="3" t="s">
        <v>1029</v>
      </c>
      <c r="F416" s="43" t="b">
        <v>1</v>
      </c>
      <c r="G416" s="43" t="b">
        <v>1</v>
      </c>
      <c r="H416" s="44">
        <v>1570</v>
      </c>
    </row>
    <row r="417" spans="1:8" x14ac:dyDescent="0.3">
      <c r="A417" s="42" t="s">
        <v>1033</v>
      </c>
      <c r="B417" s="3" t="s">
        <v>1457</v>
      </c>
      <c r="C417" s="4">
        <f t="shared" ca="1" si="13"/>
        <v>45422</v>
      </c>
      <c r="D417" s="4">
        <f ca="1">TODAY()-599</f>
        <v>45438</v>
      </c>
      <c r="E417" s="3" t="s">
        <v>1032</v>
      </c>
      <c r="F417" s="43" t="b">
        <v>1</v>
      </c>
      <c r="G417" s="43" t="b">
        <v>0</v>
      </c>
      <c r="H417" s="44">
        <v>550</v>
      </c>
    </row>
    <row r="418" spans="1:8" x14ac:dyDescent="0.3">
      <c r="A418" s="42" t="s">
        <v>1599</v>
      </c>
      <c r="B418" s="3" t="s">
        <v>1600</v>
      </c>
      <c r="C418" s="4">
        <f t="shared" ca="1" si="13"/>
        <v>45422</v>
      </c>
      <c r="D418" s="42"/>
      <c r="E418" s="3" t="s">
        <v>1037</v>
      </c>
      <c r="F418" s="43" t="b">
        <v>0</v>
      </c>
      <c r="G418" s="43" t="b">
        <v>0</v>
      </c>
      <c r="H418" s="44">
        <v>170</v>
      </c>
    </row>
    <row r="419" spans="1:8" x14ac:dyDescent="0.3">
      <c r="A419" s="42" t="s">
        <v>1601</v>
      </c>
      <c r="B419" s="3" t="s">
        <v>1602</v>
      </c>
      <c r="C419" s="4">
        <f t="shared" ref="C419:C508" ca="1" si="19">TODAY()-584</f>
        <v>45453</v>
      </c>
      <c r="D419" s="42"/>
      <c r="E419" s="3" t="s">
        <v>1108</v>
      </c>
      <c r="F419" s="43" t="b">
        <v>0</v>
      </c>
      <c r="G419" s="43" t="b">
        <v>0</v>
      </c>
      <c r="H419" s="44">
        <v>2340</v>
      </c>
    </row>
    <row r="420" spans="1:8" x14ac:dyDescent="0.3">
      <c r="A420" s="42" t="s">
        <v>1089</v>
      </c>
      <c r="B420" s="3" t="s">
        <v>1222</v>
      </c>
      <c r="C420" s="4">
        <f t="shared" ca="1" si="19"/>
        <v>45453</v>
      </c>
      <c r="D420" s="42"/>
      <c r="E420" s="3" t="s">
        <v>1103</v>
      </c>
      <c r="F420" s="43" t="b">
        <v>0</v>
      </c>
      <c r="G420" s="43" t="b">
        <v>0</v>
      </c>
      <c r="H420" s="44">
        <v>1440</v>
      </c>
    </row>
    <row r="421" spans="1:8" x14ac:dyDescent="0.3">
      <c r="A421" s="42" t="s">
        <v>1304</v>
      </c>
      <c r="B421" s="3" t="s">
        <v>1222</v>
      </c>
      <c r="C421" s="4">
        <f t="shared" ca="1" si="19"/>
        <v>45453</v>
      </c>
      <c r="D421" s="4">
        <f ca="1">TODAY()-566</f>
        <v>45471</v>
      </c>
      <c r="E421" s="3" t="s">
        <v>1029</v>
      </c>
      <c r="F421" s="43" t="b">
        <v>1</v>
      </c>
      <c r="G421" s="43" t="b">
        <v>1</v>
      </c>
      <c r="H421" s="44">
        <v>3370</v>
      </c>
    </row>
    <row r="422" spans="1:8" x14ac:dyDescent="0.3">
      <c r="A422" s="42" t="s">
        <v>1151</v>
      </c>
      <c r="B422" s="3" t="s">
        <v>1152</v>
      </c>
      <c r="C422" s="4">
        <f t="shared" ca="1" si="19"/>
        <v>45453</v>
      </c>
      <c r="D422" s="4">
        <f ca="1">TODAY()-572</f>
        <v>45465</v>
      </c>
      <c r="E422" s="3" t="s">
        <v>1032</v>
      </c>
      <c r="F422" s="43" t="b">
        <v>1</v>
      </c>
      <c r="G422" s="43" t="b">
        <v>0</v>
      </c>
      <c r="H422" s="44">
        <v>2260</v>
      </c>
    </row>
    <row r="423" spans="1:8" x14ac:dyDescent="0.3">
      <c r="A423" s="42" t="s">
        <v>1603</v>
      </c>
      <c r="B423" s="3" t="s">
        <v>1604</v>
      </c>
      <c r="C423" s="4">
        <f t="shared" ca="1" si="19"/>
        <v>45453</v>
      </c>
      <c r="D423" s="4">
        <f ca="1">TODAY()-565</f>
        <v>45472</v>
      </c>
      <c r="E423" s="3" t="s">
        <v>1029</v>
      </c>
      <c r="F423" s="43" t="b">
        <v>1</v>
      </c>
      <c r="G423" s="43" t="b">
        <v>1</v>
      </c>
      <c r="H423" s="44">
        <v>720</v>
      </c>
    </row>
    <row r="424" spans="1:8" x14ac:dyDescent="0.3">
      <c r="A424" s="42" t="s">
        <v>1165</v>
      </c>
      <c r="B424" s="3" t="s">
        <v>1166</v>
      </c>
      <c r="C424" s="4">
        <f t="shared" ca="1" si="19"/>
        <v>45453</v>
      </c>
      <c r="D424" s="4">
        <f ca="1">TODAY()-560</f>
        <v>45477</v>
      </c>
      <c r="E424" s="3" t="s">
        <v>1032</v>
      </c>
      <c r="F424" s="43" t="b">
        <v>1</v>
      </c>
      <c r="G424" s="43" t="b">
        <v>0</v>
      </c>
      <c r="H424" s="44">
        <v>1140</v>
      </c>
    </row>
    <row r="425" spans="1:8" x14ac:dyDescent="0.3">
      <c r="A425" s="42" t="s">
        <v>1605</v>
      </c>
      <c r="B425" s="3" t="s">
        <v>1606</v>
      </c>
      <c r="C425" s="4">
        <f t="shared" ca="1" si="19"/>
        <v>45453</v>
      </c>
      <c r="D425" s="4">
        <f ca="1">TODAY()-569</f>
        <v>45468</v>
      </c>
      <c r="E425" s="3" t="s">
        <v>1029</v>
      </c>
      <c r="F425" s="43" t="b">
        <v>1</v>
      </c>
      <c r="G425" s="43" t="b">
        <v>1</v>
      </c>
      <c r="H425" s="44">
        <v>730</v>
      </c>
    </row>
    <row r="426" spans="1:8" x14ac:dyDescent="0.3">
      <c r="A426" s="42" t="s">
        <v>1139</v>
      </c>
      <c r="B426" s="3" t="s">
        <v>1607</v>
      </c>
      <c r="C426" s="4">
        <f t="shared" ca="1" si="19"/>
        <v>45453</v>
      </c>
      <c r="D426" s="42"/>
      <c r="E426" s="3" t="s">
        <v>1108</v>
      </c>
      <c r="F426" s="43" t="b">
        <v>0</v>
      </c>
      <c r="G426" s="43" t="b">
        <v>0</v>
      </c>
      <c r="H426" s="44">
        <v>510</v>
      </c>
    </row>
    <row r="427" spans="1:8" x14ac:dyDescent="0.3">
      <c r="A427" s="42" t="s">
        <v>1123</v>
      </c>
      <c r="B427" s="3" t="s">
        <v>1124</v>
      </c>
      <c r="C427" s="4">
        <f t="shared" ca="1" si="19"/>
        <v>45453</v>
      </c>
      <c r="D427" s="4">
        <f ca="1">TODAY()-560</f>
        <v>45477</v>
      </c>
      <c r="E427" s="3" t="s">
        <v>1029</v>
      </c>
      <c r="F427" s="43" t="b">
        <v>1</v>
      </c>
      <c r="G427" s="43" t="b">
        <v>1</v>
      </c>
      <c r="H427" s="44">
        <v>3030</v>
      </c>
    </row>
    <row r="428" spans="1:8" x14ac:dyDescent="0.3">
      <c r="A428" s="42" t="s">
        <v>1437</v>
      </c>
      <c r="B428" s="3" t="s">
        <v>1608</v>
      </c>
      <c r="C428" s="4">
        <f t="shared" ca="1" si="19"/>
        <v>45453</v>
      </c>
      <c r="D428" s="4">
        <f ca="1">TODAY()-568</f>
        <v>45469</v>
      </c>
      <c r="E428" s="3" t="s">
        <v>1029</v>
      </c>
      <c r="F428" s="43" t="b">
        <v>1</v>
      </c>
      <c r="G428" s="43" t="b">
        <v>1</v>
      </c>
      <c r="H428" s="44">
        <v>310</v>
      </c>
    </row>
    <row r="429" spans="1:8" x14ac:dyDescent="0.3">
      <c r="A429" s="42" t="s">
        <v>1562</v>
      </c>
      <c r="B429" s="3" t="s">
        <v>1609</v>
      </c>
      <c r="C429" s="4">
        <f t="shared" ca="1" si="19"/>
        <v>45453</v>
      </c>
      <c r="D429" s="4">
        <f ca="1">TODAY()-563</f>
        <v>45474</v>
      </c>
      <c r="E429" s="3" t="s">
        <v>1029</v>
      </c>
      <c r="F429" s="43" t="b">
        <v>1</v>
      </c>
      <c r="G429" s="43" t="b">
        <v>1</v>
      </c>
      <c r="H429" s="44">
        <v>3890</v>
      </c>
    </row>
    <row r="430" spans="1:8" x14ac:dyDescent="0.3">
      <c r="A430" s="42" t="s">
        <v>1490</v>
      </c>
      <c r="B430" s="3" t="s">
        <v>1575</v>
      </c>
      <c r="C430" s="4">
        <f t="shared" ca="1" si="19"/>
        <v>45453</v>
      </c>
      <c r="D430" s="4">
        <f ca="1">TODAY()-569</f>
        <v>45468</v>
      </c>
      <c r="E430" s="3" t="s">
        <v>1029</v>
      </c>
      <c r="F430" s="43" t="b">
        <v>1</v>
      </c>
      <c r="G430" s="43" t="b">
        <v>1</v>
      </c>
      <c r="H430" s="44">
        <v>910</v>
      </c>
    </row>
    <row r="431" spans="1:8" x14ac:dyDescent="0.3">
      <c r="A431" s="42" t="s">
        <v>1458</v>
      </c>
      <c r="B431" s="3" t="s">
        <v>1610</v>
      </c>
      <c r="C431" s="4">
        <f t="shared" ca="1" si="19"/>
        <v>45453</v>
      </c>
      <c r="D431" s="4">
        <f ca="1">TODAY()-572</f>
        <v>45465</v>
      </c>
      <c r="E431" s="3" t="s">
        <v>1029</v>
      </c>
      <c r="F431" s="43" t="b">
        <v>1</v>
      </c>
      <c r="G431" s="43" t="b">
        <v>1</v>
      </c>
      <c r="H431" s="44">
        <v>2340</v>
      </c>
    </row>
    <row r="432" spans="1:8" x14ac:dyDescent="0.3">
      <c r="A432" s="42" t="s">
        <v>1225</v>
      </c>
      <c r="B432" s="3" t="s">
        <v>1226</v>
      </c>
      <c r="C432" s="4">
        <f t="shared" ca="1" si="19"/>
        <v>45453</v>
      </c>
      <c r="D432" s="4">
        <f ca="1">TODAY()-571</f>
        <v>45466</v>
      </c>
      <c r="E432" s="3" t="s">
        <v>1029</v>
      </c>
      <c r="F432" s="43" t="b">
        <v>1</v>
      </c>
      <c r="G432" s="43" t="b">
        <v>1</v>
      </c>
      <c r="H432" s="44">
        <v>1230</v>
      </c>
    </row>
    <row r="433" spans="1:8" x14ac:dyDescent="0.3">
      <c r="A433" s="42" t="s">
        <v>1139</v>
      </c>
      <c r="B433" s="3" t="s">
        <v>1140</v>
      </c>
      <c r="C433" s="4">
        <f t="shared" ca="1" si="19"/>
        <v>45453</v>
      </c>
      <c r="D433" s="4">
        <f ca="1">TODAY()-562</f>
        <v>45475</v>
      </c>
      <c r="E433" s="3" t="s">
        <v>1029</v>
      </c>
      <c r="F433" s="43" t="b">
        <v>1</v>
      </c>
      <c r="G433" s="43" t="b">
        <v>1</v>
      </c>
      <c r="H433" s="44">
        <v>2460</v>
      </c>
    </row>
    <row r="434" spans="1:8" x14ac:dyDescent="0.3">
      <c r="A434" s="42" t="s">
        <v>1276</v>
      </c>
      <c r="B434" s="3" t="s">
        <v>1611</v>
      </c>
      <c r="C434" s="4">
        <f t="shared" ca="1" si="19"/>
        <v>45453</v>
      </c>
      <c r="D434" s="4">
        <f ca="1">TODAY()-558</f>
        <v>45479</v>
      </c>
      <c r="E434" s="3" t="s">
        <v>1029</v>
      </c>
      <c r="F434" s="43" t="b">
        <v>1</v>
      </c>
      <c r="G434" s="43" t="b">
        <v>1</v>
      </c>
      <c r="H434" s="44">
        <v>820</v>
      </c>
    </row>
    <row r="435" spans="1:8" x14ac:dyDescent="0.3">
      <c r="A435" s="42" t="s">
        <v>1071</v>
      </c>
      <c r="B435" s="3" t="s">
        <v>1072</v>
      </c>
      <c r="C435" s="4">
        <f t="shared" ca="1" si="19"/>
        <v>45453</v>
      </c>
      <c r="D435" s="4">
        <f ca="1">TODAY()-555</f>
        <v>45482</v>
      </c>
      <c r="E435" s="3" t="s">
        <v>1029</v>
      </c>
      <c r="F435" s="43" t="b">
        <v>1</v>
      </c>
      <c r="G435" s="43" t="b">
        <v>1</v>
      </c>
      <c r="H435" s="44">
        <v>760</v>
      </c>
    </row>
    <row r="436" spans="1:8" x14ac:dyDescent="0.3">
      <c r="A436" s="42" t="s">
        <v>1612</v>
      </c>
      <c r="B436" s="3" t="s">
        <v>1613</v>
      </c>
      <c r="C436" s="4">
        <f t="shared" ca="1" si="19"/>
        <v>45453</v>
      </c>
      <c r="D436" s="42"/>
      <c r="E436" s="3" t="s">
        <v>1101</v>
      </c>
      <c r="F436" s="43" t="b">
        <v>0</v>
      </c>
      <c r="G436" s="43" t="b">
        <v>0</v>
      </c>
      <c r="H436" s="44">
        <v>590</v>
      </c>
    </row>
    <row r="437" spans="1:8" x14ac:dyDescent="0.3">
      <c r="A437" s="42" t="s">
        <v>1389</v>
      </c>
      <c r="B437" s="3" t="s">
        <v>1614</v>
      </c>
      <c r="C437" s="4">
        <f t="shared" ca="1" si="19"/>
        <v>45453</v>
      </c>
      <c r="D437" s="4">
        <f t="shared" ref="D437:D438" ca="1" si="20">TODAY()-558</f>
        <v>45479</v>
      </c>
      <c r="E437" s="3" t="s">
        <v>1029</v>
      </c>
      <c r="F437" s="43" t="b">
        <v>1</v>
      </c>
      <c r="G437" s="43" t="b">
        <v>1</v>
      </c>
      <c r="H437" s="44">
        <v>1900</v>
      </c>
    </row>
    <row r="438" spans="1:8" x14ac:dyDescent="0.3">
      <c r="A438" s="42" t="s">
        <v>1042</v>
      </c>
      <c r="B438" s="3" t="s">
        <v>1615</v>
      </c>
      <c r="C438" s="4">
        <f t="shared" ca="1" si="19"/>
        <v>45453</v>
      </c>
      <c r="D438" s="4">
        <f t="shared" ca="1" si="20"/>
        <v>45479</v>
      </c>
      <c r="E438" s="3" t="s">
        <v>1029</v>
      </c>
      <c r="F438" s="43" t="b">
        <v>1</v>
      </c>
      <c r="G438" s="43" t="b">
        <v>1</v>
      </c>
      <c r="H438" s="44">
        <v>3800</v>
      </c>
    </row>
    <row r="439" spans="1:8" x14ac:dyDescent="0.3">
      <c r="A439" s="42" t="s">
        <v>1221</v>
      </c>
      <c r="B439" s="3" t="s">
        <v>1222</v>
      </c>
      <c r="C439" s="4">
        <f t="shared" ca="1" si="19"/>
        <v>45453</v>
      </c>
      <c r="D439" s="4">
        <f ca="1">TODAY()-566</f>
        <v>45471</v>
      </c>
      <c r="E439" s="3" t="s">
        <v>1029</v>
      </c>
      <c r="F439" s="43" t="b">
        <v>1</v>
      </c>
      <c r="G439" s="43" t="b">
        <v>1</v>
      </c>
      <c r="H439" s="44">
        <v>20000</v>
      </c>
    </row>
    <row r="440" spans="1:8" x14ac:dyDescent="0.3">
      <c r="A440" s="42" t="s">
        <v>1119</v>
      </c>
      <c r="B440" s="3" t="s">
        <v>1428</v>
      </c>
      <c r="C440" s="4">
        <f t="shared" ca="1" si="19"/>
        <v>45453</v>
      </c>
      <c r="D440" s="42"/>
      <c r="E440" s="3" t="s">
        <v>1108</v>
      </c>
      <c r="F440" s="43" t="b">
        <v>0</v>
      </c>
      <c r="G440" s="43" t="b">
        <v>0</v>
      </c>
      <c r="H440" s="44">
        <v>2170</v>
      </c>
    </row>
    <row r="441" spans="1:8" x14ac:dyDescent="0.3">
      <c r="A441" s="42" t="s">
        <v>1616</v>
      </c>
      <c r="B441" s="3" t="s">
        <v>1617</v>
      </c>
      <c r="C441" s="4">
        <f t="shared" ca="1" si="19"/>
        <v>45453</v>
      </c>
      <c r="D441" s="4">
        <f ca="1">TODAY()-570</f>
        <v>45467</v>
      </c>
      <c r="E441" s="3" t="s">
        <v>1032</v>
      </c>
      <c r="F441" s="43" t="b">
        <v>1</v>
      </c>
      <c r="G441" s="43" t="b">
        <v>0</v>
      </c>
      <c r="H441" s="44">
        <v>1810</v>
      </c>
    </row>
    <row r="442" spans="1:8" x14ac:dyDescent="0.3">
      <c r="A442" s="42" t="s">
        <v>1389</v>
      </c>
      <c r="B442" s="3" t="s">
        <v>1614</v>
      </c>
      <c r="C442" s="4">
        <f t="shared" ca="1" si="19"/>
        <v>45453</v>
      </c>
      <c r="D442" s="4">
        <f ca="1">TODAY()-569</f>
        <v>45468</v>
      </c>
      <c r="E442" s="3" t="s">
        <v>1029</v>
      </c>
      <c r="F442" s="43" t="b">
        <v>1</v>
      </c>
      <c r="G442" s="43" t="b">
        <v>1</v>
      </c>
      <c r="H442" s="44">
        <v>1900</v>
      </c>
    </row>
    <row r="443" spans="1:8" x14ac:dyDescent="0.3">
      <c r="A443" s="42" t="s">
        <v>1535</v>
      </c>
      <c r="B443" s="3" t="s">
        <v>1536</v>
      </c>
      <c r="C443" s="4">
        <f t="shared" ca="1" si="19"/>
        <v>45453</v>
      </c>
      <c r="D443" s="4">
        <f ca="1">TODAY()-563</f>
        <v>45474</v>
      </c>
      <c r="E443" s="3" t="s">
        <v>1029</v>
      </c>
      <c r="F443" s="43" t="b">
        <v>1</v>
      </c>
      <c r="G443" s="43" t="b">
        <v>1</v>
      </c>
      <c r="H443" s="44">
        <v>150</v>
      </c>
    </row>
    <row r="444" spans="1:8" x14ac:dyDescent="0.3">
      <c r="A444" s="42" t="s">
        <v>1618</v>
      </c>
      <c r="B444" s="3" t="s">
        <v>1619</v>
      </c>
      <c r="C444" s="4">
        <f t="shared" ca="1" si="19"/>
        <v>45453</v>
      </c>
      <c r="D444" s="4">
        <f ca="1">TODAY()-557</f>
        <v>45480</v>
      </c>
      <c r="E444" s="3" t="s">
        <v>1029</v>
      </c>
      <c r="F444" s="43" t="b">
        <v>1</v>
      </c>
      <c r="G444" s="43" t="b">
        <v>1</v>
      </c>
      <c r="H444" s="44">
        <v>1210</v>
      </c>
    </row>
    <row r="445" spans="1:8" x14ac:dyDescent="0.3">
      <c r="A445" s="42" t="s">
        <v>1620</v>
      </c>
      <c r="B445" s="3" t="s">
        <v>1621</v>
      </c>
      <c r="C445" s="4">
        <f t="shared" ca="1" si="19"/>
        <v>45453</v>
      </c>
      <c r="D445" s="4">
        <f ca="1">TODAY()-572</f>
        <v>45465</v>
      </c>
      <c r="E445" s="3" t="s">
        <v>1032</v>
      </c>
      <c r="F445" s="43" t="b">
        <v>1</v>
      </c>
      <c r="G445" s="43" t="b">
        <v>0</v>
      </c>
      <c r="H445" s="44">
        <v>120</v>
      </c>
    </row>
    <row r="446" spans="1:8" x14ac:dyDescent="0.3">
      <c r="A446" s="42" t="s">
        <v>1622</v>
      </c>
      <c r="B446" s="3" t="s">
        <v>1623</v>
      </c>
      <c r="C446" s="4">
        <f t="shared" ca="1" si="19"/>
        <v>45453</v>
      </c>
      <c r="D446" s="4">
        <f ca="1">TODAY()-564</f>
        <v>45473</v>
      </c>
      <c r="E446" s="3" t="s">
        <v>1032</v>
      </c>
      <c r="F446" s="43" t="b">
        <v>1</v>
      </c>
      <c r="G446" s="43" t="b">
        <v>0</v>
      </c>
      <c r="H446" s="44">
        <v>960</v>
      </c>
    </row>
    <row r="447" spans="1:8" x14ac:dyDescent="0.3">
      <c r="A447" s="42" t="s">
        <v>1624</v>
      </c>
      <c r="B447" s="3" t="s">
        <v>1625</v>
      </c>
      <c r="C447" s="4">
        <f t="shared" ca="1" si="19"/>
        <v>45453</v>
      </c>
      <c r="D447" s="4">
        <f ca="1">TODAY()-558</f>
        <v>45479</v>
      </c>
      <c r="E447" s="3" t="s">
        <v>1029</v>
      </c>
      <c r="F447" s="43" t="b">
        <v>1</v>
      </c>
      <c r="G447" s="43" t="b">
        <v>1</v>
      </c>
      <c r="H447" s="44">
        <v>1630</v>
      </c>
    </row>
    <row r="448" spans="1:8" x14ac:dyDescent="0.3">
      <c r="A448" s="42" t="s">
        <v>1605</v>
      </c>
      <c r="B448" s="3" t="s">
        <v>1606</v>
      </c>
      <c r="C448" s="4">
        <f t="shared" ca="1" si="19"/>
        <v>45453</v>
      </c>
      <c r="D448" s="4">
        <f ca="1">TODAY()-565</f>
        <v>45472</v>
      </c>
      <c r="E448" s="3" t="s">
        <v>1029</v>
      </c>
      <c r="F448" s="43" t="b">
        <v>1</v>
      </c>
      <c r="G448" s="43" t="b">
        <v>1</v>
      </c>
      <c r="H448" s="44">
        <v>730</v>
      </c>
    </row>
    <row r="449" spans="1:8" x14ac:dyDescent="0.3">
      <c r="A449" s="42" t="s">
        <v>1225</v>
      </c>
      <c r="B449" s="3" t="s">
        <v>1274</v>
      </c>
      <c r="C449" s="4">
        <f t="shared" ca="1" si="19"/>
        <v>45453</v>
      </c>
      <c r="D449" s="4">
        <f ca="1">TODAY()-572</f>
        <v>45465</v>
      </c>
      <c r="E449" s="3" t="s">
        <v>1029</v>
      </c>
      <c r="F449" s="43" t="b">
        <v>1</v>
      </c>
      <c r="G449" s="43" t="b">
        <v>1</v>
      </c>
      <c r="H449" s="44">
        <v>670</v>
      </c>
    </row>
    <row r="450" spans="1:8" x14ac:dyDescent="0.3">
      <c r="A450" s="42" t="s">
        <v>1626</v>
      </c>
      <c r="B450" s="3" t="s">
        <v>1275</v>
      </c>
      <c r="C450" s="4">
        <f t="shared" ca="1" si="19"/>
        <v>45453</v>
      </c>
      <c r="D450" s="4">
        <f ca="1">TODAY()-566</f>
        <v>45471</v>
      </c>
      <c r="E450" s="3" t="s">
        <v>1029</v>
      </c>
      <c r="F450" s="43" t="b">
        <v>1</v>
      </c>
      <c r="G450" s="43" t="b">
        <v>1</v>
      </c>
      <c r="H450" s="44">
        <v>4510</v>
      </c>
    </row>
    <row r="451" spans="1:8" x14ac:dyDescent="0.3">
      <c r="A451" s="42" t="s">
        <v>1627</v>
      </c>
      <c r="B451" s="3" t="s">
        <v>1628</v>
      </c>
      <c r="C451" s="4">
        <f t="shared" ca="1" si="19"/>
        <v>45453</v>
      </c>
      <c r="D451" s="4">
        <f ca="1">TODAY()-573</f>
        <v>45464</v>
      </c>
      <c r="E451" s="3" t="s">
        <v>1029</v>
      </c>
      <c r="F451" s="43" t="b">
        <v>1</v>
      </c>
      <c r="G451" s="43" t="b">
        <v>1</v>
      </c>
      <c r="H451" s="44">
        <v>4210</v>
      </c>
    </row>
    <row r="452" spans="1:8" x14ac:dyDescent="0.3">
      <c r="A452" s="42" t="s">
        <v>1263</v>
      </c>
      <c r="B452" s="3" t="s">
        <v>1629</v>
      </c>
      <c r="C452" s="4">
        <f t="shared" ca="1" si="19"/>
        <v>45453</v>
      </c>
      <c r="D452" s="42"/>
      <c r="E452" s="3" t="s">
        <v>1103</v>
      </c>
      <c r="F452" s="43" t="b">
        <v>0</v>
      </c>
      <c r="G452" s="43" t="b">
        <v>0</v>
      </c>
      <c r="H452" s="44">
        <v>960</v>
      </c>
    </row>
    <row r="453" spans="1:8" x14ac:dyDescent="0.3">
      <c r="A453" s="42" t="s">
        <v>1630</v>
      </c>
      <c r="B453" s="3" t="s">
        <v>1631</v>
      </c>
      <c r="C453" s="4">
        <f t="shared" ca="1" si="19"/>
        <v>45453</v>
      </c>
      <c r="D453" s="4">
        <f ca="1">TODAY()-563</f>
        <v>45474</v>
      </c>
      <c r="E453" s="3" t="s">
        <v>1029</v>
      </c>
      <c r="F453" s="43" t="b">
        <v>1</v>
      </c>
      <c r="G453" s="43" t="b">
        <v>1</v>
      </c>
      <c r="H453" s="44">
        <v>1270</v>
      </c>
    </row>
    <row r="454" spans="1:8" x14ac:dyDescent="0.3">
      <c r="A454" s="42" t="s">
        <v>1632</v>
      </c>
      <c r="B454" s="3" t="s">
        <v>1633</v>
      </c>
      <c r="C454" s="4">
        <f t="shared" ca="1" si="19"/>
        <v>45453</v>
      </c>
      <c r="D454" s="4">
        <f ca="1">TODAY()-555</f>
        <v>45482</v>
      </c>
      <c r="E454" s="3" t="s">
        <v>1029</v>
      </c>
      <c r="F454" s="43" t="b">
        <v>1</v>
      </c>
      <c r="G454" s="43" t="b">
        <v>1</v>
      </c>
      <c r="H454" s="44">
        <v>1220</v>
      </c>
    </row>
    <row r="455" spans="1:8" x14ac:dyDescent="0.3">
      <c r="A455" s="42" t="s">
        <v>1125</v>
      </c>
      <c r="B455" s="3" t="s">
        <v>1634</v>
      </c>
      <c r="C455" s="4">
        <f t="shared" ca="1" si="19"/>
        <v>45453</v>
      </c>
      <c r="D455" s="4">
        <f ca="1">TODAY()-558</f>
        <v>45479</v>
      </c>
      <c r="E455" s="3" t="s">
        <v>1032</v>
      </c>
      <c r="F455" s="43" t="b">
        <v>1</v>
      </c>
      <c r="G455" s="43" t="b">
        <v>0</v>
      </c>
      <c r="H455" s="44">
        <v>2490</v>
      </c>
    </row>
    <row r="456" spans="1:8" x14ac:dyDescent="0.3">
      <c r="A456" s="42" t="s">
        <v>1635</v>
      </c>
      <c r="B456" s="3" t="s">
        <v>1636</v>
      </c>
      <c r="C456" s="4">
        <f t="shared" ca="1" si="19"/>
        <v>45453</v>
      </c>
      <c r="D456" s="4">
        <f ca="1">TODAY()-566</f>
        <v>45471</v>
      </c>
      <c r="E456" s="3" t="s">
        <v>1029</v>
      </c>
      <c r="F456" s="43" t="b">
        <v>1</v>
      </c>
      <c r="G456" s="43" t="b">
        <v>1</v>
      </c>
      <c r="H456" s="44">
        <v>1280</v>
      </c>
    </row>
    <row r="457" spans="1:8" x14ac:dyDescent="0.3">
      <c r="A457" s="42" t="s">
        <v>1637</v>
      </c>
      <c r="B457" s="3" t="s">
        <v>1638</v>
      </c>
      <c r="C457" s="4">
        <f t="shared" ca="1" si="19"/>
        <v>45453</v>
      </c>
      <c r="D457" s="42"/>
      <c r="E457" s="3" t="s">
        <v>1103</v>
      </c>
      <c r="F457" s="43" t="b">
        <v>0</v>
      </c>
      <c r="G457" s="43" t="b">
        <v>0</v>
      </c>
      <c r="H457" s="44">
        <v>520</v>
      </c>
    </row>
    <row r="458" spans="1:8" x14ac:dyDescent="0.3">
      <c r="A458" s="42" t="s">
        <v>1256</v>
      </c>
      <c r="B458" s="3" t="s">
        <v>1639</v>
      </c>
      <c r="C458" s="4">
        <f t="shared" ca="1" si="19"/>
        <v>45453</v>
      </c>
      <c r="D458" s="4">
        <f ca="1">TODAY()-554</f>
        <v>45483</v>
      </c>
      <c r="E458" s="3" t="s">
        <v>1029</v>
      </c>
      <c r="F458" s="43" t="b">
        <v>1</v>
      </c>
      <c r="G458" s="43" t="b">
        <v>1</v>
      </c>
      <c r="H458" s="44">
        <v>2000</v>
      </c>
    </row>
    <row r="459" spans="1:8" x14ac:dyDescent="0.3">
      <c r="A459" s="42" t="s">
        <v>1125</v>
      </c>
      <c r="B459" s="3" t="s">
        <v>1126</v>
      </c>
      <c r="C459" s="4">
        <f t="shared" ca="1" si="19"/>
        <v>45453</v>
      </c>
      <c r="D459" s="4">
        <f ca="1">TODAY()-572</f>
        <v>45465</v>
      </c>
      <c r="E459" s="3" t="s">
        <v>1029</v>
      </c>
      <c r="F459" s="43" t="b">
        <v>1</v>
      </c>
      <c r="G459" s="43" t="b">
        <v>1</v>
      </c>
      <c r="H459" s="44">
        <v>1840</v>
      </c>
    </row>
    <row r="460" spans="1:8" x14ac:dyDescent="0.3">
      <c r="A460" s="42" t="s">
        <v>1192</v>
      </c>
      <c r="B460" s="3" t="s">
        <v>1193</v>
      </c>
      <c r="C460" s="4">
        <f t="shared" ca="1" si="19"/>
        <v>45453</v>
      </c>
      <c r="D460" s="4">
        <f ca="1">TODAY()-557</f>
        <v>45480</v>
      </c>
      <c r="E460" s="3" t="s">
        <v>1032</v>
      </c>
      <c r="F460" s="43" t="b">
        <v>1</v>
      </c>
      <c r="G460" s="43" t="b">
        <v>0</v>
      </c>
      <c r="H460" s="44">
        <v>1690</v>
      </c>
    </row>
    <row r="461" spans="1:8" x14ac:dyDescent="0.3">
      <c r="A461" s="42" t="s">
        <v>1640</v>
      </c>
      <c r="B461" s="3" t="s">
        <v>1641</v>
      </c>
      <c r="C461" s="4">
        <f t="shared" ca="1" si="19"/>
        <v>45453</v>
      </c>
      <c r="D461" s="4">
        <f ca="1">TODAY()-571</f>
        <v>45466</v>
      </c>
      <c r="E461" s="3" t="s">
        <v>1029</v>
      </c>
      <c r="F461" s="43" t="b">
        <v>1</v>
      </c>
      <c r="G461" s="43" t="b">
        <v>1</v>
      </c>
      <c r="H461" s="44">
        <v>5250</v>
      </c>
    </row>
    <row r="462" spans="1:8" x14ac:dyDescent="0.3">
      <c r="A462" s="42" t="s">
        <v>1642</v>
      </c>
      <c r="B462" s="3" t="s">
        <v>1643</v>
      </c>
      <c r="C462" s="4">
        <f t="shared" ca="1" si="19"/>
        <v>45453</v>
      </c>
      <c r="D462" s="4">
        <f ca="1">TODAY()-567</f>
        <v>45470</v>
      </c>
      <c r="E462" s="3" t="s">
        <v>1032</v>
      </c>
      <c r="F462" s="43" t="b">
        <v>1</v>
      </c>
      <c r="G462" s="43" t="b">
        <v>0</v>
      </c>
      <c r="H462" s="44">
        <v>970</v>
      </c>
    </row>
    <row r="463" spans="1:8" x14ac:dyDescent="0.3">
      <c r="A463" s="42" t="s">
        <v>1498</v>
      </c>
      <c r="B463" s="3" t="s">
        <v>1136</v>
      </c>
      <c r="C463" s="4">
        <f t="shared" ca="1" si="19"/>
        <v>45453</v>
      </c>
      <c r="D463" s="4">
        <f ca="1">TODAY()-565</f>
        <v>45472</v>
      </c>
      <c r="E463" s="3" t="s">
        <v>1029</v>
      </c>
      <c r="F463" s="43" t="b">
        <v>1</v>
      </c>
      <c r="G463" s="43" t="b">
        <v>1</v>
      </c>
      <c r="H463" s="44">
        <v>1500</v>
      </c>
    </row>
    <row r="464" spans="1:8" x14ac:dyDescent="0.3">
      <c r="A464" s="42" t="s">
        <v>1644</v>
      </c>
      <c r="B464" s="3" t="s">
        <v>1645</v>
      </c>
      <c r="C464" s="4">
        <f t="shared" ca="1" si="19"/>
        <v>45453</v>
      </c>
      <c r="D464" s="4">
        <f ca="1">TODAY()-556</f>
        <v>45481</v>
      </c>
      <c r="E464" s="3" t="s">
        <v>1029</v>
      </c>
      <c r="F464" s="43" t="b">
        <v>1</v>
      </c>
      <c r="G464" s="43" t="b">
        <v>1</v>
      </c>
      <c r="H464" s="44">
        <v>2470</v>
      </c>
    </row>
    <row r="465" spans="1:8" x14ac:dyDescent="0.3">
      <c r="A465" s="42" t="s">
        <v>1288</v>
      </c>
      <c r="B465" s="3" t="s">
        <v>1116</v>
      </c>
      <c r="C465" s="4">
        <f t="shared" ca="1" si="19"/>
        <v>45453</v>
      </c>
      <c r="D465" s="4">
        <f ca="1">TODAY()-567</f>
        <v>45470</v>
      </c>
      <c r="E465" s="3" t="s">
        <v>1029</v>
      </c>
      <c r="F465" s="43" t="b">
        <v>1</v>
      </c>
      <c r="G465" s="43" t="b">
        <v>1</v>
      </c>
      <c r="H465" s="44">
        <v>1800</v>
      </c>
    </row>
    <row r="466" spans="1:8" x14ac:dyDescent="0.3">
      <c r="A466" s="42" t="s">
        <v>1646</v>
      </c>
      <c r="B466" s="3" t="s">
        <v>1114</v>
      </c>
      <c r="C466" s="4">
        <f t="shared" ca="1" si="19"/>
        <v>45453</v>
      </c>
      <c r="D466" s="4">
        <f ca="1">TODAY()-556</f>
        <v>45481</v>
      </c>
      <c r="E466" s="3" t="s">
        <v>1029</v>
      </c>
      <c r="F466" s="43" t="b">
        <v>1</v>
      </c>
      <c r="G466" s="43" t="b">
        <v>1</v>
      </c>
      <c r="H466" s="44">
        <v>650</v>
      </c>
    </row>
    <row r="467" spans="1:8" x14ac:dyDescent="0.3">
      <c r="A467" s="42" t="s">
        <v>1553</v>
      </c>
      <c r="B467" s="3" t="s">
        <v>1554</v>
      </c>
      <c r="C467" s="4">
        <f t="shared" ca="1" si="19"/>
        <v>45453</v>
      </c>
      <c r="D467" s="4">
        <f ca="1">TODAY()-558</f>
        <v>45479</v>
      </c>
      <c r="E467" s="3" t="s">
        <v>1029</v>
      </c>
      <c r="F467" s="43" t="b">
        <v>1</v>
      </c>
      <c r="G467" s="43" t="b">
        <v>1</v>
      </c>
      <c r="H467" s="44">
        <v>120</v>
      </c>
    </row>
    <row r="468" spans="1:8" x14ac:dyDescent="0.3">
      <c r="A468" s="42" t="s">
        <v>1647</v>
      </c>
      <c r="B468" s="3" t="s">
        <v>1648</v>
      </c>
      <c r="C468" s="4">
        <f t="shared" ca="1" si="19"/>
        <v>45453</v>
      </c>
      <c r="D468" s="42"/>
      <c r="E468" s="3" t="s">
        <v>1070</v>
      </c>
      <c r="F468" s="43" t="b">
        <v>0</v>
      </c>
      <c r="G468" s="43" t="b">
        <v>0</v>
      </c>
      <c r="H468" s="44">
        <v>1980</v>
      </c>
    </row>
    <row r="469" spans="1:8" x14ac:dyDescent="0.3">
      <c r="A469" s="42" t="s">
        <v>1396</v>
      </c>
      <c r="B469" s="3" t="s">
        <v>1397</v>
      </c>
      <c r="C469" s="4">
        <f t="shared" ca="1" si="19"/>
        <v>45453</v>
      </c>
      <c r="D469" s="4">
        <f ca="1">TODAY()-555</f>
        <v>45482</v>
      </c>
      <c r="E469" s="3" t="s">
        <v>1029</v>
      </c>
      <c r="F469" s="43" t="b">
        <v>1</v>
      </c>
      <c r="G469" s="43" t="b">
        <v>1</v>
      </c>
      <c r="H469" s="44">
        <v>1710</v>
      </c>
    </row>
    <row r="470" spans="1:8" x14ac:dyDescent="0.3">
      <c r="A470" s="42" t="s">
        <v>1073</v>
      </c>
      <c r="B470" s="3" t="s">
        <v>1074</v>
      </c>
      <c r="C470" s="4">
        <f t="shared" ca="1" si="19"/>
        <v>45453</v>
      </c>
      <c r="D470" s="4">
        <f ca="1">TODAY()-554</f>
        <v>45483</v>
      </c>
      <c r="E470" s="3" t="s">
        <v>1032</v>
      </c>
      <c r="F470" s="43" t="b">
        <v>1</v>
      </c>
      <c r="G470" s="43" t="b">
        <v>0</v>
      </c>
      <c r="H470" s="44">
        <v>1320</v>
      </c>
    </row>
    <row r="471" spans="1:8" x14ac:dyDescent="0.3">
      <c r="A471" s="42" t="s">
        <v>1649</v>
      </c>
      <c r="B471" s="3" t="s">
        <v>1650</v>
      </c>
      <c r="C471" s="4">
        <f t="shared" ca="1" si="19"/>
        <v>45453</v>
      </c>
      <c r="D471" s="4">
        <f ca="1">TODAY()-562</f>
        <v>45475</v>
      </c>
      <c r="E471" s="3" t="s">
        <v>1029</v>
      </c>
      <c r="F471" s="43" t="b">
        <v>1</v>
      </c>
      <c r="G471" s="43" t="b">
        <v>1</v>
      </c>
      <c r="H471" s="44">
        <v>350</v>
      </c>
    </row>
    <row r="472" spans="1:8" x14ac:dyDescent="0.3">
      <c r="A472" s="42" t="s">
        <v>1157</v>
      </c>
      <c r="B472" s="3" t="s">
        <v>1651</v>
      </c>
      <c r="C472" s="4">
        <f t="shared" ca="1" si="19"/>
        <v>45453</v>
      </c>
      <c r="D472" s="4">
        <f ca="1">TODAY()-565</f>
        <v>45472</v>
      </c>
      <c r="E472" s="3" t="s">
        <v>1032</v>
      </c>
      <c r="F472" s="43" t="b">
        <v>1</v>
      </c>
      <c r="G472" s="43" t="b">
        <v>0</v>
      </c>
      <c r="H472" s="44">
        <v>630</v>
      </c>
    </row>
    <row r="473" spans="1:8" x14ac:dyDescent="0.3">
      <c r="A473" s="42" t="s">
        <v>1535</v>
      </c>
      <c r="B473" s="3" t="s">
        <v>1597</v>
      </c>
      <c r="C473" s="4">
        <f t="shared" ca="1" si="19"/>
        <v>45453</v>
      </c>
      <c r="D473" s="4">
        <f ca="1">TODAY()-570</f>
        <v>45467</v>
      </c>
      <c r="E473" s="3" t="s">
        <v>1029</v>
      </c>
      <c r="F473" s="43" t="b">
        <v>1</v>
      </c>
      <c r="G473" s="43" t="b">
        <v>1</v>
      </c>
      <c r="H473" s="44">
        <v>1480</v>
      </c>
    </row>
    <row r="474" spans="1:8" x14ac:dyDescent="0.3">
      <c r="A474" s="42" t="s">
        <v>1652</v>
      </c>
      <c r="B474" s="3" t="s">
        <v>1653</v>
      </c>
      <c r="C474" s="4">
        <f t="shared" ca="1" si="19"/>
        <v>45453</v>
      </c>
      <c r="D474" s="4">
        <f ca="1">TODAY()-565</f>
        <v>45472</v>
      </c>
      <c r="E474" s="3" t="s">
        <v>1029</v>
      </c>
      <c r="F474" s="43" t="b">
        <v>1</v>
      </c>
      <c r="G474" s="43" t="b">
        <v>1</v>
      </c>
      <c r="H474" s="44">
        <v>2060</v>
      </c>
    </row>
    <row r="475" spans="1:8" x14ac:dyDescent="0.3">
      <c r="A475" s="42" t="s">
        <v>1654</v>
      </c>
      <c r="B475" s="3" t="s">
        <v>1655</v>
      </c>
      <c r="C475" s="4">
        <f t="shared" ca="1" si="19"/>
        <v>45453</v>
      </c>
      <c r="D475" s="4">
        <f ca="1">TODAY()-572</f>
        <v>45465</v>
      </c>
      <c r="E475" s="3" t="s">
        <v>1029</v>
      </c>
      <c r="F475" s="43" t="b">
        <v>1</v>
      </c>
      <c r="G475" s="43" t="b">
        <v>1</v>
      </c>
      <c r="H475" s="44">
        <v>2780</v>
      </c>
    </row>
    <row r="476" spans="1:8" x14ac:dyDescent="0.3">
      <c r="A476" s="42" t="s">
        <v>1656</v>
      </c>
      <c r="B476" s="3" t="s">
        <v>1657</v>
      </c>
      <c r="C476" s="4">
        <f t="shared" ca="1" si="19"/>
        <v>45453</v>
      </c>
      <c r="D476" s="4">
        <f ca="1">TODAY()-555</f>
        <v>45482</v>
      </c>
      <c r="E476" s="3" t="s">
        <v>1029</v>
      </c>
      <c r="F476" s="43" t="b">
        <v>1</v>
      </c>
      <c r="G476" s="43" t="b">
        <v>1</v>
      </c>
      <c r="H476" s="44">
        <v>120</v>
      </c>
    </row>
    <row r="477" spans="1:8" x14ac:dyDescent="0.3">
      <c r="A477" s="42" t="s">
        <v>1340</v>
      </c>
      <c r="B477" s="3" t="s">
        <v>1658</v>
      </c>
      <c r="C477" s="4">
        <f t="shared" ca="1" si="19"/>
        <v>45453</v>
      </c>
      <c r="D477" s="4">
        <f ca="1">TODAY()-572</f>
        <v>45465</v>
      </c>
      <c r="E477" s="3" t="s">
        <v>1032</v>
      </c>
      <c r="F477" s="43" t="b">
        <v>1</v>
      </c>
      <c r="G477" s="43" t="b">
        <v>0</v>
      </c>
      <c r="H477" s="44">
        <v>1840</v>
      </c>
    </row>
    <row r="478" spans="1:8" x14ac:dyDescent="0.3">
      <c r="A478" s="42" t="s">
        <v>1659</v>
      </c>
      <c r="B478" s="3" t="s">
        <v>1660</v>
      </c>
      <c r="C478" s="4">
        <f t="shared" ca="1" si="19"/>
        <v>45453</v>
      </c>
      <c r="D478" s="4">
        <f ca="1">TODAY()-568</f>
        <v>45469</v>
      </c>
      <c r="E478" s="3" t="s">
        <v>1029</v>
      </c>
      <c r="F478" s="43" t="b">
        <v>1</v>
      </c>
      <c r="G478" s="43" t="b">
        <v>1</v>
      </c>
      <c r="H478" s="44">
        <v>820</v>
      </c>
    </row>
    <row r="479" spans="1:8" x14ac:dyDescent="0.3">
      <c r="A479" s="42" t="s">
        <v>1401</v>
      </c>
      <c r="B479" s="3" t="s">
        <v>1509</v>
      </c>
      <c r="C479" s="4">
        <f t="shared" ca="1" si="19"/>
        <v>45453</v>
      </c>
      <c r="D479" s="4">
        <f ca="1">TODAY()-573</f>
        <v>45464</v>
      </c>
      <c r="E479" s="3" t="s">
        <v>1029</v>
      </c>
      <c r="F479" s="43" t="b">
        <v>1</v>
      </c>
      <c r="G479" s="43" t="b">
        <v>1</v>
      </c>
      <c r="H479" s="44">
        <v>2370</v>
      </c>
    </row>
    <row r="480" spans="1:8" x14ac:dyDescent="0.3">
      <c r="A480" s="42" t="s">
        <v>1087</v>
      </c>
      <c r="B480" s="3" t="s">
        <v>1489</v>
      </c>
      <c r="C480" s="4">
        <f t="shared" ca="1" si="19"/>
        <v>45453</v>
      </c>
      <c r="D480" s="4">
        <f ca="1">TODAY()-569</f>
        <v>45468</v>
      </c>
      <c r="E480" s="3" t="s">
        <v>1029</v>
      </c>
      <c r="F480" s="43" t="b">
        <v>1</v>
      </c>
      <c r="G480" s="43" t="b">
        <v>1</v>
      </c>
      <c r="H480" s="44">
        <v>1680</v>
      </c>
    </row>
    <row r="481" spans="1:8" x14ac:dyDescent="0.3">
      <c r="A481" s="42" t="s">
        <v>1492</v>
      </c>
      <c r="B481" s="3" t="s">
        <v>1441</v>
      </c>
      <c r="C481" s="4">
        <f t="shared" ca="1" si="19"/>
        <v>45453</v>
      </c>
      <c r="D481" s="4">
        <f ca="1">TODAY()-571</f>
        <v>45466</v>
      </c>
      <c r="E481" s="3" t="s">
        <v>1029</v>
      </c>
      <c r="F481" s="43" t="b">
        <v>1</v>
      </c>
      <c r="G481" s="43" t="b">
        <v>1</v>
      </c>
      <c r="H481" s="44">
        <v>1970</v>
      </c>
    </row>
    <row r="482" spans="1:8" x14ac:dyDescent="0.3">
      <c r="A482" s="42" t="s">
        <v>1448</v>
      </c>
      <c r="B482" s="3" t="s">
        <v>1222</v>
      </c>
      <c r="C482" s="4">
        <f t="shared" ca="1" si="19"/>
        <v>45453</v>
      </c>
      <c r="D482" s="4">
        <f ca="1">TODAY()-566</f>
        <v>45471</v>
      </c>
      <c r="E482" s="3" t="s">
        <v>1029</v>
      </c>
      <c r="F482" s="43" t="b">
        <v>1</v>
      </c>
      <c r="G482" s="43" t="b">
        <v>1</v>
      </c>
      <c r="H482" s="44">
        <v>720</v>
      </c>
    </row>
    <row r="483" spans="1:8" x14ac:dyDescent="0.3">
      <c r="A483" s="42" t="s">
        <v>1510</v>
      </c>
      <c r="B483" s="3" t="s">
        <v>1589</v>
      </c>
      <c r="C483" s="4">
        <f t="shared" ca="1" si="19"/>
        <v>45453</v>
      </c>
      <c r="D483" s="4">
        <f ca="1">TODAY()-565</f>
        <v>45472</v>
      </c>
      <c r="E483" s="3" t="s">
        <v>1032</v>
      </c>
      <c r="F483" s="43" t="b">
        <v>1</v>
      </c>
      <c r="G483" s="43" t="b">
        <v>0</v>
      </c>
      <c r="H483" s="44">
        <v>820</v>
      </c>
    </row>
    <row r="484" spans="1:8" x14ac:dyDescent="0.3">
      <c r="A484" s="42" t="s">
        <v>1661</v>
      </c>
      <c r="B484" s="3" t="s">
        <v>1662</v>
      </c>
      <c r="C484" s="4">
        <f t="shared" ca="1" si="19"/>
        <v>45453</v>
      </c>
      <c r="D484" s="4">
        <f ca="1">TODAY()-569</f>
        <v>45468</v>
      </c>
      <c r="E484" s="3" t="s">
        <v>1029</v>
      </c>
      <c r="F484" s="43" t="b">
        <v>1</v>
      </c>
      <c r="G484" s="43" t="b">
        <v>1</v>
      </c>
      <c r="H484" s="44">
        <v>330</v>
      </c>
    </row>
    <row r="485" spans="1:8" x14ac:dyDescent="0.3">
      <c r="A485" s="42" t="s">
        <v>1048</v>
      </c>
      <c r="B485" s="3" t="s">
        <v>1049</v>
      </c>
      <c r="C485" s="4">
        <f t="shared" ca="1" si="19"/>
        <v>45453</v>
      </c>
      <c r="D485" s="42"/>
      <c r="E485" s="3" t="s">
        <v>1037</v>
      </c>
      <c r="F485" s="43" t="b">
        <v>0</v>
      </c>
      <c r="G485" s="43" t="b">
        <v>0</v>
      </c>
      <c r="H485" s="44">
        <v>2500</v>
      </c>
    </row>
    <row r="486" spans="1:8" x14ac:dyDescent="0.3">
      <c r="A486" s="42" t="s">
        <v>1419</v>
      </c>
      <c r="B486" s="3" t="s">
        <v>1420</v>
      </c>
      <c r="C486" s="4">
        <f t="shared" ca="1" si="19"/>
        <v>45453</v>
      </c>
      <c r="D486" s="42"/>
      <c r="E486" s="3" t="s">
        <v>1037</v>
      </c>
      <c r="F486" s="43" t="b">
        <v>0</v>
      </c>
      <c r="G486" s="43" t="b">
        <v>0</v>
      </c>
      <c r="H486" s="44">
        <v>1360</v>
      </c>
    </row>
    <row r="487" spans="1:8" x14ac:dyDescent="0.3">
      <c r="A487" s="42" t="s">
        <v>1042</v>
      </c>
      <c r="B487" s="3" t="s">
        <v>1043</v>
      </c>
      <c r="C487" s="4">
        <f t="shared" ca="1" si="19"/>
        <v>45453</v>
      </c>
      <c r="D487" s="4">
        <f ca="1">TODAY()-563</f>
        <v>45474</v>
      </c>
      <c r="E487" s="3" t="s">
        <v>1029</v>
      </c>
      <c r="F487" s="43" t="b">
        <v>1</v>
      </c>
      <c r="G487" s="43" t="b">
        <v>1</v>
      </c>
      <c r="H487" s="44">
        <v>1580</v>
      </c>
    </row>
    <row r="488" spans="1:8" x14ac:dyDescent="0.3">
      <c r="A488" s="42" t="s">
        <v>1484</v>
      </c>
      <c r="B488" s="3" t="s">
        <v>1485</v>
      </c>
      <c r="C488" s="4">
        <f t="shared" ca="1" si="19"/>
        <v>45453</v>
      </c>
      <c r="D488" s="42"/>
      <c r="E488" s="3" t="s">
        <v>1037</v>
      </c>
      <c r="F488" s="43" t="b">
        <v>0</v>
      </c>
      <c r="G488" s="43" t="b">
        <v>0</v>
      </c>
      <c r="H488" s="44">
        <v>2330</v>
      </c>
    </row>
    <row r="489" spans="1:8" x14ac:dyDescent="0.3">
      <c r="A489" s="42" t="s">
        <v>1264</v>
      </c>
      <c r="B489" s="3" t="s">
        <v>1663</v>
      </c>
      <c r="C489" s="4">
        <f t="shared" ca="1" si="19"/>
        <v>45453</v>
      </c>
      <c r="D489" s="4">
        <f ca="1">TODAY()-563</f>
        <v>45474</v>
      </c>
      <c r="E489" s="3" t="s">
        <v>1032</v>
      </c>
      <c r="F489" s="43" t="b">
        <v>1</v>
      </c>
      <c r="G489" s="43" t="b">
        <v>0</v>
      </c>
      <c r="H489" s="44">
        <v>2080</v>
      </c>
    </row>
    <row r="490" spans="1:8" x14ac:dyDescent="0.3">
      <c r="A490" s="42" t="s">
        <v>1460</v>
      </c>
      <c r="B490" s="3" t="s">
        <v>1664</v>
      </c>
      <c r="C490" s="4">
        <f t="shared" ca="1" si="19"/>
        <v>45453</v>
      </c>
      <c r="D490" s="4">
        <f ca="1">TODAY()-566</f>
        <v>45471</v>
      </c>
      <c r="E490" s="3" t="s">
        <v>1029</v>
      </c>
      <c r="F490" s="43" t="b">
        <v>1</v>
      </c>
      <c r="G490" s="43" t="b">
        <v>1</v>
      </c>
      <c r="H490" s="44">
        <v>1180</v>
      </c>
    </row>
    <row r="491" spans="1:8" x14ac:dyDescent="0.3">
      <c r="A491" s="42" t="s">
        <v>1153</v>
      </c>
      <c r="B491" s="3" t="s">
        <v>1665</v>
      </c>
      <c r="C491" s="4">
        <f t="shared" ca="1" si="19"/>
        <v>45453</v>
      </c>
      <c r="D491" s="4">
        <f ca="1">TODAY()-573</f>
        <v>45464</v>
      </c>
      <c r="E491" s="3" t="s">
        <v>1029</v>
      </c>
      <c r="F491" s="43" t="b">
        <v>1</v>
      </c>
      <c r="G491" s="43" t="b">
        <v>1</v>
      </c>
      <c r="H491" s="44">
        <v>750</v>
      </c>
    </row>
    <row r="492" spans="1:8" x14ac:dyDescent="0.3">
      <c r="A492" s="42" t="s">
        <v>1496</v>
      </c>
      <c r="B492" s="3" t="s">
        <v>1497</v>
      </c>
      <c r="C492" s="4">
        <f t="shared" ca="1" si="19"/>
        <v>45453</v>
      </c>
      <c r="D492" s="4">
        <f ca="1">TODAY()-557</f>
        <v>45480</v>
      </c>
      <c r="E492" s="3" t="s">
        <v>1029</v>
      </c>
      <c r="F492" s="43" t="b">
        <v>1</v>
      </c>
      <c r="G492" s="43" t="b">
        <v>1</v>
      </c>
      <c r="H492" s="44">
        <v>2330</v>
      </c>
    </row>
    <row r="493" spans="1:8" x14ac:dyDescent="0.3">
      <c r="A493" s="42" t="s">
        <v>1376</v>
      </c>
      <c r="B493" s="3" t="s">
        <v>1377</v>
      </c>
      <c r="C493" s="4">
        <f t="shared" ca="1" si="19"/>
        <v>45453</v>
      </c>
      <c r="D493" s="42"/>
      <c r="E493" s="3" t="s">
        <v>1037</v>
      </c>
      <c r="F493" s="43" t="b">
        <v>0</v>
      </c>
      <c r="G493" s="43" t="b">
        <v>0</v>
      </c>
      <c r="H493" s="44">
        <v>1600</v>
      </c>
    </row>
    <row r="494" spans="1:8" x14ac:dyDescent="0.3">
      <c r="A494" s="42" t="s">
        <v>1603</v>
      </c>
      <c r="B494" s="3" t="s">
        <v>1666</v>
      </c>
      <c r="C494" s="4">
        <f t="shared" ca="1" si="19"/>
        <v>45453</v>
      </c>
      <c r="D494" s="4">
        <f ca="1">TODAY()-559</f>
        <v>45478</v>
      </c>
      <c r="E494" s="3" t="s">
        <v>1029</v>
      </c>
      <c r="F494" s="43" t="b">
        <v>1</v>
      </c>
      <c r="G494" s="43" t="b">
        <v>1</v>
      </c>
      <c r="H494" s="44">
        <v>240</v>
      </c>
    </row>
    <row r="495" spans="1:8" x14ac:dyDescent="0.3">
      <c r="A495" s="42" t="s">
        <v>1492</v>
      </c>
      <c r="B495" s="3" t="s">
        <v>1441</v>
      </c>
      <c r="C495" s="4">
        <f t="shared" ca="1" si="19"/>
        <v>45453</v>
      </c>
      <c r="D495" s="4">
        <f ca="1">TODAY()-554</f>
        <v>45483</v>
      </c>
      <c r="E495" s="3" t="s">
        <v>1029</v>
      </c>
      <c r="F495" s="43" t="b">
        <v>1</v>
      </c>
      <c r="G495" s="43" t="b">
        <v>1</v>
      </c>
      <c r="H495" s="44">
        <v>1970</v>
      </c>
    </row>
    <row r="496" spans="1:8" x14ac:dyDescent="0.3">
      <c r="A496" s="42" t="s">
        <v>1374</v>
      </c>
      <c r="B496" s="3" t="s">
        <v>1375</v>
      </c>
      <c r="C496" s="4">
        <f t="shared" ca="1" si="19"/>
        <v>45453</v>
      </c>
      <c r="D496" s="4">
        <f ca="1">TODAY()-563</f>
        <v>45474</v>
      </c>
      <c r="E496" s="3" t="s">
        <v>1029</v>
      </c>
      <c r="F496" s="43" t="b">
        <v>1</v>
      </c>
      <c r="G496" s="43" t="b">
        <v>1</v>
      </c>
      <c r="H496" s="44">
        <v>560</v>
      </c>
    </row>
    <row r="497" spans="1:8" x14ac:dyDescent="0.3">
      <c r="A497" s="42" t="s">
        <v>1042</v>
      </c>
      <c r="B497" s="3" t="s">
        <v>1615</v>
      </c>
      <c r="C497" s="4">
        <f t="shared" ca="1" si="19"/>
        <v>45453</v>
      </c>
      <c r="D497" s="4">
        <f ca="1">TODAY()-567</f>
        <v>45470</v>
      </c>
      <c r="E497" s="3" t="s">
        <v>1029</v>
      </c>
      <c r="F497" s="43" t="b">
        <v>1</v>
      </c>
      <c r="G497" s="43" t="b">
        <v>1</v>
      </c>
      <c r="H497" s="44">
        <v>3800</v>
      </c>
    </row>
    <row r="498" spans="1:8" x14ac:dyDescent="0.3">
      <c r="A498" s="42" t="s">
        <v>1667</v>
      </c>
      <c r="B498" s="3" t="s">
        <v>1668</v>
      </c>
      <c r="C498" s="4">
        <f t="shared" ca="1" si="19"/>
        <v>45453</v>
      </c>
      <c r="D498" s="4">
        <f ca="1">TODAY()-574</f>
        <v>45463</v>
      </c>
      <c r="E498" s="3" t="s">
        <v>1029</v>
      </c>
      <c r="F498" s="43" t="b">
        <v>1</v>
      </c>
      <c r="G498" s="43" t="b">
        <v>1</v>
      </c>
      <c r="H498" s="44">
        <v>1360</v>
      </c>
    </row>
    <row r="499" spans="1:8" x14ac:dyDescent="0.3">
      <c r="A499" s="42" t="s">
        <v>1669</v>
      </c>
      <c r="B499" s="3" t="s">
        <v>1670</v>
      </c>
      <c r="C499" s="4">
        <f t="shared" ca="1" si="19"/>
        <v>45453</v>
      </c>
      <c r="D499" s="4">
        <f ca="1">TODAY()-568</f>
        <v>45469</v>
      </c>
      <c r="E499" s="3" t="s">
        <v>1029</v>
      </c>
      <c r="F499" s="43" t="b">
        <v>1</v>
      </c>
      <c r="G499" s="43" t="b">
        <v>1</v>
      </c>
      <c r="H499" s="44">
        <v>2200</v>
      </c>
    </row>
    <row r="500" spans="1:8" x14ac:dyDescent="0.3">
      <c r="A500" s="42" t="s">
        <v>1207</v>
      </c>
      <c r="B500" s="3" t="s">
        <v>1208</v>
      </c>
      <c r="C500" s="4">
        <f t="shared" ca="1" si="19"/>
        <v>45453</v>
      </c>
      <c r="D500" s="4">
        <f ca="1">TODAY()-563</f>
        <v>45474</v>
      </c>
      <c r="E500" s="3" t="s">
        <v>1032</v>
      </c>
      <c r="F500" s="43" t="b">
        <v>1</v>
      </c>
      <c r="G500" s="43" t="b">
        <v>0</v>
      </c>
      <c r="H500" s="44">
        <v>510</v>
      </c>
    </row>
    <row r="501" spans="1:8" x14ac:dyDescent="0.3">
      <c r="A501" s="42" t="s">
        <v>1671</v>
      </c>
      <c r="B501" s="3" t="s">
        <v>1222</v>
      </c>
      <c r="C501" s="4">
        <f t="shared" ca="1" si="19"/>
        <v>45453</v>
      </c>
      <c r="D501" s="4">
        <f ca="1">TODAY()-557</f>
        <v>45480</v>
      </c>
      <c r="E501" s="3" t="s">
        <v>1029</v>
      </c>
      <c r="F501" s="43" t="b">
        <v>1</v>
      </c>
      <c r="G501" s="43" t="b">
        <v>1</v>
      </c>
      <c r="H501" s="44">
        <v>1670</v>
      </c>
    </row>
    <row r="502" spans="1:8" x14ac:dyDescent="0.3">
      <c r="A502" s="42" t="s">
        <v>1109</v>
      </c>
      <c r="B502" s="3" t="s">
        <v>1201</v>
      </c>
      <c r="C502" s="4">
        <f t="shared" ca="1" si="19"/>
        <v>45453</v>
      </c>
      <c r="D502" s="4">
        <f ca="1">TODAY()-556</f>
        <v>45481</v>
      </c>
      <c r="E502" s="3" t="s">
        <v>1029</v>
      </c>
      <c r="F502" s="43" t="b">
        <v>1</v>
      </c>
      <c r="G502" s="43" t="b">
        <v>1</v>
      </c>
      <c r="H502" s="44">
        <v>5710</v>
      </c>
    </row>
    <row r="503" spans="1:8" x14ac:dyDescent="0.3">
      <c r="A503" s="42" t="s">
        <v>1280</v>
      </c>
      <c r="B503" s="3" t="s">
        <v>1136</v>
      </c>
      <c r="C503" s="4">
        <f t="shared" ca="1" si="19"/>
        <v>45453</v>
      </c>
      <c r="D503" s="4">
        <f ca="1">TODAY()-565</f>
        <v>45472</v>
      </c>
      <c r="E503" s="3" t="s">
        <v>1032</v>
      </c>
      <c r="F503" s="43" t="b">
        <v>1</v>
      </c>
      <c r="G503" s="43" t="b">
        <v>0</v>
      </c>
      <c r="H503" s="44">
        <v>1460</v>
      </c>
    </row>
    <row r="504" spans="1:8" x14ac:dyDescent="0.3">
      <c r="A504" s="42" t="s">
        <v>1672</v>
      </c>
      <c r="B504" s="3" t="s">
        <v>1673</v>
      </c>
      <c r="C504" s="4">
        <f t="shared" ca="1" si="19"/>
        <v>45453</v>
      </c>
      <c r="D504" s="4">
        <f ca="1">TODAY()-562</f>
        <v>45475</v>
      </c>
      <c r="E504" s="3" t="s">
        <v>1032</v>
      </c>
      <c r="F504" s="43" t="b">
        <v>1</v>
      </c>
      <c r="G504" s="43" t="b">
        <v>0</v>
      </c>
      <c r="H504" s="44">
        <v>1210</v>
      </c>
    </row>
    <row r="505" spans="1:8" x14ac:dyDescent="0.3">
      <c r="A505" s="42" t="s">
        <v>1131</v>
      </c>
      <c r="B505" s="3" t="s">
        <v>1222</v>
      </c>
      <c r="C505" s="4">
        <f t="shared" ca="1" si="19"/>
        <v>45453</v>
      </c>
      <c r="D505" s="4">
        <f ca="1">TODAY()-574</f>
        <v>45463</v>
      </c>
      <c r="E505" s="3" t="s">
        <v>1029</v>
      </c>
      <c r="F505" s="43" t="b">
        <v>1</v>
      </c>
      <c r="G505" s="43" t="b">
        <v>1</v>
      </c>
      <c r="H505" s="44">
        <v>930</v>
      </c>
    </row>
    <row r="506" spans="1:8" x14ac:dyDescent="0.3">
      <c r="A506" s="42" t="s">
        <v>1244</v>
      </c>
      <c r="B506" s="3" t="s">
        <v>1222</v>
      </c>
      <c r="C506" s="4">
        <f t="shared" ca="1" si="19"/>
        <v>45453</v>
      </c>
      <c r="D506" s="42"/>
      <c r="E506" s="3" t="s">
        <v>1037</v>
      </c>
      <c r="F506" s="43" t="b">
        <v>0</v>
      </c>
      <c r="G506" s="43" t="b">
        <v>0</v>
      </c>
      <c r="H506" s="44">
        <v>1250</v>
      </c>
    </row>
    <row r="507" spans="1:8" x14ac:dyDescent="0.3">
      <c r="A507" s="42" t="s">
        <v>1674</v>
      </c>
      <c r="B507" s="3" t="s">
        <v>1675</v>
      </c>
      <c r="C507" s="4">
        <f t="shared" ca="1" si="19"/>
        <v>45453</v>
      </c>
      <c r="D507" s="4">
        <f ca="1">TODAY()-564</f>
        <v>45473</v>
      </c>
      <c r="E507" s="3" t="s">
        <v>1029</v>
      </c>
      <c r="F507" s="43" t="b">
        <v>1</v>
      </c>
      <c r="G507" s="43" t="b">
        <v>1</v>
      </c>
      <c r="H507" s="44">
        <v>1290</v>
      </c>
    </row>
    <row r="508" spans="1:8" x14ac:dyDescent="0.3">
      <c r="A508" s="42" t="s">
        <v>1601</v>
      </c>
      <c r="B508" s="3" t="s">
        <v>1602</v>
      </c>
      <c r="C508" s="4">
        <f t="shared" ca="1" si="19"/>
        <v>45453</v>
      </c>
      <c r="D508" s="42"/>
      <c r="E508" s="3" t="s">
        <v>1108</v>
      </c>
      <c r="F508" s="43" t="b">
        <v>0</v>
      </c>
      <c r="G508" s="43" t="b">
        <v>0</v>
      </c>
      <c r="H508" s="44">
        <v>2340</v>
      </c>
    </row>
    <row r="509" spans="1:8" x14ac:dyDescent="0.3">
      <c r="A509" s="42" t="s">
        <v>1344</v>
      </c>
      <c r="B509" s="3" t="s">
        <v>1345</v>
      </c>
      <c r="C509" s="4">
        <f t="shared" ref="C509:C604" ca="1" si="21">TODAY()-554</f>
        <v>45483</v>
      </c>
      <c r="D509" s="4">
        <f ca="1">TODAY()-535</f>
        <v>45502</v>
      </c>
      <c r="E509" s="3" t="s">
        <v>1032</v>
      </c>
      <c r="F509" s="43" t="b">
        <v>1</v>
      </c>
      <c r="G509" s="43" t="b">
        <v>0</v>
      </c>
      <c r="H509" s="44">
        <v>890</v>
      </c>
    </row>
    <row r="510" spans="1:8" x14ac:dyDescent="0.3">
      <c r="A510" s="42" t="s">
        <v>1676</v>
      </c>
      <c r="B510" s="3" t="s">
        <v>1677</v>
      </c>
      <c r="C510" s="4">
        <f t="shared" ca="1" si="21"/>
        <v>45483</v>
      </c>
      <c r="D510" s="42"/>
      <c r="E510" s="3" t="s">
        <v>1101</v>
      </c>
      <c r="F510" s="43" t="b">
        <v>0</v>
      </c>
      <c r="G510" s="43" t="b">
        <v>0</v>
      </c>
      <c r="H510" s="44">
        <v>410</v>
      </c>
    </row>
    <row r="511" spans="1:8" x14ac:dyDescent="0.3">
      <c r="A511" s="42" t="s">
        <v>1403</v>
      </c>
      <c r="B511" s="3" t="s">
        <v>1678</v>
      </c>
      <c r="C511" s="4">
        <f t="shared" ca="1" si="21"/>
        <v>45483</v>
      </c>
      <c r="D511" s="4">
        <f ca="1">TODAY()-540</f>
        <v>45497</v>
      </c>
      <c r="E511" s="3" t="s">
        <v>1029</v>
      </c>
      <c r="F511" s="43" t="b">
        <v>1</v>
      </c>
      <c r="G511" s="43" t="b">
        <v>1</v>
      </c>
      <c r="H511" s="44">
        <v>1220</v>
      </c>
    </row>
    <row r="512" spans="1:8" x14ac:dyDescent="0.3">
      <c r="A512" s="42" t="s">
        <v>1679</v>
      </c>
      <c r="B512" s="3" t="s">
        <v>1587</v>
      </c>
      <c r="C512" s="4">
        <f t="shared" ca="1" si="21"/>
        <v>45483</v>
      </c>
      <c r="D512" s="4">
        <f ca="1">TODAY()-536</f>
        <v>45501</v>
      </c>
      <c r="E512" s="3" t="s">
        <v>1029</v>
      </c>
      <c r="F512" s="43" t="b">
        <v>1</v>
      </c>
      <c r="G512" s="43" t="b">
        <v>1</v>
      </c>
      <c r="H512" s="44">
        <v>790</v>
      </c>
    </row>
    <row r="513" spans="1:8" x14ac:dyDescent="0.3">
      <c r="A513" s="42" t="s">
        <v>1680</v>
      </c>
      <c r="B513" s="3" t="s">
        <v>1681</v>
      </c>
      <c r="C513" s="4">
        <f t="shared" ca="1" si="21"/>
        <v>45483</v>
      </c>
      <c r="D513" s="4">
        <f ca="1">TODAY()-544</f>
        <v>45493</v>
      </c>
      <c r="E513" s="3" t="s">
        <v>1029</v>
      </c>
      <c r="F513" s="43" t="b">
        <v>1</v>
      </c>
      <c r="G513" s="43" t="b">
        <v>1</v>
      </c>
      <c r="H513" s="44">
        <v>2420</v>
      </c>
    </row>
    <row r="514" spans="1:8" x14ac:dyDescent="0.3">
      <c r="A514" s="42" t="s">
        <v>1030</v>
      </c>
      <c r="B514" s="3" t="s">
        <v>1031</v>
      </c>
      <c r="C514" s="4">
        <f t="shared" ca="1" si="21"/>
        <v>45483</v>
      </c>
      <c r="D514" s="4">
        <f ca="1">TODAY()-534</f>
        <v>45503</v>
      </c>
      <c r="E514" s="3" t="s">
        <v>1032</v>
      </c>
      <c r="F514" s="43" t="b">
        <v>1</v>
      </c>
      <c r="G514" s="43" t="b">
        <v>0</v>
      </c>
      <c r="H514" s="44">
        <v>2170</v>
      </c>
    </row>
    <row r="515" spans="1:8" x14ac:dyDescent="0.3">
      <c r="A515" s="42" t="s">
        <v>1682</v>
      </c>
      <c r="B515" s="3" t="s">
        <v>1683</v>
      </c>
      <c r="C515" s="4">
        <f t="shared" ca="1" si="21"/>
        <v>45483</v>
      </c>
      <c r="D515" s="4">
        <f ca="1">TODAY()-532</f>
        <v>45505</v>
      </c>
      <c r="E515" s="3" t="s">
        <v>1029</v>
      </c>
      <c r="F515" s="43" t="b">
        <v>1</v>
      </c>
      <c r="G515" s="43" t="b">
        <v>1</v>
      </c>
      <c r="H515" s="44">
        <v>2190</v>
      </c>
    </row>
    <row r="516" spans="1:8" x14ac:dyDescent="0.3">
      <c r="A516" s="42" t="s">
        <v>1442</v>
      </c>
      <c r="B516" s="3" t="s">
        <v>1443</v>
      </c>
      <c r="C516" s="4">
        <f t="shared" ca="1" si="21"/>
        <v>45483</v>
      </c>
      <c r="D516" s="4">
        <f ca="1">TODAY()-527</f>
        <v>45510</v>
      </c>
      <c r="E516" s="3" t="s">
        <v>1029</v>
      </c>
      <c r="F516" s="43" t="b">
        <v>1</v>
      </c>
      <c r="G516" s="43" t="b">
        <v>1</v>
      </c>
      <c r="H516" s="44">
        <v>1120</v>
      </c>
    </row>
    <row r="517" spans="1:8" x14ac:dyDescent="0.3">
      <c r="A517" s="42" t="s">
        <v>1350</v>
      </c>
      <c r="B517" s="3" t="s">
        <v>1351</v>
      </c>
      <c r="C517" s="4">
        <f t="shared" ca="1" si="21"/>
        <v>45483</v>
      </c>
      <c r="D517" s="4">
        <f ca="1">TODAY()-534</f>
        <v>45503</v>
      </c>
      <c r="E517" s="3" t="s">
        <v>1029</v>
      </c>
      <c r="F517" s="43" t="b">
        <v>1</v>
      </c>
      <c r="G517" s="43" t="b">
        <v>1</v>
      </c>
      <c r="H517" s="44">
        <v>1030</v>
      </c>
    </row>
    <row r="518" spans="1:8" x14ac:dyDescent="0.3">
      <c r="A518" s="42" t="s">
        <v>1503</v>
      </c>
      <c r="B518" s="3" t="s">
        <v>1684</v>
      </c>
      <c r="C518" s="4">
        <f t="shared" ca="1" si="21"/>
        <v>45483</v>
      </c>
      <c r="D518" s="4">
        <f ca="1">TODAY()-535</f>
        <v>45502</v>
      </c>
      <c r="E518" s="3" t="s">
        <v>1032</v>
      </c>
      <c r="F518" s="43" t="b">
        <v>1</v>
      </c>
      <c r="G518" s="43" t="b">
        <v>0</v>
      </c>
      <c r="H518" s="44">
        <v>1470</v>
      </c>
    </row>
    <row r="519" spans="1:8" x14ac:dyDescent="0.3">
      <c r="A519" s="42" t="s">
        <v>1027</v>
      </c>
      <c r="B519" s="3" t="s">
        <v>1028</v>
      </c>
      <c r="C519" s="4">
        <f t="shared" ca="1" si="21"/>
        <v>45483</v>
      </c>
      <c r="D519" s="4">
        <f ca="1">TODAY()-524</f>
        <v>45513</v>
      </c>
      <c r="E519" s="3" t="s">
        <v>1029</v>
      </c>
      <c r="F519" s="43" t="b">
        <v>1</v>
      </c>
      <c r="G519" s="43" t="b">
        <v>1</v>
      </c>
      <c r="H519" s="44">
        <v>1650</v>
      </c>
    </row>
    <row r="520" spans="1:8" x14ac:dyDescent="0.3">
      <c r="A520" s="42" t="s">
        <v>1679</v>
      </c>
      <c r="B520" s="3" t="s">
        <v>1587</v>
      </c>
      <c r="C520" s="4">
        <f t="shared" ca="1" si="21"/>
        <v>45483</v>
      </c>
      <c r="D520" s="4">
        <f ca="1">TODAY()-537</f>
        <v>45500</v>
      </c>
      <c r="E520" s="3" t="s">
        <v>1029</v>
      </c>
      <c r="F520" s="43" t="b">
        <v>1</v>
      </c>
      <c r="G520" s="43" t="b">
        <v>1</v>
      </c>
      <c r="H520" s="44">
        <v>790</v>
      </c>
    </row>
    <row r="521" spans="1:8" x14ac:dyDescent="0.3">
      <c r="A521" s="42" t="s">
        <v>1389</v>
      </c>
      <c r="B521" s="3" t="s">
        <v>1390</v>
      </c>
      <c r="C521" s="4">
        <f t="shared" ca="1" si="21"/>
        <v>45483</v>
      </c>
      <c r="D521" s="42"/>
      <c r="E521" s="3" t="s">
        <v>1077</v>
      </c>
      <c r="F521" s="43" t="b">
        <v>0</v>
      </c>
      <c r="G521" s="43" t="b">
        <v>0</v>
      </c>
      <c r="H521" s="44">
        <v>1860</v>
      </c>
    </row>
    <row r="522" spans="1:8" x14ac:dyDescent="0.3">
      <c r="A522" s="42" t="s">
        <v>1685</v>
      </c>
      <c r="B522" s="3" t="s">
        <v>1686</v>
      </c>
      <c r="C522" s="4">
        <f t="shared" ca="1" si="21"/>
        <v>45483</v>
      </c>
      <c r="D522" s="4">
        <f ca="1">TODAY()-524</f>
        <v>45513</v>
      </c>
      <c r="E522" s="3" t="s">
        <v>1032</v>
      </c>
      <c r="F522" s="43" t="b">
        <v>1</v>
      </c>
      <c r="G522" s="43" t="b">
        <v>0</v>
      </c>
      <c r="H522" s="44">
        <v>1830</v>
      </c>
    </row>
    <row r="523" spans="1:8" x14ac:dyDescent="0.3">
      <c r="A523" s="42" t="s">
        <v>1123</v>
      </c>
      <c r="B523" s="3" t="s">
        <v>1124</v>
      </c>
      <c r="C523" s="4">
        <f t="shared" ca="1" si="21"/>
        <v>45483</v>
      </c>
      <c r="D523" s="4">
        <f ca="1">TODAY()-534</f>
        <v>45503</v>
      </c>
      <c r="E523" s="3" t="s">
        <v>1029</v>
      </c>
      <c r="F523" s="43" t="b">
        <v>1</v>
      </c>
      <c r="G523" s="43" t="b">
        <v>1</v>
      </c>
      <c r="H523" s="44">
        <v>3030</v>
      </c>
    </row>
    <row r="524" spans="1:8" x14ac:dyDescent="0.3">
      <c r="A524" s="42" t="s">
        <v>1687</v>
      </c>
      <c r="B524" s="3" t="s">
        <v>1688</v>
      </c>
      <c r="C524" s="4">
        <f t="shared" ca="1" si="21"/>
        <v>45483</v>
      </c>
      <c r="D524" s="4">
        <f ca="1">TODAY()-543</f>
        <v>45494</v>
      </c>
      <c r="E524" s="3" t="s">
        <v>1029</v>
      </c>
      <c r="F524" s="43" t="b">
        <v>1</v>
      </c>
      <c r="G524" s="43" t="b">
        <v>1</v>
      </c>
      <c r="H524" s="44">
        <v>600</v>
      </c>
    </row>
    <row r="525" spans="1:8" x14ac:dyDescent="0.3">
      <c r="A525" s="42" t="s">
        <v>1298</v>
      </c>
      <c r="B525" s="3" t="s">
        <v>1299</v>
      </c>
      <c r="C525" s="4">
        <f t="shared" ca="1" si="21"/>
        <v>45483</v>
      </c>
      <c r="D525" s="4">
        <f ca="1">TODAY()-536</f>
        <v>45501</v>
      </c>
      <c r="E525" s="3" t="s">
        <v>1032</v>
      </c>
      <c r="F525" s="43" t="b">
        <v>1</v>
      </c>
      <c r="G525" s="43" t="b">
        <v>0</v>
      </c>
      <c r="H525" s="44">
        <v>260</v>
      </c>
    </row>
    <row r="526" spans="1:8" x14ac:dyDescent="0.3">
      <c r="A526" s="42" t="s">
        <v>1689</v>
      </c>
      <c r="B526" s="3" t="s">
        <v>1690</v>
      </c>
      <c r="C526" s="4">
        <f t="shared" ca="1" si="21"/>
        <v>45483</v>
      </c>
      <c r="D526" s="42"/>
      <c r="E526" s="3" t="s">
        <v>1108</v>
      </c>
      <c r="F526" s="43" t="b">
        <v>0</v>
      </c>
      <c r="G526" s="43" t="b">
        <v>0</v>
      </c>
      <c r="H526" s="44">
        <v>1800</v>
      </c>
    </row>
    <row r="527" spans="1:8" x14ac:dyDescent="0.3">
      <c r="A527" s="42" t="s">
        <v>1348</v>
      </c>
      <c r="B527" s="3" t="s">
        <v>1349</v>
      </c>
      <c r="C527" s="4">
        <f t="shared" ca="1" si="21"/>
        <v>45483</v>
      </c>
      <c r="D527" s="4">
        <f ca="1">TODAY()-540</f>
        <v>45497</v>
      </c>
      <c r="E527" s="3" t="s">
        <v>1032</v>
      </c>
      <c r="F527" s="43" t="b">
        <v>1</v>
      </c>
      <c r="G527" s="43" t="b">
        <v>0</v>
      </c>
      <c r="H527" s="44">
        <v>570</v>
      </c>
    </row>
    <row r="528" spans="1:8" x14ac:dyDescent="0.3">
      <c r="A528" s="42" t="s">
        <v>1646</v>
      </c>
      <c r="B528" s="3" t="s">
        <v>1691</v>
      </c>
      <c r="C528" s="4">
        <f t="shared" ca="1" si="21"/>
        <v>45483</v>
      </c>
      <c r="D528" s="4">
        <f ca="1">TODAY()-543</f>
        <v>45494</v>
      </c>
      <c r="E528" s="3" t="s">
        <v>1029</v>
      </c>
      <c r="F528" s="43" t="b">
        <v>1</v>
      </c>
      <c r="G528" s="43" t="b">
        <v>1</v>
      </c>
      <c r="H528" s="44">
        <v>2150</v>
      </c>
    </row>
    <row r="529" spans="1:8" x14ac:dyDescent="0.3">
      <c r="A529" s="42" t="s">
        <v>1472</v>
      </c>
      <c r="B529" s="3" t="s">
        <v>1400</v>
      </c>
      <c r="C529" s="4">
        <f t="shared" ca="1" si="21"/>
        <v>45483</v>
      </c>
      <c r="D529" s="42"/>
      <c r="E529" s="3" t="s">
        <v>1108</v>
      </c>
      <c r="F529" s="43" t="b">
        <v>0</v>
      </c>
      <c r="G529" s="43" t="b">
        <v>0</v>
      </c>
      <c r="H529" s="44">
        <v>1530</v>
      </c>
    </row>
    <row r="530" spans="1:8" x14ac:dyDescent="0.3">
      <c r="A530" s="42" t="s">
        <v>1097</v>
      </c>
      <c r="B530" s="3" t="s">
        <v>1692</v>
      </c>
      <c r="C530" s="4">
        <f t="shared" ca="1" si="21"/>
        <v>45483</v>
      </c>
      <c r="D530" s="4">
        <f ca="1">TODAY()-536</f>
        <v>45501</v>
      </c>
      <c r="E530" s="3" t="s">
        <v>1032</v>
      </c>
      <c r="F530" s="43" t="b">
        <v>1</v>
      </c>
      <c r="G530" s="43" t="b">
        <v>0</v>
      </c>
      <c r="H530" s="44">
        <v>2050</v>
      </c>
    </row>
    <row r="531" spans="1:8" x14ac:dyDescent="0.3">
      <c r="A531" s="42" t="s">
        <v>1330</v>
      </c>
      <c r="B531" s="3" t="s">
        <v>1331</v>
      </c>
      <c r="C531" s="4">
        <f t="shared" ca="1" si="21"/>
        <v>45483</v>
      </c>
      <c r="D531" s="42"/>
      <c r="E531" s="3" t="s">
        <v>1101</v>
      </c>
      <c r="F531" s="43" t="b">
        <v>0</v>
      </c>
      <c r="G531" s="43" t="b">
        <v>0</v>
      </c>
      <c r="H531" s="44">
        <v>1430</v>
      </c>
    </row>
    <row r="532" spans="1:8" x14ac:dyDescent="0.3">
      <c r="A532" s="42" t="s">
        <v>1468</v>
      </c>
      <c r="B532" s="3" t="s">
        <v>1693</v>
      </c>
      <c r="C532" s="4">
        <f t="shared" ca="1" si="21"/>
        <v>45483</v>
      </c>
      <c r="D532" s="42"/>
      <c r="E532" s="3" t="s">
        <v>1103</v>
      </c>
      <c r="F532" s="43" t="b">
        <v>0</v>
      </c>
      <c r="G532" s="43" t="b">
        <v>0</v>
      </c>
      <c r="H532" s="44">
        <v>410</v>
      </c>
    </row>
    <row r="533" spans="1:8" x14ac:dyDescent="0.3">
      <c r="A533" s="42" t="s">
        <v>1694</v>
      </c>
      <c r="B533" s="3" t="s">
        <v>1608</v>
      </c>
      <c r="C533" s="4">
        <f t="shared" ca="1" si="21"/>
        <v>45483</v>
      </c>
      <c r="D533" s="4">
        <f t="shared" ref="D533:D534" ca="1" si="22">TODAY()-525</f>
        <v>45512</v>
      </c>
      <c r="E533" s="3" t="s">
        <v>1032</v>
      </c>
      <c r="F533" s="43" t="b">
        <v>1</v>
      </c>
      <c r="G533" s="43" t="b">
        <v>0</v>
      </c>
      <c r="H533" s="44">
        <v>1470</v>
      </c>
    </row>
    <row r="534" spans="1:8" x14ac:dyDescent="0.3">
      <c r="A534" s="42" t="s">
        <v>1695</v>
      </c>
      <c r="B534" s="3" t="s">
        <v>1696</v>
      </c>
      <c r="C534" s="4">
        <f t="shared" ca="1" si="21"/>
        <v>45483</v>
      </c>
      <c r="D534" s="4">
        <f t="shared" ca="1" si="22"/>
        <v>45512</v>
      </c>
      <c r="E534" s="3" t="s">
        <v>1029</v>
      </c>
      <c r="F534" s="43" t="b">
        <v>1</v>
      </c>
      <c r="G534" s="43" t="b">
        <v>1</v>
      </c>
      <c r="H534" s="44">
        <v>130</v>
      </c>
    </row>
    <row r="535" spans="1:8" x14ac:dyDescent="0.3">
      <c r="A535" s="42" t="s">
        <v>1361</v>
      </c>
      <c r="B535" s="3" t="s">
        <v>1664</v>
      </c>
      <c r="C535" s="4">
        <f t="shared" ca="1" si="21"/>
        <v>45483</v>
      </c>
      <c r="D535" s="4">
        <f ca="1">TODAY()-528</f>
        <v>45509</v>
      </c>
      <c r="E535" s="3" t="s">
        <v>1029</v>
      </c>
      <c r="F535" s="43" t="b">
        <v>1</v>
      </c>
      <c r="G535" s="43" t="b">
        <v>1</v>
      </c>
      <c r="H535" s="44">
        <v>1990</v>
      </c>
    </row>
    <row r="536" spans="1:8" x14ac:dyDescent="0.3">
      <c r="A536" s="42" t="s">
        <v>1682</v>
      </c>
      <c r="B536" s="3" t="s">
        <v>1683</v>
      </c>
      <c r="C536" s="4">
        <f t="shared" ca="1" si="21"/>
        <v>45483</v>
      </c>
      <c r="D536" s="4">
        <f ca="1">TODAY()-541</f>
        <v>45496</v>
      </c>
      <c r="E536" s="3" t="s">
        <v>1029</v>
      </c>
      <c r="F536" s="43" t="b">
        <v>1</v>
      </c>
      <c r="G536" s="43" t="b">
        <v>1</v>
      </c>
      <c r="H536" s="44">
        <v>2190</v>
      </c>
    </row>
    <row r="537" spans="1:8" x14ac:dyDescent="0.3">
      <c r="A537" s="42" t="s">
        <v>1697</v>
      </c>
      <c r="B537" s="3" t="s">
        <v>1698</v>
      </c>
      <c r="C537" s="4">
        <f t="shared" ca="1" si="21"/>
        <v>45483</v>
      </c>
      <c r="D537" s="4">
        <f ca="1">TODAY()-525</f>
        <v>45512</v>
      </c>
      <c r="E537" s="3" t="s">
        <v>1029</v>
      </c>
      <c r="F537" s="43" t="b">
        <v>1</v>
      </c>
      <c r="G537" s="43" t="b">
        <v>1</v>
      </c>
      <c r="H537" s="44">
        <v>2160</v>
      </c>
    </row>
    <row r="538" spans="1:8" x14ac:dyDescent="0.3">
      <c r="A538" s="42" t="s">
        <v>1699</v>
      </c>
      <c r="B538" s="3" t="s">
        <v>1700</v>
      </c>
      <c r="C538" s="4">
        <f t="shared" ca="1" si="21"/>
        <v>45483</v>
      </c>
      <c r="D538" s="4">
        <f ca="1">TODAY()-544</f>
        <v>45493</v>
      </c>
      <c r="E538" s="3" t="s">
        <v>1029</v>
      </c>
      <c r="F538" s="43" t="b">
        <v>1</v>
      </c>
      <c r="G538" s="43" t="b">
        <v>1</v>
      </c>
      <c r="H538" s="44">
        <v>1430</v>
      </c>
    </row>
    <row r="539" spans="1:8" x14ac:dyDescent="0.3">
      <c r="A539" s="42" t="s">
        <v>1624</v>
      </c>
      <c r="B539" s="3" t="s">
        <v>1625</v>
      </c>
      <c r="C539" s="4">
        <f t="shared" ca="1" si="21"/>
        <v>45483</v>
      </c>
      <c r="D539" s="4">
        <f ca="1">TODAY()-527</f>
        <v>45510</v>
      </c>
      <c r="E539" s="3" t="s">
        <v>1029</v>
      </c>
      <c r="F539" s="43" t="b">
        <v>1</v>
      </c>
      <c r="G539" s="43" t="b">
        <v>1</v>
      </c>
      <c r="H539" s="44">
        <v>1630</v>
      </c>
    </row>
    <row r="540" spans="1:8" x14ac:dyDescent="0.3">
      <c r="A540" s="42" t="s">
        <v>1530</v>
      </c>
      <c r="B540" s="3" t="s">
        <v>1531</v>
      </c>
      <c r="C540" s="4">
        <f t="shared" ca="1" si="21"/>
        <v>45483</v>
      </c>
      <c r="D540" s="4">
        <f ca="1">TODAY()-540</f>
        <v>45497</v>
      </c>
      <c r="E540" s="3" t="s">
        <v>1029</v>
      </c>
      <c r="F540" s="43" t="b">
        <v>1</v>
      </c>
      <c r="G540" s="43" t="b">
        <v>1</v>
      </c>
      <c r="H540" s="44">
        <v>1390</v>
      </c>
    </row>
    <row r="541" spans="1:8" x14ac:dyDescent="0.3">
      <c r="A541" s="42" t="s">
        <v>1689</v>
      </c>
      <c r="B541" s="3" t="s">
        <v>1701</v>
      </c>
      <c r="C541" s="4">
        <f t="shared" ca="1" si="21"/>
        <v>45483</v>
      </c>
      <c r="D541" s="4">
        <f ca="1">TODAY()-527</f>
        <v>45510</v>
      </c>
      <c r="E541" s="3" t="s">
        <v>1029</v>
      </c>
      <c r="F541" s="43" t="b">
        <v>1</v>
      </c>
      <c r="G541" s="43" t="b">
        <v>1</v>
      </c>
      <c r="H541" s="44">
        <v>4230</v>
      </c>
    </row>
    <row r="542" spans="1:8" x14ac:dyDescent="0.3">
      <c r="A542" s="42" t="s">
        <v>1492</v>
      </c>
      <c r="B542" s="3" t="s">
        <v>1493</v>
      </c>
      <c r="C542" s="4">
        <f t="shared" ca="1" si="21"/>
        <v>45483</v>
      </c>
      <c r="D542" s="42"/>
      <c r="E542" s="3" t="s">
        <v>1108</v>
      </c>
      <c r="F542" s="43" t="b">
        <v>0</v>
      </c>
      <c r="G542" s="43" t="b">
        <v>0</v>
      </c>
      <c r="H542" s="44">
        <v>1860</v>
      </c>
    </row>
    <row r="543" spans="1:8" x14ac:dyDescent="0.3">
      <c r="A543" s="42" t="s">
        <v>1702</v>
      </c>
      <c r="B543" s="3" t="s">
        <v>1703</v>
      </c>
      <c r="C543" s="4">
        <f t="shared" ca="1" si="21"/>
        <v>45483</v>
      </c>
      <c r="D543" s="4">
        <f ca="1">TODAY()-543</f>
        <v>45494</v>
      </c>
      <c r="E543" s="3" t="s">
        <v>1029</v>
      </c>
      <c r="F543" s="43" t="b">
        <v>1</v>
      </c>
      <c r="G543" s="43" t="b">
        <v>1</v>
      </c>
      <c r="H543" s="44">
        <v>2350</v>
      </c>
    </row>
    <row r="544" spans="1:8" x14ac:dyDescent="0.3">
      <c r="A544" s="42" t="s">
        <v>1704</v>
      </c>
      <c r="B544" s="3" t="s">
        <v>1705</v>
      </c>
      <c r="C544" s="4">
        <f t="shared" ca="1" si="21"/>
        <v>45483</v>
      </c>
      <c r="D544" s="4">
        <f ca="1">TODAY()-524</f>
        <v>45513</v>
      </c>
      <c r="E544" s="3" t="s">
        <v>1029</v>
      </c>
      <c r="F544" s="43" t="b">
        <v>1</v>
      </c>
      <c r="G544" s="43" t="b">
        <v>1</v>
      </c>
      <c r="H544" s="44">
        <v>2280</v>
      </c>
    </row>
    <row r="545" spans="1:8" x14ac:dyDescent="0.3">
      <c r="A545" s="42" t="s">
        <v>1173</v>
      </c>
      <c r="B545" s="3" t="s">
        <v>1706</v>
      </c>
      <c r="C545" s="4">
        <f t="shared" ca="1" si="21"/>
        <v>45483</v>
      </c>
      <c r="D545" s="42"/>
      <c r="E545" s="3" t="s">
        <v>1070</v>
      </c>
      <c r="F545" s="43" t="b">
        <v>0</v>
      </c>
      <c r="G545" s="43" t="b">
        <v>0</v>
      </c>
      <c r="H545" s="44">
        <v>130</v>
      </c>
    </row>
    <row r="546" spans="1:8" x14ac:dyDescent="0.3">
      <c r="A546" s="42" t="s">
        <v>1048</v>
      </c>
      <c r="B546" s="3" t="s">
        <v>1049</v>
      </c>
      <c r="C546" s="4">
        <f t="shared" ca="1" si="21"/>
        <v>45483</v>
      </c>
      <c r="D546" s="42"/>
      <c r="E546" s="3" t="s">
        <v>1037</v>
      </c>
      <c r="F546" s="43" t="b">
        <v>0</v>
      </c>
      <c r="G546" s="43" t="b">
        <v>0</v>
      </c>
      <c r="H546" s="44">
        <v>2500</v>
      </c>
    </row>
    <row r="547" spans="1:8" x14ac:dyDescent="0.3">
      <c r="A547" s="42" t="s">
        <v>1157</v>
      </c>
      <c r="B547" s="3" t="s">
        <v>1158</v>
      </c>
      <c r="C547" s="4">
        <f t="shared" ca="1" si="21"/>
        <v>45483</v>
      </c>
      <c r="D547" s="4">
        <f ca="1">TODAY()-526</f>
        <v>45511</v>
      </c>
      <c r="E547" s="3" t="s">
        <v>1029</v>
      </c>
      <c r="F547" s="43" t="b">
        <v>1</v>
      </c>
      <c r="G547" s="43" t="b">
        <v>1</v>
      </c>
      <c r="H547" s="44">
        <v>360</v>
      </c>
    </row>
    <row r="548" spans="1:8" x14ac:dyDescent="0.3">
      <c r="A548" s="42" t="s">
        <v>1505</v>
      </c>
      <c r="B548" s="3" t="s">
        <v>1506</v>
      </c>
      <c r="C548" s="4">
        <f t="shared" ca="1" si="21"/>
        <v>45483</v>
      </c>
      <c r="D548" s="4">
        <f ca="1">TODAY()-533</f>
        <v>45504</v>
      </c>
      <c r="E548" s="3" t="s">
        <v>1032</v>
      </c>
      <c r="F548" s="43" t="b">
        <v>1</v>
      </c>
      <c r="G548" s="43" t="b">
        <v>0</v>
      </c>
      <c r="H548" s="44">
        <v>2180</v>
      </c>
    </row>
    <row r="549" spans="1:8" x14ac:dyDescent="0.3">
      <c r="A549" s="42" t="s">
        <v>1322</v>
      </c>
      <c r="B549" s="3" t="s">
        <v>1323</v>
      </c>
      <c r="C549" s="4">
        <f t="shared" ca="1" si="21"/>
        <v>45483</v>
      </c>
      <c r="D549" s="4">
        <f ca="1">TODAY()-530</f>
        <v>45507</v>
      </c>
      <c r="E549" s="3" t="s">
        <v>1029</v>
      </c>
      <c r="F549" s="43" t="b">
        <v>1</v>
      </c>
      <c r="G549" s="43" t="b">
        <v>1</v>
      </c>
      <c r="H549" s="44">
        <v>4500</v>
      </c>
    </row>
    <row r="550" spans="1:8" x14ac:dyDescent="0.3">
      <c r="A550" s="42" t="s">
        <v>1048</v>
      </c>
      <c r="B550" s="3" t="s">
        <v>1540</v>
      </c>
      <c r="C550" s="4">
        <f t="shared" ca="1" si="21"/>
        <v>45483</v>
      </c>
      <c r="D550" s="4">
        <f ca="1">TODAY()-536</f>
        <v>45501</v>
      </c>
      <c r="E550" s="3" t="s">
        <v>1029</v>
      </c>
      <c r="F550" s="43" t="b">
        <v>1</v>
      </c>
      <c r="G550" s="43" t="b">
        <v>1</v>
      </c>
      <c r="H550" s="44">
        <v>1470</v>
      </c>
    </row>
    <row r="551" spans="1:8" x14ac:dyDescent="0.3">
      <c r="A551" s="42" t="s">
        <v>1288</v>
      </c>
      <c r="B551" s="3" t="s">
        <v>1116</v>
      </c>
      <c r="C551" s="4">
        <f t="shared" ca="1" si="21"/>
        <v>45483</v>
      </c>
      <c r="D551" s="4">
        <f ca="1">TODAY()-531</f>
        <v>45506</v>
      </c>
      <c r="E551" s="3" t="s">
        <v>1029</v>
      </c>
      <c r="F551" s="43" t="b">
        <v>1</v>
      </c>
      <c r="G551" s="43" t="b">
        <v>1</v>
      </c>
      <c r="H551" s="44">
        <v>1800</v>
      </c>
    </row>
    <row r="552" spans="1:8" x14ac:dyDescent="0.3">
      <c r="A552" s="42" t="s">
        <v>1238</v>
      </c>
      <c r="B552" s="3" t="s">
        <v>1239</v>
      </c>
      <c r="C552" s="4">
        <f t="shared" ca="1" si="21"/>
        <v>45483</v>
      </c>
      <c r="D552" s="4">
        <f ca="1">TODAY()-527</f>
        <v>45510</v>
      </c>
      <c r="E552" s="3" t="s">
        <v>1032</v>
      </c>
      <c r="F552" s="43" t="b">
        <v>1</v>
      </c>
      <c r="G552" s="43" t="b">
        <v>0</v>
      </c>
      <c r="H552" s="44">
        <v>560</v>
      </c>
    </row>
    <row r="553" spans="1:8" x14ac:dyDescent="0.3">
      <c r="A553" s="42" t="s">
        <v>1635</v>
      </c>
      <c r="B553" s="3" t="s">
        <v>1636</v>
      </c>
      <c r="C553" s="4">
        <f t="shared" ca="1" si="21"/>
        <v>45483</v>
      </c>
      <c r="D553" s="4">
        <f ca="1">TODAY()-540</f>
        <v>45497</v>
      </c>
      <c r="E553" s="3" t="s">
        <v>1029</v>
      </c>
      <c r="F553" s="43" t="b">
        <v>1</v>
      </c>
      <c r="G553" s="43" t="b">
        <v>1</v>
      </c>
      <c r="H553" s="44">
        <v>1280</v>
      </c>
    </row>
    <row r="554" spans="1:8" x14ac:dyDescent="0.3">
      <c r="A554" s="42" t="s">
        <v>1411</v>
      </c>
      <c r="B554" s="3" t="s">
        <v>1136</v>
      </c>
      <c r="C554" s="4">
        <f t="shared" ca="1" si="21"/>
        <v>45483</v>
      </c>
      <c r="D554" s="4">
        <f ca="1">TODAY()-527</f>
        <v>45510</v>
      </c>
      <c r="E554" s="3" t="s">
        <v>1029</v>
      </c>
      <c r="F554" s="43" t="b">
        <v>1</v>
      </c>
      <c r="G554" s="43" t="b">
        <v>1</v>
      </c>
      <c r="H554" s="44">
        <v>490</v>
      </c>
    </row>
    <row r="555" spans="1:8" x14ac:dyDescent="0.3">
      <c r="A555" s="42" t="s">
        <v>1312</v>
      </c>
      <c r="B555" s="3" t="s">
        <v>1707</v>
      </c>
      <c r="C555" s="4">
        <f t="shared" ca="1" si="21"/>
        <v>45483</v>
      </c>
      <c r="D555" s="42"/>
      <c r="E555" s="3" t="s">
        <v>1101</v>
      </c>
      <c r="F555" s="43" t="b">
        <v>0</v>
      </c>
      <c r="G555" s="43" t="b">
        <v>0</v>
      </c>
      <c r="H555" s="44">
        <v>770</v>
      </c>
    </row>
    <row r="556" spans="1:8" x14ac:dyDescent="0.3">
      <c r="A556" s="42" t="s">
        <v>1460</v>
      </c>
      <c r="B556" s="3" t="s">
        <v>1664</v>
      </c>
      <c r="C556" s="4">
        <f t="shared" ca="1" si="21"/>
        <v>45483</v>
      </c>
      <c r="D556" s="4">
        <f ca="1">TODAY()-530</f>
        <v>45507</v>
      </c>
      <c r="E556" s="3" t="s">
        <v>1029</v>
      </c>
      <c r="F556" s="43" t="b">
        <v>1</v>
      </c>
      <c r="G556" s="43" t="b">
        <v>1</v>
      </c>
      <c r="H556" s="44">
        <v>1180</v>
      </c>
    </row>
    <row r="557" spans="1:8" x14ac:dyDescent="0.3">
      <c r="A557" s="42" t="s">
        <v>1708</v>
      </c>
      <c r="B557" s="3" t="s">
        <v>1709</v>
      </c>
      <c r="C557" s="4">
        <f t="shared" ca="1" si="21"/>
        <v>45483</v>
      </c>
      <c r="D557" s="4">
        <f ca="1">TODAY()-544</f>
        <v>45493</v>
      </c>
      <c r="E557" s="3" t="s">
        <v>1029</v>
      </c>
      <c r="F557" s="43" t="b">
        <v>1</v>
      </c>
      <c r="G557" s="43" t="b">
        <v>1</v>
      </c>
      <c r="H557" s="44">
        <v>1910</v>
      </c>
    </row>
    <row r="558" spans="1:8" x14ac:dyDescent="0.3">
      <c r="A558" s="42" t="s">
        <v>1484</v>
      </c>
      <c r="B558" s="3" t="s">
        <v>1485</v>
      </c>
      <c r="C558" s="4">
        <f t="shared" ca="1" si="21"/>
        <v>45483</v>
      </c>
      <c r="D558" s="42"/>
      <c r="E558" s="3" t="s">
        <v>1037</v>
      </c>
      <c r="F558" s="43" t="b">
        <v>0</v>
      </c>
      <c r="G558" s="43" t="b">
        <v>0</v>
      </c>
      <c r="H558" s="44">
        <v>2330</v>
      </c>
    </row>
    <row r="559" spans="1:8" x14ac:dyDescent="0.3">
      <c r="A559" s="42" t="s">
        <v>1423</v>
      </c>
      <c r="B559" s="3" t="s">
        <v>1710</v>
      </c>
      <c r="C559" s="4">
        <f t="shared" ca="1" si="21"/>
        <v>45483</v>
      </c>
      <c r="D559" s="4">
        <f ca="1">TODAY()-535</f>
        <v>45502</v>
      </c>
      <c r="E559" s="3" t="s">
        <v>1029</v>
      </c>
      <c r="F559" s="43" t="b">
        <v>1</v>
      </c>
      <c r="G559" s="43" t="b">
        <v>1</v>
      </c>
      <c r="H559" s="44">
        <v>160</v>
      </c>
    </row>
    <row r="560" spans="1:8" x14ac:dyDescent="0.3">
      <c r="A560" s="42" t="s">
        <v>1357</v>
      </c>
      <c r="B560" s="3" t="s">
        <v>1561</v>
      </c>
      <c r="C560" s="4">
        <f t="shared" ca="1" si="21"/>
        <v>45483</v>
      </c>
      <c r="D560" s="42"/>
      <c r="E560" s="3" t="s">
        <v>1103</v>
      </c>
      <c r="F560" s="43" t="b">
        <v>0</v>
      </c>
      <c r="G560" s="43" t="b">
        <v>0</v>
      </c>
      <c r="H560" s="44">
        <v>1690</v>
      </c>
    </row>
    <row r="561" spans="1:8" x14ac:dyDescent="0.3">
      <c r="A561" s="42" t="s">
        <v>1667</v>
      </c>
      <c r="B561" s="3" t="s">
        <v>1668</v>
      </c>
      <c r="C561" s="4">
        <f t="shared" ca="1" si="21"/>
        <v>45483</v>
      </c>
      <c r="D561" s="4">
        <f ca="1">TODAY()-532</f>
        <v>45505</v>
      </c>
      <c r="E561" s="3" t="s">
        <v>1029</v>
      </c>
      <c r="F561" s="43" t="b">
        <v>1</v>
      </c>
      <c r="G561" s="43" t="b">
        <v>1</v>
      </c>
      <c r="H561" s="44">
        <v>1360</v>
      </c>
    </row>
    <row r="562" spans="1:8" x14ac:dyDescent="0.3">
      <c r="A562" s="42" t="s">
        <v>1711</v>
      </c>
      <c r="B562" s="3" t="s">
        <v>1712</v>
      </c>
      <c r="C562" s="4">
        <f t="shared" ca="1" si="21"/>
        <v>45483</v>
      </c>
      <c r="D562" s="4">
        <f ca="1">TODAY()-534</f>
        <v>45503</v>
      </c>
      <c r="E562" s="3" t="s">
        <v>1032</v>
      </c>
      <c r="F562" s="43" t="b">
        <v>1</v>
      </c>
      <c r="G562" s="43" t="b">
        <v>0</v>
      </c>
      <c r="H562" s="44">
        <v>970</v>
      </c>
    </row>
    <row r="563" spans="1:8" x14ac:dyDescent="0.3">
      <c r="A563" s="42" t="s">
        <v>1515</v>
      </c>
      <c r="B563" s="3" t="s">
        <v>1516</v>
      </c>
      <c r="C563" s="4">
        <f t="shared" ca="1" si="21"/>
        <v>45483</v>
      </c>
      <c r="D563" s="4">
        <f ca="1">TODAY()-537</f>
        <v>45500</v>
      </c>
      <c r="E563" s="3" t="s">
        <v>1032</v>
      </c>
      <c r="F563" s="43" t="b">
        <v>1</v>
      </c>
      <c r="G563" s="43" t="b">
        <v>0</v>
      </c>
      <c r="H563" s="44">
        <v>980</v>
      </c>
    </row>
    <row r="564" spans="1:8" x14ac:dyDescent="0.3">
      <c r="A564" s="42" t="s">
        <v>1135</v>
      </c>
      <c r="B564" s="3" t="s">
        <v>1136</v>
      </c>
      <c r="C564" s="4">
        <f t="shared" ca="1" si="21"/>
        <v>45483</v>
      </c>
      <c r="D564" s="4">
        <f ca="1">TODAY()-526</f>
        <v>45511</v>
      </c>
      <c r="E564" s="3" t="s">
        <v>1029</v>
      </c>
      <c r="F564" s="43" t="b">
        <v>1</v>
      </c>
      <c r="G564" s="43" t="b">
        <v>1</v>
      </c>
      <c r="H564" s="44">
        <v>560</v>
      </c>
    </row>
    <row r="565" spans="1:8" x14ac:dyDescent="0.3">
      <c r="A565" s="42" t="s">
        <v>1153</v>
      </c>
      <c r="B565" s="3" t="s">
        <v>1665</v>
      </c>
      <c r="C565" s="4">
        <f t="shared" ca="1" si="21"/>
        <v>45483</v>
      </c>
      <c r="D565" s="4">
        <f ca="1">TODAY()-531</f>
        <v>45506</v>
      </c>
      <c r="E565" s="3" t="s">
        <v>1029</v>
      </c>
      <c r="F565" s="43" t="b">
        <v>1</v>
      </c>
      <c r="G565" s="43" t="b">
        <v>1</v>
      </c>
      <c r="H565" s="44">
        <v>750</v>
      </c>
    </row>
    <row r="566" spans="1:8" x14ac:dyDescent="0.3">
      <c r="A566" s="42" t="s">
        <v>1713</v>
      </c>
      <c r="B566" s="3" t="s">
        <v>1714</v>
      </c>
      <c r="C566" s="4">
        <f t="shared" ca="1" si="21"/>
        <v>45483</v>
      </c>
      <c r="D566" s="4">
        <f ca="1">TODAY()-525</f>
        <v>45512</v>
      </c>
      <c r="E566" s="3" t="s">
        <v>1029</v>
      </c>
      <c r="F566" s="43" t="b">
        <v>1</v>
      </c>
      <c r="G566" s="43" t="b">
        <v>1</v>
      </c>
      <c r="H566" s="44">
        <v>1460</v>
      </c>
    </row>
    <row r="567" spans="1:8" x14ac:dyDescent="0.3">
      <c r="A567" s="42" t="s">
        <v>1453</v>
      </c>
      <c r="B567" s="3" t="s">
        <v>1454</v>
      </c>
      <c r="C567" s="4">
        <f t="shared" ca="1" si="21"/>
        <v>45483</v>
      </c>
      <c r="D567" s="4">
        <f ca="1">TODAY()-536</f>
        <v>45501</v>
      </c>
      <c r="E567" s="3" t="s">
        <v>1029</v>
      </c>
      <c r="F567" s="43" t="b">
        <v>1</v>
      </c>
      <c r="G567" s="43" t="b">
        <v>1</v>
      </c>
      <c r="H567" s="44">
        <v>1030</v>
      </c>
    </row>
    <row r="568" spans="1:8" x14ac:dyDescent="0.3">
      <c r="A568" s="42" t="s">
        <v>1708</v>
      </c>
      <c r="B568" s="3" t="s">
        <v>1715</v>
      </c>
      <c r="C568" s="4">
        <f t="shared" ca="1" si="21"/>
        <v>45483</v>
      </c>
      <c r="D568" s="42"/>
      <c r="E568" s="3" t="s">
        <v>1108</v>
      </c>
      <c r="F568" s="43" t="b">
        <v>0</v>
      </c>
      <c r="G568" s="43" t="b">
        <v>0</v>
      </c>
      <c r="H568" s="44">
        <v>720</v>
      </c>
    </row>
    <row r="569" spans="1:8" x14ac:dyDescent="0.3">
      <c r="A569" s="42" t="s">
        <v>1332</v>
      </c>
      <c r="B569" s="3" t="s">
        <v>1501</v>
      </c>
      <c r="C569" s="4">
        <f t="shared" ca="1" si="21"/>
        <v>45483</v>
      </c>
      <c r="D569" s="42"/>
      <c r="E569" s="3" t="s">
        <v>1101</v>
      </c>
      <c r="F569" s="43" t="b">
        <v>0</v>
      </c>
      <c r="G569" s="43" t="b">
        <v>0</v>
      </c>
      <c r="H569" s="44">
        <v>550</v>
      </c>
    </row>
    <row r="570" spans="1:8" x14ac:dyDescent="0.3">
      <c r="A570" s="42" t="s">
        <v>1240</v>
      </c>
      <c r="B570" s="3" t="s">
        <v>1716</v>
      </c>
      <c r="C570" s="4">
        <f t="shared" ca="1" si="21"/>
        <v>45483</v>
      </c>
      <c r="D570" s="4">
        <f ca="1">TODAY()-531</f>
        <v>45506</v>
      </c>
      <c r="E570" s="3" t="s">
        <v>1032</v>
      </c>
      <c r="F570" s="43" t="b">
        <v>1</v>
      </c>
      <c r="G570" s="43" t="b">
        <v>0</v>
      </c>
      <c r="H570" s="44">
        <v>1090</v>
      </c>
    </row>
    <row r="571" spans="1:8" x14ac:dyDescent="0.3">
      <c r="A571" s="42" t="s">
        <v>1498</v>
      </c>
      <c r="B571" s="3" t="s">
        <v>1136</v>
      </c>
      <c r="C571" s="4">
        <f t="shared" ca="1" si="21"/>
        <v>45483</v>
      </c>
      <c r="D571" s="4">
        <f ca="1">TODAY()-544</f>
        <v>45493</v>
      </c>
      <c r="E571" s="3" t="s">
        <v>1029</v>
      </c>
      <c r="F571" s="43" t="b">
        <v>1</v>
      </c>
      <c r="G571" s="43" t="b">
        <v>1</v>
      </c>
      <c r="H571" s="44">
        <v>1500</v>
      </c>
    </row>
    <row r="572" spans="1:8" x14ac:dyDescent="0.3">
      <c r="A572" s="42" t="s">
        <v>1679</v>
      </c>
      <c r="B572" s="3" t="s">
        <v>1717</v>
      </c>
      <c r="C572" s="4">
        <f t="shared" ca="1" si="21"/>
        <v>45483</v>
      </c>
      <c r="D572" s="4">
        <f ca="1">TODAY()-531</f>
        <v>45506</v>
      </c>
      <c r="E572" s="3" t="s">
        <v>1032</v>
      </c>
      <c r="F572" s="43" t="b">
        <v>1</v>
      </c>
      <c r="G572" s="43" t="b">
        <v>0</v>
      </c>
      <c r="H572" s="44">
        <v>1730</v>
      </c>
    </row>
    <row r="573" spans="1:8" x14ac:dyDescent="0.3">
      <c r="A573" s="42" t="s">
        <v>1718</v>
      </c>
      <c r="B573" s="3" t="s">
        <v>1719</v>
      </c>
      <c r="C573" s="4">
        <f t="shared" ca="1" si="21"/>
        <v>45483</v>
      </c>
      <c r="D573" s="42"/>
      <c r="E573" s="3" t="s">
        <v>1101</v>
      </c>
      <c r="F573" s="43" t="b">
        <v>0</v>
      </c>
      <c r="G573" s="43" t="b">
        <v>0</v>
      </c>
      <c r="H573" s="44">
        <v>550</v>
      </c>
    </row>
    <row r="574" spans="1:8" x14ac:dyDescent="0.3">
      <c r="A574" s="42" t="s">
        <v>1720</v>
      </c>
      <c r="B574" s="3" t="s">
        <v>1721</v>
      </c>
      <c r="C574" s="4">
        <f t="shared" ca="1" si="21"/>
        <v>45483</v>
      </c>
      <c r="D574" s="42"/>
      <c r="E574" s="3" t="s">
        <v>1037</v>
      </c>
      <c r="F574" s="43" t="b">
        <v>0</v>
      </c>
      <c r="G574" s="43" t="b">
        <v>0</v>
      </c>
      <c r="H574" s="44">
        <v>2250</v>
      </c>
    </row>
    <row r="575" spans="1:8" x14ac:dyDescent="0.3">
      <c r="A575" s="42" t="s">
        <v>1722</v>
      </c>
      <c r="B575" s="3" t="s">
        <v>1723</v>
      </c>
      <c r="C575" s="4">
        <f t="shared" ca="1" si="21"/>
        <v>45483</v>
      </c>
      <c r="D575" s="4">
        <f ca="1">TODAY()-534</f>
        <v>45503</v>
      </c>
      <c r="E575" s="3" t="s">
        <v>1032</v>
      </c>
      <c r="F575" s="43" t="b">
        <v>1</v>
      </c>
      <c r="G575" s="43" t="b">
        <v>0</v>
      </c>
      <c r="H575" s="44">
        <v>1550</v>
      </c>
    </row>
    <row r="576" spans="1:8" x14ac:dyDescent="0.3">
      <c r="A576" s="42" t="s">
        <v>1382</v>
      </c>
      <c r="B576" s="3" t="s">
        <v>1724</v>
      </c>
      <c r="C576" s="4">
        <f t="shared" ca="1" si="21"/>
        <v>45483</v>
      </c>
      <c r="D576" s="4">
        <f ca="1">TODAY()-543</f>
        <v>45494</v>
      </c>
      <c r="E576" s="3" t="s">
        <v>1029</v>
      </c>
      <c r="F576" s="43" t="b">
        <v>1</v>
      </c>
      <c r="G576" s="43" t="b">
        <v>1</v>
      </c>
      <c r="H576" s="44">
        <v>1990</v>
      </c>
    </row>
    <row r="577" spans="1:8" x14ac:dyDescent="0.3">
      <c r="A577" s="42" t="s">
        <v>1417</v>
      </c>
      <c r="B577" s="3" t="s">
        <v>1725</v>
      </c>
      <c r="C577" s="4">
        <f t="shared" ca="1" si="21"/>
        <v>45483</v>
      </c>
      <c r="D577" s="4">
        <f ca="1">TODAY()-530</f>
        <v>45507</v>
      </c>
      <c r="E577" s="3" t="s">
        <v>1029</v>
      </c>
      <c r="F577" s="43" t="b">
        <v>1</v>
      </c>
      <c r="G577" s="43" t="b">
        <v>1</v>
      </c>
      <c r="H577" s="44">
        <v>470</v>
      </c>
    </row>
    <row r="578" spans="1:8" x14ac:dyDescent="0.3">
      <c r="A578" s="42" t="s">
        <v>1603</v>
      </c>
      <c r="B578" s="3" t="s">
        <v>1604</v>
      </c>
      <c r="C578" s="4">
        <f t="shared" ca="1" si="21"/>
        <v>45483</v>
      </c>
      <c r="D578" s="4">
        <f ca="1">TODAY()-531</f>
        <v>45506</v>
      </c>
      <c r="E578" s="3" t="s">
        <v>1029</v>
      </c>
      <c r="F578" s="43" t="b">
        <v>1</v>
      </c>
      <c r="G578" s="43" t="b">
        <v>1</v>
      </c>
      <c r="H578" s="44">
        <v>720</v>
      </c>
    </row>
    <row r="579" spans="1:8" x14ac:dyDescent="0.3">
      <c r="A579" s="42" t="s">
        <v>1449</v>
      </c>
      <c r="B579" s="3" t="s">
        <v>1726</v>
      </c>
      <c r="C579" s="4">
        <f t="shared" ca="1" si="21"/>
        <v>45483</v>
      </c>
      <c r="D579" s="4">
        <f ca="1">TODAY()-544</f>
        <v>45493</v>
      </c>
      <c r="E579" s="3" t="s">
        <v>1029</v>
      </c>
      <c r="F579" s="43" t="b">
        <v>1</v>
      </c>
      <c r="G579" s="43" t="b">
        <v>1</v>
      </c>
      <c r="H579" s="44">
        <v>2430</v>
      </c>
    </row>
    <row r="580" spans="1:8" x14ac:dyDescent="0.3">
      <c r="A580" s="42" t="s">
        <v>1512</v>
      </c>
      <c r="B580" s="3" t="s">
        <v>1513</v>
      </c>
      <c r="C580" s="4">
        <f t="shared" ca="1" si="21"/>
        <v>45483</v>
      </c>
      <c r="D580" s="4">
        <f ca="1">TODAY()-525</f>
        <v>45512</v>
      </c>
      <c r="E580" s="3" t="s">
        <v>1029</v>
      </c>
      <c r="F580" s="43" t="b">
        <v>1</v>
      </c>
      <c r="G580" s="43" t="b">
        <v>1</v>
      </c>
      <c r="H580" s="44">
        <v>530</v>
      </c>
    </row>
    <row r="581" spans="1:8" x14ac:dyDescent="0.3">
      <c r="A581" s="42" t="s">
        <v>1727</v>
      </c>
      <c r="B581" s="3" t="s">
        <v>1728</v>
      </c>
      <c r="C581" s="4">
        <f t="shared" ca="1" si="21"/>
        <v>45483</v>
      </c>
      <c r="D581" s="4">
        <f ca="1">TODAY()-537</f>
        <v>45500</v>
      </c>
      <c r="E581" s="3" t="s">
        <v>1029</v>
      </c>
      <c r="F581" s="43" t="b">
        <v>1</v>
      </c>
      <c r="G581" s="43" t="b">
        <v>1</v>
      </c>
      <c r="H581" s="44">
        <v>1000</v>
      </c>
    </row>
    <row r="582" spans="1:8" x14ac:dyDescent="0.3">
      <c r="A582" s="42" t="s">
        <v>1729</v>
      </c>
      <c r="B582" s="3" t="s">
        <v>1730</v>
      </c>
      <c r="C582" s="4">
        <f t="shared" ca="1" si="21"/>
        <v>45483</v>
      </c>
      <c r="D582" s="4">
        <f ca="1">TODAY()-540</f>
        <v>45497</v>
      </c>
      <c r="E582" s="3" t="s">
        <v>1029</v>
      </c>
      <c r="F582" s="43" t="b">
        <v>1</v>
      </c>
      <c r="G582" s="43" t="b">
        <v>1</v>
      </c>
      <c r="H582" s="44">
        <v>950</v>
      </c>
    </row>
    <row r="583" spans="1:8" x14ac:dyDescent="0.3">
      <c r="A583" s="42" t="s">
        <v>1366</v>
      </c>
      <c r="B583" s="3" t="s">
        <v>1590</v>
      </c>
      <c r="C583" s="4">
        <f t="shared" ca="1" si="21"/>
        <v>45483</v>
      </c>
      <c r="D583" s="4">
        <f ca="1">TODAY()-534</f>
        <v>45503</v>
      </c>
      <c r="E583" s="3" t="s">
        <v>1032</v>
      </c>
      <c r="F583" s="43" t="b">
        <v>1</v>
      </c>
      <c r="G583" s="43" t="b">
        <v>0</v>
      </c>
      <c r="H583" s="44">
        <v>1960</v>
      </c>
    </row>
    <row r="584" spans="1:8" x14ac:dyDescent="0.3">
      <c r="A584" s="42" t="s">
        <v>1672</v>
      </c>
      <c r="B584" s="3" t="s">
        <v>1673</v>
      </c>
      <c r="C584" s="4">
        <f t="shared" ca="1" si="21"/>
        <v>45483</v>
      </c>
      <c r="D584" s="4">
        <f ca="1">TODAY()-535</f>
        <v>45502</v>
      </c>
      <c r="E584" s="3" t="s">
        <v>1032</v>
      </c>
      <c r="F584" s="43" t="b">
        <v>1</v>
      </c>
      <c r="G584" s="43" t="b">
        <v>0</v>
      </c>
      <c r="H584" s="44">
        <v>1210</v>
      </c>
    </row>
    <row r="585" spans="1:8" x14ac:dyDescent="0.3">
      <c r="A585" s="42" t="s">
        <v>1181</v>
      </c>
      <c r="B585" s="3" t="s">
        <v>1731</v>
      </c>
      <c r="C585" s="4">
        <f t="shared" ca="1" si="21"/>
        <v>45483</v>
      </c>
      <c r="D585" s="4">
        <f ca="1">TODAY()-539</f>
        <v>45498</v>
      </c>
      <c r="E585" s="3" t="s">
        <v>1029</v>
      </c>
      <c r="F585" s="43" t="b">
        <v>1</v>
      </c>
      <c r="G585" s="43" t="b">
        <v>1</v>
      </c>
      <c r="H585" s="44">
        <v>470</v>
      </c>
    </row>
    <row r="586" spans="1:8" x14ac:dyDescent="0.3">
      <c r="A586" s="42" t="s">
        <v>1242</v>
      </c>
      <c r="B586" s="3" t="s">
        <v>1136</v>
      </c>
      <c r="C586" s="4">
        <f t="shared" ca="1" si="21"/>
        <v>45483</v>
      </c>
      <c r="D586" s="4">
        <f ca="1">TODAY()-542</f>
        <v>45495</v>
      </c>
      <c r="E586" s="3" t="s">
        <v>1029</v>
      </c>
      <c r="F586" s="43" t="b">
        <v>1</v>
      </c>
      <c r="G586" s="43" t="b">
        <v>1</v>
      </c>
      <c r="H586" s="44">
        <v>1550</v>
      </c>
    </row>
    <row r="587" spans="1:8" x14ac:dyDescent="0.3">
      <c r="A587" s="42" t="s">
        <v>1391</v>
      </c>
      <c r="B587" s="3" t="s">
        <v>1392</v>
      </c>
      <c r="C587" s="4">
        <f t="shared" ca="1" si="21"/>
        <v>45483</v>
      </c>
      <c r="D587" s="4">
        <f ca="1">TODAY()-524</f>
        <v>45513</v>
      </c>
      <c r="E587" s="3" t="s">
        <v>1029</v>
      </c>
      <c r="F587" s="43" t="b">
        <v>1</v>
      </c>
      <c r="G587" s="43" t="b">
        <v>1</v>
      </c>
      <c r="H587" s="44">
        <v>240</v>
      </c>
    </row>
    <row r="588" spans="1:8" x14ac:dyDescent="0.3">
      <c r="A588" s="42" t="s">
        <v>1396</v>
      </c>
      <c r="B588" s="3" t="s">
        <v>1732</v>
      </c>
      <c r="C588" s="4">
        <f t="shared" ca="1" si="21"/>
        <v>45483</v>
      </c>
      <c r="D588" s="4">
        <f ca="1">TODAY()-529</f>
        <v>45508</v>
      </c>
      <c r="E588" s="3" t="s">
        <v>1032</v>
      </c>
      <c r="F588" s="43" t="b">
        <v>1</v>
      </c>
      <c r="G588" s="43" t="b">
        <v>0</v>
      </c>
      <c r="H588" s="44">
        <v>1850</v>
      </c>
    </row>
    <row r="589" spans="1:8" x14ac:dyDescent="0.3">
      <c r="A589" s="42" t="s">
        <v>1368</v>
      </c>
      <c r="B589" s="3" t="s">
        <v>1369</v>
      </c>
      <c r="C589" s="4">
        <f t="shared" ca="1" si="21"/>
        <v>45483</v>
      </c>
      <c r="D589" s="42"/>
      <c r="E589" s="3" t="s">
        <v>1070</v>
      </c>
      <c r="F589" s="43" t="b">
        <v>0</v>
      </c>
      <c r="G589" s="43" t="b">
        <v>0</v>
      </c>
      <c r="H589" s="44">
        <v>530</v>
      </c>
    </row>
    <row r="590" spans="1:8" x14ac:dyDescent="0.3">
      <c r="A590" s="42" t="s">
        <v>1370</v>
      </c>
      <c r="B590" s="3" t="s">
        <v>1371</v>
      </c>
      <c r="C590" s="4">
        <f t="shared" ca="1" si="21"/>
        <v>45483</v>
      </c>
      <c r="D590" s="4">
        <f ca="1">TODAY()-533</f>
        <v>45504</v>
      </c>
      <c r="E590" s="3" t="s">
        <v>1029</v>
      </c>
      <c r="F590" s="43" t="b">
        <v>1</v>
      </c>
      <c r="G590" s="43" t="b">
        <v>1</v>
      </c>
      <c r="H590" s="44">
        <v>830</v>
      </c>
    </row>
    <row r="591" spans="1:8" x14ac:dyDescent="0.3">
      <c r="A591" s="42" t="s">
        <v>1131</v>
      </c>
      <c r="B591" s="3" t="s">
        <v>1222</v>
      </c>
      <c r="C591" s="4">
        <f t="shared" ca="1" si="21"/>
        <v>45483</v>
      </c>
      <c r="D591" s="4">
        <f ca="1">TODAY()-530</f>
        <v>45507</v>
      </c>
      <c r="E591" s="3" t="s">
        <v>1029</v>
      </c>
      <c r="F591" s="43" t="b">
        <v>1</v>
      </c>
      <c r="G591" s="43" t="b">
        <v>1</v>
      </c>
      <c r="H591" s="44">
        <v>930</v>
      </c>
    </row>
    <row r="592" spans="1:8" x14ac:dyDescent="0.3">
      <c r="A592" s="42" t="s">
        <v>1517</v>
      </c>
      <c r="B592" s="3" t="s">
        <v>1518</v>
      </c>
      <c r="C592" s="4">
        <f t="shared" ca="1" si="21"/>
        <v>45483</v>
      </c>
      <c r="D592" s="4">
        <f ca="1">TODAY()-528</f>
        <v>45509</v>
      </c>
      <c r="E592" s="3" t="s">
        <v>1032</v>
      </c>
      <c r="F592" s="43" t="b">
        <v>1</v>
      </c>
      <c r="G592" s="43" t="b">
        <v>0</v>
      </c>
      <c r="H592" s="44">
        <v>1090</v>
      </c>
    </row>
    <row r="593" spans="1:8" x14ac:dyDescent="0.3">
      <c r="A593" s="42" t="s">
        <v>1215</v>
      </c>
      <c r="B593" s="3" t="s">
        <v>1216</v>
      </c>
      <c r="C593" s="4">
        <f t="shared" ca="1" si="21"/>
        <v>45483</v>
      </c>
      <c r="D593" s="4">
        <f ca="1">TODAY()-527</f>
        <v>45510</v>
      </c>
      <c r="E593" s="3" t="s">
        <v>1029</v>
      </c>
      <c r="F593" s="43" t="b">
        <v>1</v>
      </c>
      <c r="G593" s="43" t="b">
        <v>1</v>
      </c>
      <c r="H593" s="44">
        <v>1330</v>
      </c>
    </row>
    <row r="594" spans="1:8" x14ac:dyDescent="0.3">
      <c r="A594" s="42" t="s">
        <v>1314</v>
      </c>
      <c r="B594" s="3" t="s">
        <v>1733</v>
      </c>
      <c r="C594" s="4">
        <f t="shared" ca="1" si="21"/>
        <v>45483</v>
      </c>
      <c r="D594" s="4">
        <f ca="1">TODAY()-539</f>
        <v>45498</v>
      </c>
      <c r="E594" s="3" t="s">
        <v>1029</v>
      </c>
      <c r="F594" s="43" t="b">
        <v>1</v>
      </c>
      <c r="G594" s="43" t="b">
        <v>1</v>
      </c>
      <c r="H594" s="44">
        <v>730</v>
      </c>
    </row>
    <row r="595" spans="1:8" x14ac:dyDescent="0.3">
      <c r="A595" s="42" t="s">
        <v>1177</v>
      </c>
      <c r="B595" s="3" t="s">
        <v>1546</v>
      </c>
      <c r="C595" s="4">
        <f t="shared" ca="1" si="21"/>
        <v>45483</v>
      </c>
      <c r="D595" s="4">
        <f ca="1">TODAY()-531</f>
        <v>45506</v>
      </c>
      <c r="E595" s="3" t="s">
        <v>1029</v>
      </c>
      <c r="F595" s="43" t="b">
        <v>1</v>
      </c>
      <c r="G595" s="43" t="b">
        <v>1</v>
      </c>
      <c r="H595" s="44">
        <v>1310</v>
      </c>
    </row>
    <row r="596" spans="1:8" x14ac:dyDescent="0.3">
      <c r="A596" s="42" t="s">
        <v>1396</v>
      </c>
      <c r="B596" s="3" t="s">
        <v>1397</v>
      </c>
      <c r="C596" s="4">
        <f t="shared" ca="1" si="21"/>
        <v>45483</v>
      </c>
      <c r="D596" s="4">
        <f ca="1">TODAY()-529</f>
        <v>45508</v>
      </c>
      <c r="E596" s="3" t="s">
        <v>1029</v>
      </c>
      <c r="F596" s="43" t="b">
        <v>1</v>
      </c>
      <c r="G596" s="43" t="b">
        <v>1</v>
      </c>
      <c r="H596" s="44">
        <v>1710</v>
      </c>
    </row>
    <row r="597" spans="1:8" x14ac:dyDescent="0.3">
      <c r="A597" s="42" t="s">
        <v>1097</v>
      </c>
      <c r="B597" s="3" t="s">
        <v>1692</v>
      </c>
      <c r="C597" s="4">
        <f t="shared" ca="1" si="21"/>
        <v>45483</v>
      </c>
      <c r="D597" s="4">
        <f ca="1">TODAY()-543</f>
        <v>45494</v>
      </c>
      <c r="E597" s="3" t="s">
        <v>1032</v>
      </c>
      <c r="F597" s="43" t="b">
        <v>1</v>
      </c>
      <c r="G597" s="43" t="b">
        <v>0</v>
      </c>
      <c r="H597" s="44">
        <v>2050</v>
      </c>
    </row>
    <row r="598" spans="1:8" x14ac:dyDescent="0.3">
      <c r="A598" s="42" t="s">
        <v>1492</v>
      </c>
      <c r="B598" s="3" t="s">
        <v>1493</v>
      </c>
      <c r="C598" s="4">
        <f t="shared" ca="1" si="21"/>
        <v>45483</v>
      </c>
      <c r="D598" s="42"/>
      <c r="E598" s="3" t="s">
        <v>1108</v>
      </c>
      <c r="F598" s="43" t="b">
        <v>0</v>
      </c>
      <c r="G598" s="43" t="b">
        <v>0</v>
      </c>
      <c r="H598" s="44">
        <v>1860</v>
      </c>
    </row>
    <row r="599" spans="1:8" x14ac:dyDescent="0.3">
      <c r="A599" s="42" t="s">
        <v>1153</v>
      </c>
      <c r="B599" s="3" t="s">
        <v>1154</v>
      </c>
      <c r="C599" s="4">
        <f t="shared" ca="1" si="21"/>
        <v>45483</v>
      </c>
      <c r="D599" s="4">
        <f ca="1">TODAY()-524</f>
        <v>45513</v>
      </c>
      <c r="E599" s="3" t="s">
        <v>1029</v>
      </c>
      <c r="F599" s="43" t="b">
        <v>1</v>
      </c>
      <c r="G599" s="43" t="b">
        <v>1</v>
      </c>
      <c r="H599" s="44">
        <v>2340</v>
      </c>
    </row>
    <row r="600" spans="1:8" x14ac:dyDescent="0.3">
      <c r="A600" s="42" t="s">
        <v>1415</v>
      </c>
      <c r="B600" s="3" t="s">
        <v>1734</v>
      </c>
      <c r="C600" s="4">
        <f t="shared" ca="1" si="21"/>
        <v>45483</v>
      </c>
      <c r="D600" s="42"/>
      <c r="E600" s="3" t="s">
        <v>1101</v>
      </c>
      <c r="F600" s="43" t="b">
        <v>0</v>
      </c>
      <c r="G600" s="43" t="b">
        <v>0</v>
      </c>
      <c r="H600" s="44">
        <v>550</v>
      </c>
    </row>
    <row r="601" spans="1:8" x14ac:dyDescent="0.3">
      <c r="A601" s="42" t="s">
        <v>1324</v>
      </c>
      <c r="B601" s="3" t="s">
        <v>1325</v>
      </c>
      <c r="C601" s="4">
        <f t="shared" ca="1" si="21"/>
        <v>45483</v>
      </c>
      <c r="D601" s="42"/>
      <c r="E601" s="3" t="s">
        <v>1070</v>
      </c>
      <c r="F601" s="43" t="b">
        <v>0</v>
      </c>
      <c r="G601" s="43" t="b">
        <v>0</v>
      </c>
      <c r="H601" s="44">
        <v>250</v>
      </c>
    </row>
    <row r="602" spans="1:8" x14ac:dyDescent="0.3">
      <c r="A602" s="42" t="s">
        <v>1129</v>
      </c>
      <c r="B602" s="3" t="s">
        <v>1130</v>
      </c>
      <c r="C602" s="4">
        <f t="shared" ca="1" si="21"/>
        <v>45483</v>
      </c>
      <c r="D602" s="4">
        <f ca="1">TODAY()-543</f>
        <v>45494</v>
      </c>
      <c r="E602" s="3" t="s">
        <v>1029</v>
      </c>
      <c r="F602" s="43" t="b">
        <v>1</v>
      </c>
      <c r="G602" s="43" t="b">
        <v>1</v>
      </c>
      <c r="H602" s="44">
        <v>1540</v>
      </c>
    </row>
    <row r="603" spans="1:8" x14ac:dyDescent="0.3">
      <c r="A603" s="42" t="s">
        <v>1735</v>
      </c>
      <c r="B603" s="3" t="s">
        <v>1736</v>
      </c>
      <c r="C603" s="4">
        <f t="shared" ca="1" si="21"/>
        <v>45483</v>
      </c>
      <c r="D603" s="4">
        <f ca="1">TODAY()-533</f>
        <v>45504</v>
      </c>
      <c r="E603" s="3" t="s">
        <v>1032</v>
      </c>
      <c r="F603" s="43" t="b">
        <v>1</v>
      </c>
      <c r="G603" s="43" t="b">
        <v>0</v>
      </c>
      <c r="H603" s="44">
        <v>1300</v>
      </c>
    </row>
    <row r="604" spans="1:8" x14ac:dyDescent="0.3">
      <c r="A604" s="42" t="s">
        <v>1737</v>
      </c>
      <c r="B604" s="3" t="s">
        <v>1738</v>
      </c>
      <c r="C604" s="4">
        <f t="shared" ca="1" si="21"/>
        <v>45483</v>
      </c>
      <c r="D604" s="4">
        <f ca="1">TODAY()-540</f>
        <v>45497</v>
      </c>
      <c r="E604" s="3" t="s">
        <v>1029</v>
      </c>
      <c r="F604" s="43" t="b">
        <v>1</v>
      </c>
      <c r="G604" s="43" t="b">
        <v>1</v>
      </c>
      <c r="H604" s="44">
        <v>2210</v>
      </c>
    </row>
    <row r="605" spans="1:8" x14ac:dyDescent="0.3">
      <c r="A605" s="42" t="s">
        <v>1739</v>
      </c>
      <c r="B605" s="3" t="s">
        <v>1740</v>
      </c>
      <c r="C605" s="4">
        <f t="shared" ref="C605:C703" ca="1" si="23">TODAY()-523</f>
        <v>45514</v>
      </c>
      <c r="D605" s="4">
        <f ca="1">TODAY()-498</f>
        <v>45539</v>
      </c>
      <c r="E605" s="3" t="s">
        <v>1029</v>
      </c>
      <c r="F605" s="43" t="b">
        <v>1</v>
      </c>
      <c r="G605" s="43" t="b">
        <v>1</v>
      </c>
      <c r="H605" s="44">
        <v>2310</v>
      </c>
    </row>
    <row r="606" spans="1:8" x14ac:dyDescent="0.3">
      <c r="A606" s="42" t="s">
        <v>1741</v>
      </c>
      <c r="B606" s="3" t="s">
        <v>1742</v>
      </c>
      <c r="C606" s="4">
        <f t="shared" ca="1" si="23"/>
        <v>45514</v>
      </c>
      <c r="D606" s="4">
        <f ca="1">TODAY()-495</f>
        <v>45542</v>
      </c>
      <c r="E606" s="3" t="s">
        <v>1032</v>
      </c>
      <c r="F606" s="43" t="b">
        <v>1</v>
      </c>
      <c r="G606" s="43" t="b">
        <v>0</v>
      </c>
      <c r="H606" s="44">
        <v>690</v>
      </c>
    </row>
    <row r="607" spans="1:8" x14ac:dyDescent="0.3">
      <c r="A607" s="42" t="s">
        <v>1743</v>
      </c>
      <c r="B607" s="3" t="s">
        <v>1744</v>
      </c>
      <c r="C607" s="4">
        <f t="shared" ca="1" si="23"/>
        <v>45514</v>
      </c>
      <c r="D607" s="4">
        <f ca="1">TODAY()-501</f>
        <v>45536</v>
      </c>
      <c r="E607" s="3" t="s">
        <v>1029</v>
      </c>
      <c r="F607" s="43" t="b">
        <v>1</v>
      </c>
      <c r="G607" s="43" t="b">
        <v>1</v>
      </c>
      <c r="H607" s="44">
        <v>890</v>
      </c>
    </row>
    <row r="608" spans="1:8" x14ac:dyDescent="0.3">
      <c r="A608" s="42" t="s">
        <v>1356</v>
      </c>
      <c r="B608" s="3" t="s">
        <v>1234</v>
      </c>
      <c r="C608" s="4">
        <f t="shared" ca="1" si="23"/>
        <v>45514</v>
      </c>
      <c r="D608" s="4">
        <f ca="1">TODAY()-509</f>
        <v>45528</v>
      </c>
      <c r="E608" s="3" t="s">
        <v>1032</v>
      </c>
      <c r="F608" s="43" t="b">
        <v>1</v>
      </c>
      <c r="G608" s="43" t="b">
        <v>0</v>
      </c>
      <c r="H608" s="44">
        <v>390</v>
      </c>
    </row>
    <row r="609" spans="1:8" x14ac:dyDescent="0.3">
      <c r="A609" s="42" t="s">
        <v>1558</v>
      </c>
      <c r="B609" s="3" t="s">
        <v>1559</v>
      </c>
      <c r="C609" s="4">
        <f t="shared" ca="1" si="23"/>
        <v>45514</v>
      </c>
      <c r="D609" s="4">
        <f ca="1">TODAY()-510</f>
        <v>45527</v>
      </c>
      <c r="E609" s="3" t="s">
        <v>1029</v>
      </c>
      <c r="F609" s="43" t="b">
        <v>1</v>
      </c>
      <c r="G609" s="43" t="b">
        <v>1</v>
      </c>
      <c r="H609" s="44">
        <v>1670</v>
      </c>
    </row>
    <row r="610" spans="1:8" x14ac:dyDescent="0.3">
      <c r="A610" s="42" t="s">
        <v>1276</v>
      </c>
      <c r="B610" s="3" t="s">
        <v>1611</v>
      </c>
      <c r="C610" s="4">
        <f t="shared" ca="1" si="23"/>
        <v>45514</v>
      </c>
      <c r="D610" s="4">
        <f ca="1">TODAY()-513</f>
        <v>45524</v>
      </c>
      <c r="E610" s="3" t="s">
        <v>1029</v>
      </c>
      <c r="F610" s="43" t="b">
        <v>1</v>
      </c>
      <c r="G610" s="43" t="b">
        <v>1</v>
      </c>
      <c r="H610" s="44">
        <v>820</v>
      </c>
    </row>
    <row r="611" spans="1:8" x14ac:dyDescent="0.3">
      <c r="A611" s="42" t="s">
        <v>1605</v>
      </c>
      <c r="B611" s="3" t="s">
        <v>1606</v>
      </c>
      <c r="C611" s="4">
        <f t="shared" ca="1" si="23"/>
        <v>45514</v>
      </c>
      <c r="D611" s="4">
        <f ca="1">TODAY()-509</f>
        <v>45528</v>
      </c>
      <c r="E611" s="3" t="s">
        <v>1029</v>
      </c>
      <c r="F611" s="43" t="b">
        <v>1</v>
      </c>
      <c r="G611" s="43" t="b">
        <v>1</v>
      </c>
      <c r="H611" s="44">
        <v>730</v>
      </c>
    </row>
    <row r="612" spans="1:8" x14ac:dyDescent="0.3">
      <c r="A612" s="42" t="s">
        <v>1281</v>
      </c>
      <c r="B612" s="3" t="s">
        <v>1114</v>
      </c>
      <c r="C612" s="4">
        <f t="shared" ca="1" si="23"/>
        <v>45514</v>
      </c>
      <c r="D612" s="4">
        <f t="shared" ref="D612:D613" ca="1" si="24">TODAY()-501</f>
        <v>45536</v>
      </c>
      <c r="E612" s="3" t="s">
        <v>1029</v>
      </c>
      <c r="F612" s="43" t="b">
        <v>1</v>
      </c>
      <c r="G612" s="43" t="b">
        <v>1</v>
      </c>
      <c r="H612" s="44">
        <v>4710</v>
      </c>
    </row>
    <row r="613" spans="1:8" x14ac:dyDescent="0.3">
      <c r="A613" s="42" t="s">
        <v>1492</v>
      </c>
      <c r="B613" s="3" t="s">
        <v>1441</v>
      </c>
      <c r="C613" s="4">
        <f t="shared" ca="1" si="23"/>
        <v>45514</v>
      </c>
      <c r="D613" s="4">
        <f t="shared" ca="1" si="24"/>
        <v>45536</v>
      </c>
      <c r="E613" s="3" t="s">
        <v>1029</v>
      </c>
      <c r="F613" s="43" t="b">
        <v>1</v>
      </c>
      <c r="G613" s="43" t="b">
        <v>1</v>
      </c>
      <c r="H613" s="44">
        <v>1970</v>
      </c>
    </row>
    <row r="614" spans="1:8" x14ac:dyDescent="0.3">
      <c r="A614" s="42" t="s">
        <v>1640</v>
      </c>
      <c r="B614" s="3" t="s">
        <v>1745</v>
      </c>
      <c r="C614" s="4">
        <f t="shared" ca="1" si="23"/>
        <v>45514</v>
      </c>
      <c r="D614" s="42"/>
      <c r="E614" s="3" t="s">
        <v>1037</v>
      </c>
      <c r="F614" s="43" t="b">
        <v>0</v>
      </c>
      <c r="G614" s="43" t="b">
        <v>0</v>
      </c>
      <c r="H614" s="44">
        <v>1490</v>
      </c>
    </row>
    <row r="615" spans="1:8" x14ac:dyDescent="0.3">
      <c r="A615" s="42" t="s">
        <v>1622</v>
      </c>
      <c r="B615" s="3" t="s">
        <v>1623</v>
      </c>
      <c r="C615" s="4">
        <f t="shared" ca="1" si="23"/>
        <v>45514</v>
      </c>
      <c r="D615" s="4">
        <f ca="1">TODAY()-506</f>
        <v>45531</v>
      </c>
      <c r="E615" s="3" t="s">
        <v>1032</v>
      </c>
      <c r="F615" s="43" t="b">
        <v>1</v>
      </c>
      <c r="G615" s="43" t="b">
        <v>0</v>
      </c>
      <c r="H615" s="44">
        <v>960</v>
      </c>
    </row>
    <row r="616" spans="1:8" x14ac:dyDescent="0.3">
      <c r="A616" s="42" t="s">
        <v>1524</v>
      </c>
      <c r="B616" s="3" t="s">
        <v>1525</v>
      </c>
      <c r="C616" s="4">
        <f t="shared" ca="1" si="23"/>
        <v>45514</v>
      </c>
      <c r="D616" s="4">
        <f ca="1">TODAY()-505</f>
        <v>45532</v>
      </c>
      <c r="E616" s="3" t="s">
        <v>1029</v>
      </c>
      <c r="F616" s="43" t="b">
        <v>1</v>
      </c>
      <c r="G616" s="43" t="b">
        <v>1</v>
      </c>
      <c r="H616" s="44">
        <v>170</v>
      </c>
    </row>
    <row r="617" spans="1:8" x14ac:dyDescent="0.3">
      <c r="A617" s="42" t="s">
        <v>1746</v>
      </c>
      <c r="B617" s="3" t="s">
        <v>1747</v>
      </c>
      <c r="C617" s="4">
        <f t="shared" ca="1" si="23"/>
        <v>45514</v>
      </c>
      <c r="D617" s="4">
        <f ca="1">TODAY()-507</f>
        <v>45530</v>
      </c>
      <c r="E617" s="3" t="s">
        <v>1029</v>
      </c>
      <c r="F617" s="43" t="b">
        <v>1</v>
      </c>
      <c r="G617" s="43" t="b">
        <v>1</v>
      </c>
      <c r="H617" s="44">
        <v>1680</v>
      </c>
    </row>
    <row r="618" spans="1:8" x14ac:dyDescent="0.3">
      <c r="A618" s="42" t="s">
        <v>1133</v>
      </c>
      <c r="B618" s="3" t="s">
        <v>1393</v>
      </c>
      <c r="C618" s="4">
        <f t="shared" ca="1" si="23"/>
        <v>45514</v>
      </c>
      <c r="D618" s="4">
        <f ca="1">TODAY()-500</f>
        <v>45537</v>
      </c>
      <c r="E618" s="3" t="s">
        <v>1029</v>
      </c>
      <c r="F618" s="43" t="b">
        <v>1</v>
      </c>
      <c r="G618" s="43" t="b">
        <v>1</v>
      </c>
      <c r="H618" s="44">
        <v>260</v>
      </c>
    </row>
    <row r="619" spans="1:8" x14ac:dyDescent="0.3">
      <c r="A619" s="42" t="s">
        <v>1748</v>
      </c>
      <c r="B619" s="3" t="s">
        <v>1749</v>
      </c>
      <c r="C619" s="4">
        <f t="shared" ca="1" si="23"/>
        <v>45514</v>
      </c>
      <c r="D619" s="4">
        <f ca="1">TODAY()-497</f>
        <v>45540</v>
      </c>
      <c r="E619" s="3" t="s">
        <v>1029</v>
      </c>
      <c r="F619" s="43" t="b">
        <v>1</v>
      </c>
      <c r="G619" s="43" t="b">
        <v>1</v>
      </c>
      <c r="H619" s="44">
        <v>670</v>
      </c>
    </row>
    <row r="620" spans="1:8" x14ac:dyDescent="0.3">
      <c r="A620" s="42" t="s">
        <v>1135</v>
      </c>
      <c r="B620" s="3" t="s">
        <v>1136</v>
      </c>
      <c r="C620" s="4">
        <f t="shared" ca="1" si="23"/>
        <v>45514</v>
      </c>
      <c r="D620" s="4">
        <f ca="1">TODAY()-513</f>
        <v>45524</v>
      </c>
      <c r="E620" s="3" t="s">
        <v>1029</v>
      </c>
      <c r="F620" s="43" t="b">
        <v>1</v>
      </c>
      <c r="G620" s="43" t="b">
        <v>1</v>
      </c>
      <c r="H620" s="44">
        <v>560</v>
      </c>
    </row>
    <row r="621" spans="1:8" x14ac:dyDescent="0.3">
      <c r="A621" s="42" t="s">
        <v>1682</v>
      </c>
      <c r="B621" s="3" t="s">
        <v>1683</v>
      </c>
      <c r="C621" s="4">
        <f t="shared" ca="1" si="23"/>
        <v>45514</v>
      </c>
      <c r="D621" s="4">
        <f ca="1">TODAY()-512</f>
        <v>45525</v>
      </c>
      <c r="E621" s="3" t="s">
        <v>1029</v>
      </c>
      <c r="F621" s="43" t="b">
        <v>1</v>
      </c>
      <c r="G621" s="43" t="b">
        <v>1</v>
      </c>
      <c r="H621" s="44">
        <v>2190</v>
      </c>
    </row>
    <row r="622" spans="1:8" x14ac:dyDescent="0.3">
      <c r="A622" s="42" t="s">
        <v>1685</v>
      </c>
      <c r="B622" s="3" t="s">
        <v>1686</v>
      </c>
      <c r="C622" s="4">
        <f t="shared" ca="1" si="23"/>
        <v>45514</v>
      </c>
      <c r="D622" s="4">
        <f ca="1">TODAY()-499</f>
        <v>45538</v>
      </c>
      <c r="E622" s="3" t="s">
        <v>1032</v>
      </c>
      <c r="F622" s="43" t="b">
        <v>1</v>
      </c>
      <c r="G622" s="43" t="b">
        <v>0</v>
      </c>
      <c r="H622" s="44">
        <v>1830</v>
      </c>
    </row>
    <row r="623" spans="1:8" x14ac:dyDescent="0.3">
      <c r="A623" s="42" t="s">
        <v>1052</v>
      </c>
      <c r="B623" s="3" t="s">
        <v>1136</v>
      </c>
      <c r="C623" s="4">
        <f t="shared" ca="1" si="23"/>
        <v>45514</v>
      </c>
      <c r="D623" s="4">
        <f ca="1">TODAY()-495</f>
        <v>45542</v>
      </c>
      <c r="E623" s="3" t="s">
        <v>1029</v>
      </c>
      <c r="F623" s="43" t="b">
        <v>1</v>
      </c>
      <c r="G623" s="43" t="b">
        <v>1</v>
      </c>
      <c r="H623" s="44">
        <v>140</v>
      </c>
    </row>
    <row r="624" spans="1:8" x14ac:dyDescent="0.3">
      <c r="A624" s="42" t="s">
        <v>1389</v>
      </c>
      <c r="B624" s="3" t="s">
        <v>1390</v>
      </c>
      <c r="C624" s="4">
        <f t="shared" ca="1" si="23"/>
        <v>45514</v>
      </c>
      <c r="D624" s="42"/>
      <c r="E624" s="3" t="s">
        <v>1077</v>
      </c>
      <c r="F624" s="43" t="b">
        <v>0</v>
      </c>
      <c r="G624" s="43" t="b">
        <v>0</v>
      </c>
      <c r="H624" s="44">
        <v>1860</v>
      </c>
    </row>
    <row r="625" spans="1:8" x14ac:dyDescent="0.3">
      <c r="A625" s="42" t="s">
        <v>1451</v>
      </c>
      <c r="B625" s="3" t="s">
        <v>1750</v>
      </c>
      <c r="C625" s="4">
        <f t="shared" ca="1" si="23"/>
        <v>45514</v>
      </c>
      <c r="D625" s="4">
        <f ca="1">TODAY()-512</f>
        <v>45525</v>
      </c>
      <c r="E625" s="3" t="s">
        <v>1032</v>
      </c>
      <c r="F625" s="43" t="b">
        <v>1</v>
      </c>
      <c r="G625" s="43" t="b">
        <v>0</v>
      </c>
      <c r="H625" s="44">
        <v>1140</v>
      </c>
    </row>
    <row r="626" spans="1:8" x14ac:dyDescent="0.3">
      <c r="A626" s="42" t="s">
        <v>1566</v>
      </c>
      <c r="B626" s="3" t="s">
        <v>1751</v>
      </c>
      <c r="C626" s="4">
        <f t="shared" ca="1" si="23"/>
        <v>45514</v>
      </c>
      <c r="D626" s="4">
        <f ca="1">TODAY()-493</f>
        <v>45544</v>
      </c>
      <c r="E626" s="3" t="s">
        <v>1032</v>
      </c>
      <c r="F626" s="43" t="b">
        <v>1</v>
      </c>
      <c r="G626" s="43" t="b">
        <v>0</v>
      </c>
      <c r="H626" s="44">
        <v>290</v>
      </c>
    </row>
    <row r="627" spans="1:8" x14ac:dyDescent="0.3">
      <c r="A627" s="42" t="s">
        <v>1591</v>
      </c>
      <c r="B627" s="3" t="s">
        <v>1592</v>
      </c>
      <c r="C627" s="4">
        <f t="shared" ca="1" si="23"/>
        <v>45514</v>
      </c>
      <c r="D627" s="4">
        <f ca="1">TODAY()-495</f>
        <v>45542</v>
      </c>
      <c r="E627" s="3" t="s">
        <v>1029</v>
      </c>
      <c r="F627" s="43" t="b">
        <v>1</v>
      </c>
      <c r="G627" s="43" t="b">
        <v>1</v>
      </c>
      <c r="H627" s="44">
        <v>1300</v>
      </c>
    </row>
    <row r="628" spans="1:8" x14ac:dyDescent="0.3">
      <c r="A628" s="42" t="s">
        <v>1593</v>
      </c>
      <c r="B628" s="3" t="s">
        <v>1293</v>
      </c>
      <c r="C628" s="4">
        <f t="shared" ca="1" si="23"/>
        <v>45514</v>
      </c>
      <c r="D628" s="42"/>
      <c r="E628" s="3" t="s">
        <v>1108</v>
      </c>
      <c r="F628" s="43" t="b">
        <v>0</v>
      </c>
      <c r="G628" s="43" t="b">
        <v>0</v>
      </c>
      <c r="H628" s="44">
        <v>430</v>
      </c>
    </row>
    <row r="629" spans="1:8" x14ac:dyDescent="0.3">
      <c r="A629" s="42" t="s">
        <v>1652</v>
      </c>
      <c r="B629" s="3" t="s">
        <v>1752</v>
      </c>
      <c r="C629" s="4">
        <f t="shared" ca="1" si="23"/>
        <v>45514</v>
      </c>
      <c r="D629" s="42"/>
      <c r="E629" s="3" t="s">
        <v>1101</v>
      </c>
      <c r="F629" s="43" t="b">
        <v>0</v>
      </c>
      <c r="G629" s="43" t="b">
        <v>0</v>
      </c>
      <c r="H629" s="44">
        <v>560</v>
      </c>
    </row>
    <row r="630" spans="1:8" x14ac:dyDescent="0.3">
      <c r="A630" s="42" t="s">
        <v>1357</v>
      </c>
      <c r="B630" s="3" t="s">
        <v>1358</v>
      </c>
      <c r="C630" s="4">
        <f t="shared" ca="1" si="23"/>
        <v>45514</v>
      </c>
      <c r="D630" s="4">
        <f ca="1">TODAY()-503</f>
        <v>45534</v>
      </c>
      <c r="E630" s="3" t="s">
        <v>1032</v>
      </c>
      <c r="F630" s="43" t="b">
        <v>1</v>
      </c>
      <c r="G630" s="43" t="b">
        <v>0</v>
      </c>
      <c r="H630" s="44">
        <v>1680</v>
      </c>
    </row>
    <row r="631" spans="1:8" x14ac:dyDescent="0.3">
      <c r="A631" s="42" t="s">
        <v>1209</v>
      </c>
      <c r="B631" s="3" t="s">
        <v>1210</v>
      </c>
      <c r="C631" s="4">
        <f t="shared" ca="1" si="23"/>
        <v>45514</v>
      </c>
      <c r="D631" s="4">
        <f ca="1">TODAY()-493</f>
        <v>45544</v>
      </c>
      <c r="E631" s="3" t="s">
        <v>1029</v>
      </c>
      <c r="F631" s="43" t="b">
        <v>1</v>
      </c>
      <c r="G631" s="43" t="b">
        <v>1</v>
      </c>
      <c r="H631" s="44">
        <v>150</v>
      </c>
    </row>
    <row r="632" spans="1:8" x14ac:dyDescent="0.3">
      <c r="A632" s="42" t="s">
        <v>1753</v>
      </c>
      <c r="B632" s="3" t="s">
        <v>1754</v>
      </c>
      <c r="C632" s="4">
        <f t="shared" ca="1" si="23"/>
        <v>45514</v>
      </c>
      <c r="D632" s="4">
        <f ca="1">TODAY()-499</f>
        <v>45538</v>
      </c>
      <c r="E632" s="3" t="s">
        <v>1029</v>
      </c>
      <c r="F632" s="43" t="b">
        <v>1</v>
      </c>
      <c r="G632" s="43" t="b">
        <v>1</v>
      </c>
      <c r="H632" s="44">
        <v>880</v>
      </c>
    </row>
    <row r="633" spans="1:8" x14ac:dyDescent="0.3">
      <c r="A633" s="42" t="s">
        <v>1612</v>
      </c>
      <c r="B633" s="3" t="s">
        <v>1755</v>
      </c>
      <c r="C633" s="4">
        <f t="shared" ca="1" si="23"/>
        <v>45514</v>
      </c>
      <c r="D633" s="4">
        <f ca="1">TODAY()-498</f>
        <v>45539</v>
      </c>
      <c r="E633" s="3" t="s">
        <v>1032</v>
      </c>
      <c r="F633" s="43" t="b">
        <v>1</v>
      </c>
      <c r="G633" s="43" t="b">
        <v>0</v>
      </c>
      <c r="H633" s="44">
        <v>1320</v>
      </c>
    </row>
    <row r="634" spans="1:8" x14ac:dyDescent="0.3">
      <c r="A634" s="42" t="s">
        <v>1338</v>
      </c>
      <c r="B634" s="3" t="s">
        <v>1339</v>
      </c>
      <c r="C634" s="4">
        <f t="shared" ca="1" si="23"/>
        <v>45514</v>
      </c>
      <c r="D634" s="4">
        <f ca="1">TODAY()-504</f>
        <v>45533</v>
      </c>
      <c r="E634" s="3" t="s">
        <v>1032</v>
      </c>
      <c r="F634" s="43" t="b">
        <v>1</v>
      </c>
      <c r="G634" s="43" t="b">
        <v>0</v>
      </c>
      <c r="H634" s="44">
        <v>1800</v>
      </c>
    </row>
    <row r="635" spans="1:8" x14ac:dyDescent="0.3">
      <c r="A635" s="42" t="s">
        <v>1720</v>
      </c>
      <c r="B635" s="3" t="s">
        <v>1721</v>
      </c>
      <c r="C635" s="4">
        <f t="shared" ca="1" si="23"/>
        <v>45514</v>
      </c>
      <c r="D635" s="42"/>
      <c r="E635" s="3" t="s">
        <v>1037</v>
      </c>
      <c r="F635" s="43" t="b">
        <v>0</v>
      </c>
      <c r="G635" s="43" t="b">
        <v>0</v>
      </c>
      <c r="H635" s="44">
        <v>2250</v>
      </c>
    </row>
    <row r="636" spans="1:8" x14ac:dyDescent="0.3">
      <c r="A636" s="42" t="s">
        <v>1052</v>
      </c>
      <c r="B636" s="3" t="s">
        <v>1136</v>
      </c>
      <c r="C636" s="4">
        <f t="shared" ca="1" si="23"/>
        <v>45514</v>
      </c>
      <c r="D636" s="4">
        <f ca="1">TODAY()-502</f>
        <v>45535</v>
      </c>
      <c r="E636" s="3" t="s">
        <v>1029</v>
      </c>
      <c r="F636" s="43" t="b">
        <v>1</v>
      </c>
      <c r="G636" s="43" t="b">
        <v>1</v>
      </c>
      <c r="H636" s="44">
        <v>140</v>
      </c>
    </row>
    <row r="637" spans="1:8" x14ac:dyDescent="0.3">
      <c r="A637" s="42" t="s">
        <v>1213</v>
      </c>
      <c r="B637" s="3" t="s">
        <v>1756</v>
      </c>
      <c r="C637" s="4">
        <f t="shared" ca="1" si="23"/>
        <v>45514</v>
      </c>
      <c r="D637" s="4">
        <f ca="1">TODAY()-510</f>
        <v>45527</v>
      </c>
      <c r="E637" s="3" t="s">
        <v>1029</v>
      </c>
      <c r="F637" s="43" t="b">
        <v>1</v>
      </c>
      <c r="G637" s="43" t="b">
        <v>1</v>
      </c>
      <c r="H637" s="44">
        <v>840</v>
      </c>
    </row>
    <row r="638" spans="1:8" x14ac:dyDescent="0.3">
      <c r="A638" s="42" t="s">
        <v>1314</v>
      </c>
      <c r="B638" s="3" t="s">
        <v>1733</v>
      </c>
      <c r="C638" s="4">
        <f t="shared" ca="1" si="23"/>
        <v>45514</v>
      </c>
      <c r="D638" s="4">
        <f ca="1">TODAY()-513</f>
        <v>45524</v>
      </c>
      <c r="E638" s="3" t="s">
        <v>1029</v>
      </c>
      <c r="F638" s="43" t="b">
        <v>1</v>
      </c>
      <c r="G638" s="43" t="b">
        <v>1</v>
      </c>
      <c r="H638" s="44">
        <v>730</v>
      </c>
    </row>
    <row r="639" spans="1:8" x14ac:dyDescent="0.3">
      <c r="A639" s="42" t="s">
        <v>1217</v>
      </c>
      <c r="B639" s="3" t="s">
        <v>1218</v>
      </c>
      <c r="C639" s="4">
        <f t="shared" ca="1" si="23"/>
        <v>45514</v>
      </c>
      <c r="D639" s="4">
        <f ca="1">TODAY()-499</f>
        <v>45538</v>
      </c>
      <c r="E639" s="3" t="s">
        <v>1032</v>
      </c>
      <c r="F639" s="43" t="b">
        <v>1</v>
      </c>
      <c r="G639" s="43" t="b">
        <v>0</v>
      </c>
      <c r="H639" s="44">
        <v>1190</v>
      </c>
    </row>
    <row r="640" spans="1:8" x14ac:dyDescent="0.3">
      <c r="A640" s="42" t="s">
        <v>1689</v>
      </c>
      <c r="B640" s="3" t="s">
        <v>1690</v>
      </c>
      <c r="C640" s="4">
        <f t="shared" ca="1" si="23"/>
        <v>45514</v>
      </c>
      <c r="D640" s="42"/>
      <c r="E640" s="3" t="s">
        <v>1108</v>
      </c>
      <c r="F640" s="43" t="b">
        <v>0</v>
      </c>
      <c r="G640" s="43" t="b">
        <v>0</v>
      </c>
      <c r="H640" s="44">
        <v>1800</v>
      </c>
    </row>
    <row r="641" spans="1:8" x14ac:dyDescent="0.3">
      <c r="A641" s="42" t="s">
        <v>1468</v>
      </c>
      <c r="B641" s="3" t="s">
        <v>1693</v>
      </c>
      <c r="C641" s="4">
        <f t="shared" ca="1" si="23"/>
        <v>45514</v>
      </c>
      <c r="D641" s="42"/>
      <c r="E641" s="3" t="s">
        <v>1103</v>
      </c>
      <c r="F641" s="43" t="b">
        <v>0</v>
      </c>
      <c r="G641" s="43" t="b">
        <v>0</v>
      </c>
      <c r="H641" s="44">
        <v>410</v>
      </c>
    </row>
    <row r="642" spans="1:8" x14ac:dyDescent="0.3">
      <c r="A642" s="42" t="s">
        <v>1117</v>
      </c>
      <c r="B642" s="3" t="s">
        <v>1118</v>
      </c>
      <c r="C642" s="4">
        <f t="shared" ca="1" si="23"/>
        <v>45514</v>
      </c>
      <c r="D642" s="4">
        <f ca="1">TODAY()-497</f>
        <v>45540</v>
      </c>
      <c r="E642" s="3" t="s">
        <v>1032</v>
      </c>
      <c r="F642" s="43" t="b">
        <v>1</v>
      </c>
      <c r="G642" s="43" t="b">
        <v>0</v>
      </c>
      <c r="H642" s="44">
        <v>410</v>
      </c>
    </row>
    <row r="643" spans="1:8" x14ac:dyDescent="0.3">
      <c r="A643" s="42" t="s">
        <v>1522</v>
      </c>
      <c r="B643" s="3" t="s">
        <v>1523</v>
      </c>
      <c r="C643" s="4">
        <f t="shared" ca="1" si="23"/>
        <v>45514</v>
      </c>
      <c r="D643" s="4">
        <f ca="1">TODAY()-502</f>
        <v>45535</v>
      </c>
      <c r="E643" s="3" t="s">
        <v>1029</v>
      </c>
      <c r="F643" s="43" t="b">
        <v>1</v>
      </c>
      <c r="G643" s="43" t="b">
        <v>1</v>
      </c>
      <c r="H643" s="44">
        <v>2180</v>
      </c>
    </row>
    <row r="644" spans="1:8" x14ac:dyDescent="0.3">
      <c r="A644" s="42" t="s">
        <v>1476</v>
      </c>
      <c r="B644" s="3" t="s">
        <v>1114</v>
      </c>
      <c r="C644" s="4">
        <f t="shared" ca="1" si="23"/>
        <v>45514</v>
      </c>
      <c r="D644" s="4">
        <f ca="1">TODAY()-495</f>
        <v>45542</v>
      </c>
      <c r="E644" s="3" t="s">
        <v>1029</v>
      </c>
      <c r="F644" s="43" t="b">
        <v>1</v>
      </c>
      <c r="G644" s="43" t="b">
        <v>1</v>
      </c>
      <c r="H644" s="44">
        <v>740</v>
      </c>
    </row>
    <row r="645" spans="1:8" x14ac:dyDescent="0.3">
      <c r="A645" s="42" t="s">
        <v>1556</v>
      </c>
      <c r="B645" s="3" t="s">
        <v>1568</v>
      </c>
      <c r="C645" s="4">
        <f t="shared" ca="1" si="23"/>
        <v>45514</v>
      </c>
      <c r="D645" s="4">
        <f ca="1">TODAY()-510</f>
        <v>45527</v>
      </c>
      <c r="E645" s="3" t="s">
        <v>1032</v>
      </c>
      <c r="F645" s="43" t="b">
        <v>1</v>
      </c>
      <c r="G645" s="43" t="b">
        <v>0</v>
      </c>
      <c r="H645" s="44">
        <v>1450</v>
      </c>
    </row>
    <row r="646" spans="1:8" x14ac:dyDescent="0.3">
      <c r="A646" s="42" t="s">
        <v>1062</v>
      </c>
      <c r="B646" s="3" t="s">
        <v>1063</v>
      </c>
      <c r="C646" s="4">
        <f t="shared" ca="1" si="23"/>
        <v>45514</v>
      </c>
      <c r="D646" s="4">
        <f ca="1">TODAY()-509</f>
        <v>45528</v>
      </c>
      <c r="E646" s="3" t="s">
        <v>1032</v>
      </c>
      <c r="F646" s="43" t="b">
        <v>1</v>
      </c>
      <c r="G646" s="43" t="b">
        <v>0</v>
      </c>
      <c r="H646" s="44">
        <v>310</v>
      </c>
    </row>
    <row r="647" spans="1:8" x14ac:dyDescent="0.3">
      <c r="A647" s="42" t="s">
        <v>1242</v>
      </c>
      <c r="B647" s="3" t="s">
        <v>1136</v>
      </c>
      <c r="C647" s="4">
        <f t="shared" ca="1" si="23"/>
        <v>45514</v>
      </c>
      <c r="D647" s="4">
        <f ca="1">TODAY()-499</f>
        <v>45538</v>
      </c>
      <c r="E647" s="3" t="s">
        <v>1029</v>
      </c>
      <c r="F647" s="43" t="b">
        <v>1</v>
      </c>
      <c r="G647" s="43" t="b">
        <v>1</v>
      </c>
      <c r="H647" s="44">
        <v>1550</v>
      </c>
    </row>
    <row r="648" spans="1:8" x14ac:dyDescent="0.3">
      <c r="A648" s="42" t="s">
        <v>1366</v>
      </c>
      <c r="B648" s="3" t="s">
        <v>1590</v>
      </c>
      <c r="C648" s="4">
        <f t="shared" ca="1" si="23"/>
        <v>45514</v>
      </c>
      <c r="D648" s="4">
        <f ca="1">TODAY()-512</f>
        <v>45525</v>
      </c>
      <c r="E648" s="3" t="s">
        <v>1032</v>
      </c>
      <c r="F648" s="43" t="b">
        <v>1</v>
      </c>
      <c r="G648" s="43" t="b">
        <v>0</v>
      </c>
      <c r="H648" s="44">
        <v>1960</v>
      </c>
    </row>
    <row r="649" spans="1:8" x14ac:dyDescent="0.3">
      <c r="A649" s="42" t="s">
        <v>1062</v>
      </c>
      <c r="B649" s="3" t="s">
        <v>1063</v>
      </c>
      <c r="C649" s="4">
        <f t="shared" ca="1" si="23"/>
        <v>45514</v>
      </c>
      <c r="D649" s="4">
        <f ca="1">TODAY()-501</f>
        <v>45536</v>
      </c>
      <c r="E649" s="3" t="s">
        <v>1032</v>
      </c>
      <c r="F649" s="43" t="b">
        <v>1</v>
      </c>
      <c r="G649" s="43" t="b">
        <v>0</v>
      </c>
      <c r="H649" s="44">
        <v>310</v>
      </c>
    </row>
    <row r="650" spans="1:8" x14ac:dyDescent="0.3">
      <c r="A650" s="42" t="s">
        <v>1330</v>
      </c>
      <c r="B650" s="3" t="s">
        <v>1114</v>
      </c>
      <c r="C650" s="4">
        <f t="shared" ca="1" si="23"/>
        <v>45514</v>
      </c>
      <c r="D650" s="4">
        <f ca="1">TODAY()-510</f>
        <v>45527</v>
      </c>
      <c r="E650" s="3" t="s">
        <v>1029</v>
      </c>
      <c r="F650" s="43" t="b">
        <v>1</v>
      </c>
      <c r="G650" s="43" t="b">
        <v>1</v>
      </c>
      <c r="H650" s="44">
        <v>1950</v>
      </c>
    </row>
    <row r="651" spans="1:8" x14ac:dyDescent="0.3">
      <c r="A651" s="42" t="s">
        <v>1235</v>
      </c>
      <c r="B651" s="3" t="s">
        <v>1236</v>
      </c>
      <c r="C651" s="4">
        <f t="shared" ca="1" si="23"/>
        <v>45514</v>
      </c>
      <c r="D651" s="4">
        <f ca="1">TODAY()-498</f>
        <v>45539</v>
      </c>
      <c r="E651" s="3" t="s">
        <v>1029</v>
      </c>
      <c r="F651" s="43" t="b">
        <v>1</v>
      </c>
      <c r="G651" s="43" t="b">
        <v>1</v>
      </c>
      <c r="H651" s="44">
        <v>1000</v>
      </c>
    </row>
    <row r="652" spans="1:8" x14ac:dyDescent="0.3">
      <c r="A652" s="42" t="s">
        <v>1612</v>
      </c>
      <c r="B652" s="3" t="s">
        <v>1755</v>
      </c>
      <c r="C652" s="4">
        <f t="shared" ca="1" si="23"/>
        <v>45514</v>
      </c>
      <c r="D652" s="4">
        <f ca="1">TODAY()-512</f>
        <v>45525</v>
      </c>
      <c r="E652" s="3" t="s">
        <v>1032</v>
      </c>
      <c r="F652" s="43" t="b">
        <v>1</v>
      </c>
      <c r="G652" s="43" t="b">
        <v>0</v>
      </c>
      <c r="H652" s="44">
        <v>1320</v>
      </c>
    </row>
    <row r="653" spans="1:8" x14ac:dyDescent="0.3">
      <c r="A653" s="42" t="s">
        <v>1332</v>
      </c>
      <c r="B653" s="3" t="s">
        <v>1333</v>
      </c>
      <c r="C653" s="4">
        <f t="shared" ca="1" si="23"/>
        <v>45514</v>
      </c>
      <c r="D653" s="4">
        <f ca="1">TODAY()-496</f>
        <v>45541</v>
      </c>
      <c r="E653" s="3" t="s">
        <v>1029</v>
      </c>
      <c r="F653" s="43" t="b">
        <v>1</v>
      </c>
      <c r="G653" s="43" t="b">
        <v>1</v>
      </c>
      <c r="H653" s="44">
        <v>640</v>
      </c>
    </row>
    <row r="654" spans="1:8" x14ac:dyDescent="0.3">
      <c r="A654" s="42" t="s">
        <v>1431</v>
      </c>
      <c r="B654" s="3" t="s">
        <v>1473</v>
      </c>
      <c r="C654" s="4">
        <f t="shared" ca="1" si="23"/>
        <v>45514</v>
      </c>
      <c r="D654" s="4">
        <f ca="1">TODAY()-512</f>
        <v>45525</v>
      </c>
      <c r="E654" s="3" t="s">
        <v>1032</v>
      </c>
      <c r="F654" s="43" t="b">
        <v>1</v>
      </c>
      <c r="G654" s="43" t="b">
        <v>0</v>
      </c>
      <c r="H654" s="44">
        <v>300</v>
      </c>
    </row>
    <row r="655" spans="1:8" x14ac:dyDescent="0.3">
      <c r="A655" s="42" t="s">
        <v>1229</v>
      </c>
      <c r="B655" s="3" t="s">
        <v>1757</v>
      </c>
      <c r="C655" s="4">
        <f t="shared" ca="1" si="23"/>
        <v>45514</v>
      </c>
      <c r="D655" s="4">
        <f ca="1">TODAY()-495</f>
        <v>45542</v>
      </c>
      <c r="E655" s="3" t="s">
        <v>1029</v>
      </c>
      <c r="F655" s="43" t="b">
        <v>1</v>
      </c>
      <c r="G655" s="43" t="b">
        <v>1</v>
      </c>
      <c r="H655" s="44">
        <v>2200</v>
      </c>
    </row>
    <row r="656" spans="1:8" x14ac:dyDescent="0.3">
      <c r="A656" s="42" t="s">
        <v>1758</v>
      </c>
      <c r="B656" s="3" t="s">
        <v>1275</v>
      </c>
      <c r="C656" s="4">
        <f t="shared" ca="1" si="23"/>
        <v>45514</v>
      </c>
      <c r="D656" s="42"/>
      <c r="E656" s="3" t="s">
        <v>1103</v>
      </c>
      <c r="F656" s="43" t="b">
        <v>0</v>
      </c>
      <c r="G656" s="43" t="b">
        <v>0</v>
      </c>
      <c r="H656" s="44">
        <v>370</v>
      </c>
    </row>
    <row r="657" spans="1:8" x14ac:dyDescent="0.3">
      <c r="A657" s="42" t="s">
        <v>1656</v>
      </c>
      <c r="B657" s="3" t="s">
        <v>1657</v>
      </c>
      <c r="C657" s="4">
        <f t="shared" ca="1" si="23"/>
        <v>45514</v>
      </c>
      <c r="D657" s="4">
        <f ca="1">TODAY()-503</f>
        <v>45534</v>
      </c>
      <c r="E657" s="3" t="s">
        <v>1029</v>
      </c>
      <c r="F657" s="43" t="b">
        <v>1</v>
      </c>
      <c r="G657" s="43" t="b">
        <v>1</v>
      </c>
      <c r="H657" s="44">
        <v>120</v>
      </c>
    </row>
    <row r="658" spans="1:8" x14ac:dyDescent="0.3">
      <c r="A658" s="42" t="s">
        <v>1522</v>
      </c>
      <c r="B658" s="3" t="s">
        <v>1201</v>
      </c>
      <c r="C658" s="4">
        <f t="shared" ca="1" si="23"/>
        <v>45514</v>
      </c>
      <c r="D658" s="4">
        <f ca="1">TODAY()-497</f>
        <v>45540</v>
      </c>
      <c r="E658" s="3" t="s">
        <v>1029</v>
      </c>
      <c r="F658" s="43" t="b">
        <v>1</v>
      </c>
      <c r="G658" s="43" t="b">
        <v>1</v>
      </c>
      <c r="H658" s="44">
        <v>20000</v>
      </c>
    </row>
    <row r="659" spans="1:8" x14ac:dyDescent="0.3">
      <c r="A659" s="42" t="s">
        <v>1759</v>
      </c>
      <c r="B659" s="3" t="s">
        <v>1760</v>
      </c>
      <c r="C659" s="4">
        <f t="shared" ca="1" si="23"/>
        <v>45514</v>
      </c>
      <c r="D659" s="4">
        <f ca="1">TODAY()-505</f>
        <v>45532</v>
      </c>
      <c r="E659" s="3" t="s">
        <v>1029</v>
      </c>
      <c r="F659" s="43" t="b">
        <v>1</v>
      </c>
      <c r="G659" s="43" t="b">
        <v>1</v>
      </c>
      <c r="H659" s="44">
        <v>2410</v>
      </c>
    </row>
    <row r="660" spans="1:8" x14ac:dyDescent="0.3">
      <c r="A660" s="42" t="s">
        <v>1761</v>
      </c>
      <c r="B660" s="3" t="s">
        <v>1762</v>
      </c>
      <c r="C660" s="4">
        <f t="shared" ca="1" si="23"/>
        <v>45514</v>
      </c>
      <c r="D660" s="42"/>
      <c r="E660" s="3" t="s">
        <v>1070</v>
      </c>
      <c r="F660" s="43" t="b">
        <v>0</v>
      </c>
      <c r="G660" s="43" t="b">
        <v>0</v>
      </c>
      <c r="H660" s="44">
        <v>840</v>
      </c>
    </row>
    <row r="661" spans="1:8" x14ac:dyDescent="0.3">
      <c r="A661" s="42" t="s">
        <v>1444</v>
      </c>
      <c r="B661" s="3" t="s">
        <v>1585</v>
      </c>
      <c r="C661" s="4">
        <f t="shared" ca="1" si="23"/>
        <v>45514</v>
      </c>
      <c r="D661" s="4">
        <f ca="1">TODAY()-505</f>
        <v>45532</v>
      </c>
      <c r="E661" s="3" t="s">
        <v>1029</v>
      </c>
      <c r="F661" s="43" t="b">
        <v>1</v>
      </c>
      <c r="G661" s="43" t="b">
        <v>1</v>
      </c>
      <c r="H661" s="44">
        <v>1340</v>
      </c>
    </row>
    <row r="662" spans="1:8" x14ac:dyDescent="0.3">
      <c r="A662" s="42" t="s">
        <v>1035</v>
      </c>
      <c r="B662" s="3" t="s">
        <v>1222</v>
      </c>
      <c r="C662" s="4">
        <f t="shared" ca="1" si="23"/>
        <v>45514</v>
      </c>
      <c r="D662" s="4">
        <f ca="1">TODAY()-510</f>
        <v>45527</v>
      </c>
      <c r="E662" s="3" t="s">
        <v>1029</v>
      </c>
      <c r="F662" s="43" t="b">
        <v>1</v>
      </c>
      <c r="G662" s="43" t="b">
        <v>1</v>
      </c>
      <c r="H662" s="44">
        <v>5400</v>
      </c>
    </row>
    <row r="663" spans="1:8" x14ac:dyDescent="0.3">
      <c r="A663" s="42" t="s">
        <v>1763</v>
      </c>
      <c r="B663" s="3" t="s">
        <v>1764</v>
      </c>
      <c r="C663" s="4">
        <f t="shared" ca="1" si="23"/>
        <v>45514</v>
      </c>
      <c r="D663" s="4">
        <f ca="1">TODAY()-496</f>
        <v>45541</v>
      </c>
      <c r="E663" s="3" t="s">
        <v>1029</v>
      </c>
      <c r="F663" s="43" t="b">
        <v>1</v>
      </c>
      <c r="G663" s="43" t="b">
        <v>1</v>
      </c>
      <c r="H663" s="44">
        <v>2130</v>
      </c>
    </row>
    <row r="664" spans="1:8" x14ac:dyDescent="0.3">
      <c r="A664" s="42" t="s">
        <v>1460</v>
      </c>
      <c r="B664" s="3" t="s">
        <v>1664</v>
      </c>
      <c r="C664" s="4">
        <f t="shared" ca="1" si="23"/>
        <v>45514</v>
      </c>
      <c r="D664" s="4">
        <f ca="1">TODAY()-513</f>
        <v>45524</v>
      </c>
      <c r="E664" s="3" t="s">
        <v>1029</v>
      </c>
      <c r="F664" s="43" t="b">
        <v>1</v>
      </c>
      <c r="G664" s="43" t="b">
        <v>1</v>
      </c>
      <c r="H664" s="44">
        <v>1180</v>
      </c>
    </row>
    <row r="665" spans="1:8" x14ac:dyDescent="0.3">
      <c r="A665" s="42" t="s">
        <v>1765</v>
      </c>
      <c r="B665" s="3" t="s">
        <v>1766</v>
      </c>
      <c r="C665" s="4">
        <f t="shared" ca="1" si="23"/>
        <v>45514</v>
      </c>
      <c r="D665" s="42"/>
      <c r="E665" s="3" t="s">
        <v>1103</v>
      </c>
      <c r="F665" s="43" t="b">
        <v>0</v>
      </c>
      <c r="G665" s="43" t="b">
        <v>0</v>
      </c>
      <c r="H665" s="44">
        <v>1790</v>
      </c>
    </row>
    <row r="666" spans="1:8" x14ac:dyDescent="0.3">
      <c r="A666" s="42" t="s">
        <v>1038</v>
      </c>
      <c r="B666" s="3" t="s">
        <v>1039</v>
      </c>
      <c r="C666" s="4">
        <f t="shared" ca="1" si="23"/>
        <v>45514</v>
      </c>
      <c r="D666" s="4">
        <f ca="1">TODAY()-513</f>
        <v>45524</v>
      </c>
      <c r="E666" s="3" t="s">
        <v>1029</v>
      </c>
      <c r="F666" s="43" t="b">
        <v>1</v>
      </c>
      <c r="G666" s="43" t="b">
        <v>1</v>
      </c>
      <c r="H666" s="44">
        <v>130</v>
      </c>
    </row>
    <row r="667" spans="1:8" x14ac:dyDescent="0.3">
      <c r="A667" s="42" t="s">
        <v>1616</v>
      </c>
      <c r="B667" s="3" t="s">
        <v>1617</v>
      </c>
      <c r="C667" s="4">
        <f t="shared" ca="1" si="23"/>
        <v>45514</v>
      </c>
      <c r="D667" s="4">
        <f t="shared" ref="D667:D669" ca="1" si="25">TODAY()-507</f>
        <v>45530</v>
      </c>
      <c r="E667" s="3" t="s">
        <v>1032</v>
      </c>
      <c r="F667" s="43" t="b">
        <v>1</v>
      </c>
      <c r="G667" s="43" t="b">
        <v>0</v>
      </c>
      <c r="H667" s="44">
        <v>1810</v>
      </c>
    </row>
    <row r="668" spans="1:8" x14ac:dyDescent="0.3">
      <c r="A668" s="42" t="s">
        <v>1767</v>
      </c>
      <c r="B668" s="3" t="s">
        <v>1768</v>
      </c>
      <c r="C668" s="4">
        <f t="shared" ca="1" si="23"/>
        <v>45514</v>
      </c>
      <c r="D668" s="4">
        <f t="shared" ca="1" si="25"/>
        <v>45530</v>
      </c>
      <c r="E668" s="3" t="s">
        <v>1029</v>
      </c>
      <c r="F668" s="43" t="b">
        <v>1</v>
      </c>
      <c r="G668" s="43" t="b">
        <v>1</v>
      </c>
      <c r="H668" s="44">
        <v>110</v>
      </c>
    </row>
    <row r="669" spans="1:8" x14ac:dyDescent="0.3">
      <c r="A669" s="42" t="s">
        <v>1595</v>
      </c>
      <c r="B669" s="3" t="s">
        <v>1769</v>
      </c>
      <c r="C669" s="4">
        <f t="shared" ca="1" si="23"/>
        <v>45514</v>
      </c>
      <c r="D669" s="4">
        <f t="shared" ca="1" si="25"/>
        <v>45530</v>
      </c>
      <c r="E669" s="3" t="s">
        <v>1029</v>
      </c>
      <c r="F669" s="43" t="b">
        <v>1</v>
      </c>
      <c r="G669" s="43" t="b">
        <v>1</v>
      </c>
      <c r="H669" s="44">
        <v>1770</v>
      </c>
    </row>
    <row r="670" spans="1:8" x14ac:dyDescent="0.3">
      <c r="A670" s="42" t="s">
        <v>1281</v>
      </c>
      <c r="B670" s="3" t="s">
        <v>1282</v>
      </c>
      <c r="C670" s="4">
        <f t="shared" ca="1" si="23"/>
        <v>45514</v>
      </c>
      <c r="D670" s="4">
        <f ca="1">TODAY()-506</f>
        <v>45531</v>
      </c>
      <c r="E670" s="3" t="s">
        <v>1029</v>
      </c>
      <c r="F670" s="43" t="b">
        <v>1</v>
      </c>
      <c r="G670" s="43" t="b">
        <v>1</v>
      </c>
      <c r="H670" s="44">
        <v>2350</v>
      </c>
    </row>
    <row r="671" spans="1:8" x14ac:dyDescent="0.3">
      <c r="A671" s="42" t="s">
        <v>1455</v>
      </c>
      <c r="B671" s="3" t="s">
        <v>1456</v>
      </c>
      <c r="C671" s="4">
        <f t="shared" ca="1" si="23"/>
        <v>45514</v>
      </c>
      <c r="D671" s="4">
        <f ca="1">TODAY()-511</f>
        <v>45526</v>
      </c>
      <c r="E671" s="3" t="s">
        <v>1032</v>
      </c>
      <c r="F671" s="43" t="b">
        <v>1</v>
      </c>
      <c r="G671" s="43" t="b">
        <v>0</v>
      </c>
      <c r="H671" s="44">
        <v>470</v>
      </c>
    </row>
    <row r="672" spans="1:8" x14ac:dyDescent="0.3">
      <c r="A672" s="42" t="s">
        <v>1368</v>
      </c>
      <c r="B672" s="3" t="s">
        <v>1534</v>
      </c>
      <c r="C672" s="4">
        <f t="shared" ca="1" si="23"/>
        <v>45514</v>
      </c>
      <c r="D672" s="4">
        <f ca="1">TODAY()-502</f>
        <v>45535</v>
      </c>
      <c r="E672" s="3" t="s">
        <v>1029</v>
      </c>
      <c r="F672" s="43" t="b">
        <v>1</v>
      </c>
      <c r="G672" s="43" t="b">
        <v>1</v>
      </c>
      <c r="H672" s="44">
        <v>1140</v>
      </c>
    </row>
    <row r="673" spans="1:8" x14ac:dyDescent="0.3">
      <c r="A673" s="42" t="s">
        <v>1306</v>
      </c>
      <c r="B673" s="3" t="s">
        <v>1307</v>
      </c>
      <c r="C673" s="4">
        <f t="shared" ca="1" si="23"/>
        <v>45514</v>
      </c>
      <c r="D673" s="4">
        <f ca="1">TODAY()-513</f>
        <v>45524</v>
      </c>
      <c r="E673" s="3" t="s">
        <v>1032</v>
      </c>
      <c r="F673" s="43" t="b">
        <v>1</v>
      </c>
      <c r="G673" s="43" t="b">
        <v>0</v>
      </c>
      <c r="H673" s="44">
        <v>1420</v>
      </c>
    </row>
    <row r="674" spans="1:8" x14ac:dyDescent="0.3">
      <c r="A674" s="42" t="s">
        <v>1770</v>
      </c>
      <c r="B674" s="3" t="s">
        <v>1771</v>
      </c>
      <c r="C674" s="4">
        <f t="shared" ca="1" si="23"/>
        <v>45514</v>
      </c>
      <c r="D674" s="4">
        <f ca="1">TODAY()-502</f>
        <v>45535</v>
      </c>
      <c r="E674" s="3" t="s">
        <v>1029</v>
      </c>
      <c r="F674" s="43" t="b">
        <v>1</v>
      </c>
      <c r="G674" s="43" t="b">
        <v>1</v>
      </c>
      <c r="H674" s="44">
        <v>1730</v>
      </c>
    </row>
    <row r="675" spans="1:8" x14ac:dyDescent="0.3">
      <c r="A675" s="42" t="s">
        <v>1772</v>
      </c>
      <c r="B675" s="3" t="s">
        <v>1773</v>
      </c>
      <c r="C675" s="4">
        <f t="shared" ca="1" si="23"/>
        <v>45514</v>
      </c>
      <c r="D675" s="4">
        <f ca="1">TODAY()-499</f>
        <v>45538</v>
      </c>
      <c r="E675" s="3" t="s">
        <v>1029</v>
      </c>
      <c r="F675" s="43" t="b">
        <v>1</v>
      </c>
      <c r="G675" s="43" t="b">
        <v>1</v>
      </c>
      <c r="H675" s="44">
        <v>1140</v>
      </c>
    </row>
    <row r="676" spans="1:8" x14ac:dyDescent="0.3">
      <c r="A676" s="42" t="s">
        <v>1632</v>
      </c>
      <c r="B676" s="3" t="s">
        <v>1774</v>
      </c>
      <c r="C676" s="4">
        <f t="shared" ca="1" si="23"/>
        <v>45514</v>
      </c>
      <c r="D676" s="4">
        <f ca="1">TODAY()-498</f>
        <v>45539</v>
      </c>
      <c r="E676" s="3" t="s">
        <v>1029</v>
      </c>
      <c r="F676" s="43" t="b">
        <v>1</v>
      </c>
      <c r="G676" s="43" t="b">
        <v>1</v>
      </c>
      <c r="H676" s="44">
        <v>2360</v>
      </c>
    </row>
    <row r="677" spans="1:8" x14ac:dyDescent="0.3">
      <c r="A677" s="42" t="s">
        <v>1583</v>
      </c>
      <c r="B677" s="3" t="s">
        <v>1775</v>
      </c>
      <c r="C677" s="4">
        <f t="shared" ca="1" si="23"/>
        <v>45514</v>
      </c>
      <c r="D677" s="4">
        <f ca="1">TODAY()-511</f>
        <v>45526</v>
      </c>
      <c r="E677" s="3" t="s">
        <v>1032</v>
      </c>
      <c r="F677" s="43" t="b">
        <v>1</v>
      </c>
      <c r="G677" s="43" t="b">
        <v>0</v>
      </c>
      <c r="H677" s="44">
        <v>1020</v>
      </c>
    </row>
    <row r="678" spans="1:8" x14ac:dyDescent="0.3">
      <c r="A678" s="42" t="s">
        <v>1449</v>
      </c>
      <c r="B678" s="3" t="s">
        <v>1726</v>
      </c>
      <c r="C678" s="4">
        <f t="shared" ca="1" si="23"/>
        <v>45514</v>
      </c>
      <c r="D678" s="4">
        <f ca="1">TODAY()-510</f>
        <v>45527</v>
      </c>
      <c r="E678" s="3" t="s">
        <v>1029</v>
      </c>
      <c r="F678" s="43" t="b">
        <v>1</v>
      </c>
      <c r="G678" s="43" t="b">
        <v>1</v>
      </c>
      <c r="H678" s="44">
        <v>2430</v>
      </c>
    </row>
    <row r="679" spans="1:8" x14ac:dyDescent="0.3">
      <c r="A679" s="42" t="s">
        <v>1079</v>
      </c>
      <c r="B679" s="3" t="s">
        <v>1080</v>
      </c>
      <c r="C679" s="4">
        <f t="shared" ca="1" si="23"/>
        <v>45514</v>
      </c>
      <c r="D679" s="4">
        <f ca="1">TODAY()-499</f>
        <v>45538</v>
      </c>
      <c r="E679" s="3" t="s">
        <v>1029</v>
      </c>
      <c r="F679" s="43" t="b">
        <v>1</v>
      </c>
      <c r="G679" s="43" t="b">
        <v>1</v>
      </c>
      <c r="H679" s="44">
        <v>640</v>
      </c>
    </row>
    <row r="680" spans="1:8" x14ac:dyDescent="0.3">
      <c r="A680" s="42" t="s">
        <v>1776</v>
      </c>
      <c r="B680" s="3" t="s">
        <v>1777</v>
      </c>
      <c r="C680" s="4">
        <f t="shared" ca="1" si="23"/>
        <v>45514</v>
      </c>
      <c r="D680" s="4">
        <f ca="1">TODAY()-510</f>
        <v>45527</v>
      </c>
      <c r="E680" s="3" t="s">
        <v>1029</v>
      </c>
      <c r="F680" s="43" t="b">
        <v>1</v>
      </c>
      <c r="G680" s="43" t="b">
        <v>1</v>
      </c>
      <c r="H680" s="44">
        <v>1890</v>
      </c>
    </row>
    <row r="681" spans="1:8" x14ac:dyDescent="0.3">
      <c r="A681" s="42" t="s">
        <v>1599</v>
      </c>
      <c r="B681" s="3" t="s">
        <v>1136</v>
      </c>
      <c r="C681" s="4">
        <f t="shared" ca="1" si="23"/>
        <v>45514</v>
      </c>
      <c r="D681" s="4">
        <f ca="1">TODAY()-504</f>
        <v>45533</v>
      </c>
      <c r="E681" s="3" t="s">
        <v>1029</v>
      </c>
      <c r="F681" s="43" t="b">
        <v>1</v>
      </c>
      <c r="G681" s="43" t="b">
        <v>1</v>
      </c>
      <c r="H681" s="44">
        <v>20000</v>
      </c>
    </row>
    <row r="682" spans="1:8" x14ac:dyDescent="0.3">
      <c r="A682" s="42" t="s">
        <v>1503</v>
      </c>
      <c r="B682" s="3" t="s">
        <v>1504</v>
      </c>
      <c r="C682" s="4">
        <f t="shared" ca="1" si="23"/>
        <v>45514</v>
      </c>
      <c r="D682" s="42"/>
      <c r="E682" s="3" t="s">
        <v>1108</v>
      </c>
      <c r="F682" s="43" t="b">
        <v>0</v>
      </c>
      <c r="G682" s="43" t="b">
        <v>0</v>
      </c>
      <c r="H682" s="44">
        <v>2200</v>
      </c>
    </row>
    <row r="683" spans="1:8" x14ac:dyDescent="0.3">
      <c r="A683" s="42" t="s">
        <v>1494</v>
      </c>
      <c r="B683" s="3" t="s">
        <v>1778</v>
      </c>
      <c r="C683" s="4">
        <f t="shared" ca="1" si="23"/>
        <v>45514</v>
      </c>
      <c r="D683" s="4">
        <f t="shared" ref="D683:D684" ca="1" si="26">TODAY()-497</f>
        <v>45540</v>
      </c>
      <c r="E683" s="3" t="s">
        <v>1029</v>
      </c>
      <c r="F683" s="43" t="b">
        <v>1</v>
      </c>
      <c r="G683" s="43" t="b">
        <v>1</v>
      </c>
      <c r="H683" s="44">
        <v>2700</v>
      </c>
    </row>
    <row r="684" spans="1:8" x14ac:dyDescent="0.3">
      <c r="A684" s="42" t="s">
        <v>1779</v>
      </c>
      <c r="B684" s="3" t="s">
        <v>1607</v>
      </c>
      <c r="C684" s="4">
        <f t="shared" ca="1" si="23"/>
        <v>45514</v>
      </c>
      <c r="D684" s="4">
        <f t="shared" ca="1" si="26"/>
        <v>45540</v>
      </c>
      <c r="E684" s="3" t="s">
        <v>1032</v>
      </c>
      <c r="F684" s="43" t="b">
        <v>1</v>
      </c>
      <c r="G684" s="43" t="b">
        <v>0</v>
      </c>
      <c r="H684" s="44">
        <v>1030</v>
      </c>
    </row>
    <row r="685" spans="1:8" x14ac:dyDescent="0.3">
      <c r="A685" s="42" t="s">
        <v>1227</v>
      </c>
      <c r="B685" s="3" t="s">
        <v>1275</v>
      </c>
      <c r="C685" s="4">
        <f t="shared" ca="1" si="23"/>
        <v>45514</v>
      </c>
      <c r="D685" s="4">
        <f ca="1">TODAY()-496</f>
        <v>45541</v>
      </c>
      <c r="E685" s="3" t="s">
        <v>1032</v>
      </c>
      <c r="F685" s="43" t="b">
        <v>1</v>
      </c>
      <c r="G685" s="43" t="b">
        <v>0</v>
      </c>
      <c r="H685" s="44">
        <v>970</v>
      </c>
    </row>
    <row r="686" spans="1:8" x14ac:dyDescent="0.3">
      <c r="A686" s="42" t="s">
        <v>1242</v>
      </c>
      <c r="B686" s="3" t="s">
        <v>1243</v>
      </c>
      <c r="C686" s="4">
        <f t="shared" ca="1" si="23"/>
        <v>45514</v>
      </c>
      <c r="D686" s="4">
        <f ca="1">TODAY()-507</f>
        <v>45530</v>
      </c>
      <c r="E686" s="3" t="s">
        <v>1029</v>
      </c>
      <c r="F686" s="43" t="b">
        <v>1</v>
      </c>
      <c r="G686" s="43" t="b">
        <v>1</v>
      </c>
      <c r="H686" s="44">
        <v>1420</v>
      </c>
    </row>
    <row r="687" spans="1:8" x14ac:dyDescent="0.3">
      <c r="A687" s="42" t="s">
        <v>1221</v>
      </c>
      <c r="B687" s="3" t="s">
        <v>1514</v>
      </c>
      <c r="C687" s="4">
        <f t="shared" ca="1" si="23"/>
        <v>45514</v>
      </c>
      <c r="D687" s="42"/>
      <c r="E687" s="3" t="s">
        <v>1103</v>
      </c>
      <c r="F687" s="43" t="b">
        <v>0</v>
      </c>
      <c r="G687" s="43" t="b">
        <v>0</v>
      </c>
      <c r="H687" s="44">
        <v>1690</v>
      </c>
    </row>
    <row r="688" spans="1:8" x14ac:dyDescent="0.3">
      <c r="A688" s="42" t="s">
        <v>1532</v>
      </c>
      <c r="B688" s="3" t="s">
        <v>1533</v>
      </c>
      <c r="C688" s="4">
        <f t="shared" ca="1" si="23"/>
        <v>45514</v>
      </c>
      <c r="D688" s="4">
        <f ca="1">TODAY()-497</f>
        <v>45540</v>
      </c>
      <c r="E688" s="3" t="s">
        <v>1029</v>
      </c>
      <c r="F688" s="43" t="b">
        <v>1</v>
      </c>
      <c r="G688" s="43" t="b">
        <v>1</v>
      </c>
      <c r="H688" s="44">
        <v>1640</v>
      </c>
    </row>
    <row r="689" spans="1:8" x14ac:dyDescent="0.3">
      <c r="A689" s="42" t="s">
        <v>1722</v>
      </c>
      <c r="B689" s="3" t="s">
        <v>1723</v>
      </c>
      <c r="C689" s="4">
        <f t="shared" ca="1" si="23"/>
        <v>45514</v>
      </c>
      <c r="D689" s="4">
        <f ca="1">TODAY()-493</f>
        <v>45544</v>
      </c>
      <c r="E689" s="3" t="s">
        <v>1032</v>
      </c>
      <c r="F689" s="43" t="b">
        <v>1</v>
      </c>
      <c r="G689" s="43" t="b">
        <v>0</v>
      </c>
      <c r="H689" s="44">
        <v>1550</v>
      </c>
    </row>
    <row r="690" spans="1:8" x14ac:dyDescent="0.3">
      <c r="A690" s="42" t="s">
        <v>1366</v>
      </c>
      <c r="B690" s="3" t="s">
        <v>1590</v>
      </c>
      <c r="C690" s="4">
        <f t="shared" ca="1" si="23"/>
        <v>45514</v>
      </c>
      <c r="D690" s="4">
        <f t="shared" ref="D690:D691" ca="1" si="27">TODAY()-510</f>
        <v>45527</v>
      </c>
      <c r="E690" s="3" t="s">
        <v>1032</v>
      </c>
      <c r="F690" s="43" t="b">
        <v>1</v>
      </c>
      <c r="G690" s="43" t="b">
        <v>0</v>
      </c>
      <c r="H690" s="44">
        <v>1960</v>
      </c>
    </row>
    <row r="691" spans="1:8" x14ac:dyDescent="0.3">
      <c r="A691" s="42" t="s">
        <v>1659</v>
      </c>
      <c r="B691" s="3" t="s">
        <v>1660</v>
      </c>
      <c r="C691" s="4">
        <f t="shared" ca="1" si="23"/>
        <v>45514</v>
      </c>
      <c r="D691" s="4">
        <f t="shared" ca="1" si="27"/>
        <v>45527</v>
      </c>
      <c r="E691" s="3" t="s">
        <v>1029</v>
      </c>
      <c r="F691" s="43" t="b">
        <v>1</v>
      </c>
      <c r="G691" s="43" t="b">
        <v>1</v>
      </c>
      <c r="H691" s="44">
        <v>820</v>
      </c>
    </row>
    <row r="692" spans="1:8" x14ac:dyDescent="0.3">
      <c r="A692" s="42" t="s">
        <v>1054</v>
      </c>
      <c r="B692" s="3" t="s">
        <v>1055</v>
      </c>
      <c r="C692" s="4">
        <f t="shared" ca="1" si="23"/>
        <v>45514</v>
      </c>
      <c r="D692" s="4">
        <f ca="1">TODAY()-499</f>
        <v>45538</v>
      </c>
      <c r="E692" s="3" t="s">
        <v>1029</v>
      </c>
      <c r="F692" s="43" t="b">
        <v>1</v>
      </c>
      <c r="G692" s="43" t="b">
        <v>1</v>
      </c>
      <c r="H692" s="44">
        <v>6360</v>
      </c>
    </row>
    <row r="693" spans="1:8" x14ac:dyDescent="0.3">
      <c r="A693" s="42" t="s">
        <v>1394</v>
      </c>
      <c r="B693" s="3" t="s">
        <v>1395</v>
      </c>
      <c r="C693" s="4">
        <f t="shared" ca="1" si="23"/>
        <v>45514</v>
      </c>
      <c r="D693" s="4">
        <f ca="1">TODAY()-495</f>
        <v>45542</v>
      </c>
      <c r="E693" s="3" t="s">
        <v>1029</v>
      </c>
      <c r="F693" s="43" t="b">
        <v>1</v>
      </c>
      <c r="G693" s="43" t="b">
        <v>1</v>
      </c>
      <c r="H693" s="44">
        <v>880</v>
      </c>
    </row>
    <row r="694" spans="1:8" x14ac:dyDescent="0.3">
      <c r="A694" s="42" t="s">
        <v>1532</v>
      </c>
      <c r="B694" s="3" t="s">
        <v>1533</v>
      </c>
      <c r="C694" s="4">
        <f t="shared" ca="1" si="23"/>
        <v>45514</v>
      </c>
      <c r="D694" s="4">
        <f ca="1">TODAY()-507</f>
        <v>45530</v>
      </c>
      <c r="E694" s="3" t="s">
        <v>1029</v>
      </c>
      <c r="F694" s="43" t="b">
        <v>1</v>
      </c>
      <c r="G694" s="43" t="b">
        <v>1</v>
      </c>
      <c r="H694" s="44">
        <v>1640</v>
      </c>
    </row>
    <row r="695" spans="1:8" x14ac:dyDescent="0.3">
      <c r="A695" s="42" t="s">
        <v>1203</v>
      </c>
      <c r="B695" s="3" t="s">
        <v>1204</v>
      </c>
      <c r="C695" s="4">
        <f t="shared" ca="1" si="23"/>
        <v>45514</v>
      </c>
      <c r="D695" s="4">
        <f ca="1">TODAY()-506</f>
        <v>45531</v>
      </c>
      <c r="E695" s="3" t="s">
        <v>1032</v>
      </c>
      <c r="F695" s="43" t="b">
        <v>1</v>
      </c>
      <c r="G695" s="43" t="b">
        <v>0</v>
      </c>
      <c r="H695" s="44">
        <v>410</v>
      </c>
    </row>
    <row r="696" spans="1:8" x14ac:dyDescent="0.3">
      <c r="A696" s="42" t="s">
        <v>1161</v>
      </c>
      <c r="B696" s="3" t="s">
        <v>1248</v>
      </c>
      <c r="C696" s="4">
        <f t="shared" ca="1" si="23"/>
        <v>45514</v>
      </c>
      <c r="D696" s="4">
        <f ca="1">TODAY()-498</f>
        <v>45539</v>
      </c>
      <c r="E696" s="3" t="s">
        <v>1029</v>
      </c>
      <c r="F696" s="43" t="b">
        <v>1</v>
      </c>
      <c r="G696" s="43" t="b">
        <v>1</v>
      </c>
      <c r="H696" s="44">
        <v>2440</v>
      </c>
    </row>
    <row r="697" spans="1:8" x14ac:dyDescent="0.3">
      <c r="A697" s="42" t="s">
        <v>1780</v>
      </c>
      <c r="B697" s="3" t="s">
        <v>1781</v>
      </c>
      <c r="C697" s="4">
        <f t="shared" ca="1" si="23"/>
        <v>45514</v>
      </c>
      <c r="D697" s="42"/>
      <c r="E697" s="3" t="s">
        <v>1103</v>
      </c>
      <c r="F697" s="43" t="b">
        <v>0</v>
      </c>
      <c r="G697" s="43" t="b">
        <v>0</v>
      </c>
      <c r="H697" s="44">
        <v>1570</v>
      </c>
    </row>
    <row r="698" spans="1:8" x14ac:dyDescent="0.3">
      <c r="A698" s="42" t="s">
        <v>1285</v>
      </c>
      <c r="B698" s="3" t="s">
        <v>1201</v>
      </c>
      <c r="C698" s="4">
        <f t="shared" ca="1" si="23"/>
        <v>45514</v>
      </c>
      <c r="D698" s="4">
        <f ca="1">TODAY()-507</f>
        <v>45530</v>
      </c>
      <c r="E698" s="3" t="s">
        <v>1029</v>
      </c>
      <c r="F698" s="43" t="b">
        <v>1</v>
      </c>
      <c r="G698" s="43" t="b">
        <v>1</v>
      </c>
      <c r="H698" s="44">
        <v>1520</v>
      </c>
    </row>
    <row r="699" spans="1:8" x14ac:dyDescent="0.3">
      <c r="A699" s="42" t="s">
        <v>1702</v>
      </c>
      <c r="B699" s="3" t="s">
        <v>1201</v>
      </c>
      <c r="C699" s="4">
        <f t="shared" ca="1" si="23"/>
        <v>45514</v>
      </c>
      <c r="D699" s="4">
        <f ca="1">TODAY()-508</f>
        <v>45529</v>
      </c>
      <c r="E699" s="3" t="s">
        <v>1029</v>
      </c>
      <c r="F699" s="43" t="b">
        <v>1</v>
      </c>
      <c r="G699" s="43" t="b">
        <v>1</v>
      </c>
      <c r="H699" s="44">
        <v>2790</v>
      </c>
    </row>
    <row r="700" spans="1:8" x14ac:dyDescent="0.3">
      <c r="A700" s="42" t="s">
        <v>1119</v>
      </c>
      <c r="B700" s="3" t="s">
        <v>1120</v>
      </c>
      <c r="C700" s="4">
        <f t="shared" ca="1" si="23"/>
        <v>45514</v>
      </c>
      <c r="D700" s="4">
        <f ca="1">TODAY()-498</f>
        <v>45539</v>
      </c>
      <c r="E700" s="3" t="s">
        <v>1029</v>
      </c>
      <c r="F700" s="43" t="b">
        <v>1</v>
      </c>
      <c r="G700" s="43" t="b">
        <v>1</v>
      </c>
      <c r="H700" s="44">
        <v>1450</v>
      </c>
    </row>
    <row r="701" spans="1:8" x14ac:dyDescent="0.3">
      <c r="A701" s="42" t="s">
        <v>1782</v>
      </c>
      <c r="B701" s="3" t="s">
        <v>1275</v>
      </c>
      <c r="C701" s="4">
        <f t="shared" ca="1" si="23"/>
        <v>45514</v>
      </c>
      <c r="D701" s="4">
        <f ca="1">TODAY()-497</f>
        <v>45540</v>
      </c>
      <c r="E701" s="3" t="s">
        <v>1029</v>
      </c>
      <c r="F701" s="43" t="b">
        <v>1</v>
      </c>
      <c r="G701" s="43" t="b">
        <v>1</v>
      </c>
      <c r="H701" s="44">
        <v>1670</v>
      </c>
    </row>
    <row r="702" spans="1:8" x14ac:dyDescent="0.3">
      <c r="A702" s="42" t="s">
        <v>1507</v>
      </c>
      <c r="B702" s="3" t="s">
        <v>1508</v>
      </c>
      <c r="C702" s="4">
        <f t="shared" ca="1" si="23"/>
        <v>45514</v>
      </c>
      <c r="D702" s="4">
        <f ca="1">TODAY()-493</f>
        <v>45544</v>
      </c>
      <c r="E702" s="3" t="s">
        <v>1029</v>
      </c>
      <c r="F702" s="43" t="b">
        <v>1</v>
      </c>
      <c r="G702" s="43" t="b">
        <v>1</v>
      </c>
      <c r="H702" s="44">
        <v>1200</v>
      </c>
    </row>
    <row r="703" spans="1:8" x14ac:dyDescent="0.3">
      <c r="A703" s="42" t="s">
        <v>1748</v>
      </c>
      <c r="B703" s="3" t="s">
        <v>1749</v>
      </c>
      <c r="C703" s="4">
        <f t="shared" ca="1" si="23"/>
        <v>45514</v>
      </c>
      <c r="D703" s="4">
        <f ca="1">TODAY()-511</f>
        <v>45526</v>
      </c>
      <c r="E703" s="3" t="s">
        <v>1029</v>
      </c>
      <c r="F703" s="43" t="b">
        <v>1</v>
      </c>
      <c r="G703" s="43" t="b">
        <v>1</v>
      </c>
      <c r="H703" s="44">
        <v>670</v>
      </c>
    </row>
    <row r="704" spans="1:8" x14ac:dyDescent="0.3">
      <c r="A704" s="42" t="s">
        <v>1431</v>
      </c>
      <c r="B704" s="3" t="s">
        <v>1432</v>
      </c>
      <c r="C704" s="4">
        <f t="shared" ref="C704:C798" ca="1" si="28">TODAY()-493</f>
        <v>45544</v>
      </c>
      <c r="D704" s="42"/>
      <c r="E704" s="3" t="s">
        <v>1108</v>
      </c>
      <c r="F704" s="43" t="b">
        <v>0</v>
      </c>
      <c r="G704" s="43" t="b">
        <v>0</v>
      </c>
      <c r="H704" s="44">
        <v>1170</v>
      </c>
    </row>
    <row r="705" spans="1:8" x14ac:dyDescent="0.3">
      <c r="A705" s="42" t="s">
        <v>1722</v>
      </c>
      <c r="B705" s="3" t="s">
        <v>1114</v>
      </c>
      <c r="C705" s="4">
        <f t="shared" ca="1" si="28"/>
        <v>45544</v>
      </c>
      <c r="D705" s="42"/>
      <c r="E705" s="3" t="s">
        <v>1108</v>
      </c>
      <c r="F705" s="43" t="b">
        <v>0</v>
      </c>
      <c r="G705" s="43" t="b">
        <v>0</v>
      </c>
      <c r="H705" s="44">
        <v>1680</v>
      </c>
    </row>
    <row r="706" spans="1:8" x14ac:dyDescent="0.3">
      <c r="A706" s="42" t="s">
        <v>1095</v>
      </c>
      <c r="B706" s="3" t="s">
        <v>1395</v>
      </c>
      <c r="C706" s="4">
        <f t="shared" ca="1" si="28"/>
        <v>45544</v>
      </c>
      <c r="D706" s="4">
        <f ca="1">TODAY()-481</f>
        <v>45556</v>
      </c>
      <c r="E706" s="3" t="s">
        <v>1029</v>
      </c>
      <c r="F706" s="43" t="b">
        <v>1</v>
      </c>
      <c r="G706" s="43" t="b">
        <v>1</v>
      </c>
      <c r="H706" s="44">
        <v>440</v>
      </c>
    </row>
    <row r="707" spans="1:8" x14ac:dyDescent="0.3">
      <c r="A707" s="42" t="s">
        <v>1405</v>
      </c>
      <c r="B707" s="3" t="s">
        <v>1707</v>
      </c>
      <c r="C707" s="4">
        <f t="shared" ca="1" si="28"/>
        <v>45544</v>
      </c>
      <c r="D707" s="4">
        <f ca="1">TODAY()-478</f>
        <v>45559</v>
      </c>
      <c r="E707" s="3" t="s">
        <v>1032</v>
      </c>
      <c r="F707" s="43" t="b">
        <v>1</v>
      </c>
      <c r="G707" s="43" t="b">
        <v>0</v>
      </c>
      <c r="H707" s="44">
        <v>2260</v>
      </c>
    </row>
    <row r="708" spans="1:8" x14ac:dyDescent="0.3">
      <c r="A708" s="42" t="s">
        <v>1315</v>
      </c>
      <c r="B708" s="3" t="s">
        <v>1588</v>
      </c>
      <c r="C708" s="4">
        <f t="shared" ca="1" si="28"/>
        <v>45544</v>
      </c>
      <c r="D708" s="4">
        <f ca="1">TODAY()-481</f>
        <v>45556</v>
      </c>
      <c r="E708" s="3" t="s">
        <v>1032</v>
      </c>
      <c r="F708" s="43" t="b">
        <v>1</v>
      </c>
      <c r="G708" s="43" t="b">
        <v>0</v>
      </c>
      <c r="H708" s="44">
        <v>1680</v>
      </c>
    </row>
    <row r="709" spans="1:8" x14ac:dyDescent="0.3">
      <c r="A709" s="42" t="s">
        <v>1213</v>
      </c>
      <c r="B709" s="3" t="s">
        <v>1214</v>
      </c>
      <c r="C709" s="4">
        <f t="shared" ca="1" si="28"/>
        <v>45544</v>
      </c>
      <c r="D709" s="42"/>
      <c r="E709" s="3" t="s">
        <v>1077</v>
      </c>
      <c r="F709" s="43" t="b">
        <v>0</v>
      </c>
      <c r="G709" s="43" t="b">
        <v>0</v>
      </c>
      <c r="H709" s="44">
        <v>1440</v>
      </c>
    </row>
    <row r="710" spans="1:8" x14ac:dyDescent="0.3">
      <c r="A710" s="42" t="s">
        <v>1499</v>
      </c>
      <c r="B710" s="3" t="s">
        <v>1500</v>
      </c>
      <c r="C710" s="4">
        <f t="shared" ca="1" si="28"/>
        <v>45544</v>
      </c>
      <c r="D710" s="42"/>
      <c r="E710" s="3" t="s">
        <v>1037</v>
      </c>
      <c r="F710" s="43" t="b">
        <v>0</v>
      </c>
      <c r="G710" s="43" t="b">
        <v>0</v>
      </c>
      <c r="H710" s="44">
        <v>840</v>
      </c>
    </row>
    <row r="711" spans="1:8" x14ac:dyDescent="0.3">
      <c r="A711" s="42" t="s">
        <v>1517</v>
      </c>
      <c r="B711" s="3" t="s">
        <v>1114</v>
      </c>
      <c r="C711" s="4">
        <f t="shared" ca="1" si="28"/>
        <v>45544</v>
      </c>
      <c r="D711" s="42"/>
      <c r="E711" s="3" t="s">
        <v>1037</v>
      </c>
      <c r="F711" s="43" t="b">
        <v>0</v>
      </c>
      <c r="G711" s="43" t="b">
        <v>0</v>
      </c>
      <c r="H711" s="44">
        <v>2180</v>
      </c>
    </row>
    <row r="712" spans="1:8" x14ac:dyDescent="0.3">
      <c r="A712" s="42" t="s">
        <v>1147</v>
      </c>
      <c r="B712" s="3" t="s">
        <v>1148</v>
      </c>
      <c r="C712" s="4">
        <f t="shared" ca="1" si="28"/>
        <v>45544</v>
      </c>
      <c r="D712" s="4">
        <f ca="1">TODAY()-464</f>
        <v>45573</v>
      </c>
      <c r="E712" s="3" t="s">
        <v>1029</v>
      </c>
      <c r="F712" s="43" t="b">
        <v>1</v>
      </c>
      <c r="G712" s="43" t="b">
        <v>1</v>
      </c>
      <c r="H712" s="44">
        <v>800</v>
      </c>
    </row>
    <row r="713" spans="1:8" x14ac:dyDescent="0.3">
      <c r="A713" s="42" t="s">
        <v>1157</v>
      </c>
      <c r="B713" s="3" t="s">
        <v>1158</v>
      </c>
      <c r="C713" s="4">
        <f t="shared" ca="1" si="28"/>
        <v>45544</v>
      </c>
      <c r="D713" s="4">
        <f ca="1">TODAY()-474</f>
        <v>45563</v>
      </c>
      <c r="E713" s="3" t="s">
        <v>1029</v>
      </c>
      <c r="F713" s="43" t="b">
        <v>1</v>
      </c>
      <c r="G713" s="43" t="b">
        <v>1</v>
      </c>
      <c r="H713" s="44">
        <v>360</v>
      </c>
    </row>
    <row r="714" spans="1:8" x14ac:dyDescent="0.3">
      <c r="A714" s="42" t="s">
        <v>1783</v>
      </c>
      <c r="B714" s="3" t="s">
        <v>1784</v>
      </c>
      <c r="C714" s="4">
        <f t="shared" ca="1" si="28"/>
        <v>45544</v>
      </c>
      <c r="D714" s="42"/>
      <c r="E714" s="3" t="s">
        <v>1108</v>
      </c>
      <c r="F714" s="43" t="b">
        <v>0</v>
      </c>
      <c r="G714" s="43" t="b">
        <v>0</v>
      </c>
      <c r="H714" s="44">
        <v>1020</v>
      </c>
    </row>
    <row r="715" spans="1:8" x14ac:dyDescent="0.3">
      <c r="A715" s="42" t="s">
        <v>1676</v>
      </c>
      <c r="B715" s="3" t="s">
        <v>1677</v>
      </c>
      <c r="C715" s="4">
        <f t="shared" ca="1" si="28"/>
        <v>45544</v>
      </c>
      <c r="D715" s="42"/>
      <c r="E715" s="3" t="s">
        <v>1101</v>
      </c>
      <c r="F715" s="43" t="b">
        <v>0</v>
      </c>
      <c r="G715" s="43" t="b">
        <v>0</v>
      </c>
      <c r="H715" s="44">
        <v>410</v>
      </c>
    </row>
    <row r="716" spans="1:8" x14ac:dyDescent="0.3">
      <c r="A716" s="42" t="s">
        <v>1328</v>
      </c>
      <c r="B716" s="3" t="s">
        <v>1785</v>
      </c>
      <c r="C716" s="4">
        <f t="shared" ca="1" si="28"/>
        <v>45544</v>
      </c>
      <c r="D716" s="4">
        <f ca="1">TODAY()-466</f>
        <v>45571</v>
      </c>
      <c r="E716" s="3" t="s">
        <v>1029</v>
      </c>
      <c r="F716" s="43" t="b">
        <v>1</v>
      </c>
      <c r="G716" s="43" t="b">
        <v>1</v>
      </c>
      <c r="H716" s="44">
        <v>2970</v>
      </c>
    </row>
    <row r="717" spans="1:8" x14ac:dyDescent="0.3">
      <c r="A717" s="42" t="s">
        <v>1429</v>
      </c>
      <c r="B717" s="3" t="s">
        <v>1430</v>
      </c>
      <c r="C717" s="4">
        <f t="shared" ca="1" si="28"/>
        <v>45544</v>
      </c>
      <c r="D717" s="4">
        <f ca="1">TODAY()-464</f>
        <v>45573</v>
      </c>
      <c r="E717" s="3" t="s">
        <v>1029</v>
      </c>
      <c r="F717" s="43" t="b">
        <v>1</v>
      </c>
      <c r="G717" s="43" t="b">
        <v>1</v>
      </c>
      <c r="H717" s="44">
        <v>2560</v>
      </c>
    </row>
    <row r="718" spans="1:8" x14ac:dyDescent="0.3">
      <c r="A718" s="42" t="s">
        <v>1035</v>
      </c>
      <c r="B718" s="3" t="s">
        <v>1036</v>
      </c>
      <c r="C718" s="4">
        <f t="shared" ca="1" si="28"/>
        <v>45544</v>
      </c>
      <c r="D718" s="42"/>
      <c r="E718" s="3" t="s">
        <v>1037</v>
      </c>
      <c r="F718" s="43" t="b">
        <v>0</v>
      </c>
      <c r="G718" s="43" t="b">
        <v>0</v>
      </c>
      <c r="H718" s="44">
        <v>240</v>
      </c>
    </row>
    <row r="719" spans="1:8" x14ac:dyDescent="0.3">
      <c r="A719" s="42" t="s">
        <v>1097</v>
      </c>
      <c r="B719" s="3" t="s">
        <v>1098</v>
      </c>
      <c r="C719" s="4">
        <f t="shared" ca="1" si="28"/>
        <v>45544</v>
      </c>
      <c r="D719" s="4">
        <f ca="1">TODAY()-476</f>
        <v>45561</v>
      </c>
      <c r="E719" s="3" t="s">
        <v>1029</v>
      </c>
      <c r="F719" s="43" t="b">
        <v>1</v>
      </c>
      <c r="G719" s="43" t="b">
        <v>1</v>
      </c>
      <c r="H719" s="44">
        <v>1110</v>
      </c>
    </row>
    <row r="720" spans="1:8" x14ac:dyDescent="0.3">
      <c r="A720" s="42" t="s">
        <v>1786</v>
      </c>
      <c r="B720" s="3" t="s">
        <v>1787</v>
      </c>
      <c r="C720" s="4">
        <f t="shared" ca="1" si="28"/>
        <v>45544</v>
      </c>
      <c r="D720" s="4">
        <f ca="1">TODAY()-473</f>
        <v>45564</v>
      </c>
      <c r="E720" s="3" t="s">
        <v>1032</v>
      </c>
      <c r="F720" s="43" t="b">
        <v>1</v>
      </c>
      <c r="G720" s="43" t="b">
        <v>0</v>
      </c>
      <c r="H720" s="44">
        <v>2370</v>
      </c>
    </row>
    <row r="721" spans="1:8" x14ac:dyDescent="0.3">
      <c r="A721" s="42" t="s">
        <v>1569</v>
      </c>
      <c r="B721" s="3" t="s">
        <v>1136</v>
      </c>
      <c r="C721" s="4">
        <f t="shared" ca="1" si="28"/>
        <v>45544</v>
      </c>
      <c r="D721" s="4">
        <f ca="1">TODAY()-469</f>
        <v>45568</v>
      </c>
      <c r="E721" s="3" t="s">
        <v>1029</v>
      </c>
      <c r="F721" s="43" t="b">
        <v>1</v>
      </c>
      <c r="G721" s="43" t="b">
        <v>1</v>
      </c>
      <c r="H721" s="44">
        <v>3630</v>
      </c>
    </row>
    <row r="722" spans="1:8" x14ac:dyDescent="0.3">
      <c r="A722" s="42" t="s">
        <v>1252</v>
      </c>
      <c r="B722" s="3" t="s">
        <v>1788</v>
      </c>
      <c r="C722" s="4">
        <f t="shared" ca="1" si="28"/>
        <v>45544</v>
      </c>
      <c r="D722" s="42"/>
      <c r="E722" s="3" t="s">
        <v>1101</v>
      </c>
      <c r="F722" s="43" t="b">
        <v>0</v>
      </c>
      <c r="G722" s="43" t="b">
        <v>0</v>
      </c>
      <c r="H722" s="44">
        <v>550</v>
      </c>
    </row>
    <row r="723" spans="1:8" x14ac:dyDescent="0.3">
      <c r="A723" s="42" t="s">
        <v>1368</v>
      </c>
      <c r="B723" s="3" t="s">
        <v>1534</v>
      </c>
      <c r="C723" s="4">
        <f t="shared" ca="1" si="28"/>
        <v>45544</v>
      </c>
      <c r="D723" s="4">
        <f ca="1">TODAY()-475</f>
        <v>45562</v>
      </c>
      <c r="E723" s="3" t="s">
        <v>1029</v>
      </c>
      <c r="F723" s="43" t="b">
        <v>1</v>
      </c>
      <c r="G723" s="43" t="b">
        <v>1</v>
      </c>
      <c r="H723" s="44">
        <v>1140</v>
      </c>
    </row>
    <row r="724" spans="1:8" x14ac:dyDescent="0.3">
      <c r="A724" s="42" t="s">
        <v>1104</v>
      </c>
      <c r="B724" s="3" t="s">
        <v>1789</v>
      </c>
      <c r="C724" s="4">
        <f t="shared" ca="1" si="28"/>
        <v>45544</v>
      </c>
      <c r="D724" s="4">
        <f ca="1">TODAY()-463</f>
        <v>45574</v>
      </c>
      <c r="E724" s="3" t="s">
        <v>1029</v>
      </c>
      <c r="F724" s="43" t="b">
        <v>1</v>
      </c>
      <c r="G724" s="43" t="b">
        <v>1</v>
      </c>
      <c r="H724" s="44">
        <v>2170</v>
      </c>
    </row>
    <row r="725" spans="1:8" x14ac:dyDescent="0.3">
      <c r="A725" s="42" t="s">
        <v>1455</v>
      </c>
      <c r="B725" s="3" t="s">
        <v>1790</v>
      </c>
      <c r="C725" s="4">
        <f t="shared" ca="1" si="28"/>
        <v>45544</v>
      </c>
      <c r="D725" s="42"/>
      <c r="E725" s="3" t="s">
        <v>1077</v>
      </c>
      <c r="F725" s="43" t="b">
        <v>0</v>
      </c>
      <c r="G725" s="43" t="b">
        <v>0</v>
      </c>
      <c r="H725" s="44">
        <v>1240</v>
      </c>
    </row>
    <row r="726" spans="1:8" x14ac:dyDescent="0.3">
      <c r="A726" s="42" t="s">
        <v>1227</v>
      </c>
      <c r="B726" s="3" t="s">
        <v>1228</v>
      </c>
      <c r="C726" s="4">
        <f t="shared" ca="1" si="28"/>
        <v>45544</v>
      </c>
      <c r="D726" s="4">
        <f ca="1">TODAY()-476</f>
        <v>45561</v>
      </c>
      <c r="E726" s="3" t="s">
        <v>1029</v>
      </c>
      <c r="F726" s="43" t="b">
        <v>1</v>
      </c>
      <c r="G726" s="43" t="b">
        <v>1</v>
      </c>
      <c r="H726" s="44">
        <v>480</v>
      </c>
    </row>
    <row r="727" spans="1:8" x14ac:dyDescent="0.3">
      <c r="A727" s="42" t="s">
        <v>1702</v>
      </c>
      <c r="B727" s="3" t="s">
        <v>1703</v>
      </c>
      <c r="C727" s="4">
        <f t="shared" ca="1" si="28"/>
        <v>45544</v>
      </c>
      <c r="D727" s="4">
        <f ca="1">TODAY()-465</f>
        <v>45572</v>
      </c>
      <c r="E727" s="3" t="s">
        <v>1029</v>
      </c>
      <c r="F727" s="43" t="b">
        <v>1</v>
      </c>
      <c r="G727" s="43" t="b">
        <v>1</v>
      </c>
      <c r="H727" s="44">
        <v>2350</v>
      </c>
    </row>
    <row r="728" spans="1:8" x14ac:dyDescent="0.3">
      <c r="A728" s="42" t="s">
        <v>1791</v>
      </c>
      <c r="B728" s="3" t="s">
        <v>1792</v>
      </c>
      <c r="C728" s="4">
        <f t="shared" ca="1" si="28"/>
        <v>45544</v>
      </c>
      <c r="D728" s="4">
        <f ca="1">TODAY()-466</f>
        <v>45571</v>
      </c>
      <c r="E728" s="3" t="s">
        <v>1032</v>
      </c>
      <c r="F728" s="43" t="b">
        <v>1</v>
      </c>
      <c r="G728" s="43" t="b">
        <v>0</v>
      </c>
      <c r="H728" s="44">
        <v>1940</v>
      </c>
    </row>
    <row r="729" spans="1:8" x14ac:dyDescent="0.3">
      <c r="A729" s="42" t="s">
        <v>1268</v>
      </c>
      <c r="B729" s="3" t="s">
        <v>1269</v>
      </c>
      <c r="C729" s="4">
        <f t="shared" ca="1" si="28"/>
        <v>45544</v>
      </c>
      <c r="D729" s="4">
        <f ca="1">TODAY()-471</f>
        <v>45566</v>
      </c>
      <c r="E729" s="3" t="s">
        <v>1029</v>
      </c>
      <c r="F729" s="43" t="b">
        <v>1</v>
      </c>
      <c r="G729" s="43" t="b">
        <v>1</v>
      </c>
      <c r="H729" s="44">
        <v>830</v>
      </c>
    </row>
    <row r="730" spans="1:8" x14ac:dyDescent="0.3">
      <c r="A730" s="42" t="s">
        <v>1048</v>
      </c>
      <c r="B730" s="3" t="s">
        <v>1540</v>
      </c>
      <c r="C730" s="4">
        <f t="shared" ca="1" si="28"/>
        <v>45544</v>
      </c>
      <c r="D730" s="4">
        <f t="shared" ref="D730:D731" ca="1" si="29">TODAY()-482</f>
        <v>45555</v>
      </c>
      <c r="E730" s="3" t="s">
        <v>1029</v>
      </c>
      <c r="F730" s="43" t="b">
        <v>1</v>
      </c>
      <c r="G730" s="43" t="b">
        <v>1</v>
      </c>
      <c r="H730" s="44">
        <v>1470</v>
      </c>
    </row>
    <row r="731" spans="1:8" x14ac:dyDescent="0.3">
      <c r="A731" s="42" t="s">
        <v>1462</v>
      </c>
      <c r="B731" s="3" t="s">
        <v>1463</v>
      </c>
      <c r="C731" s="4">
        <f t="shared" ca="1" si="28"/>
        <v>45544</v>
      </c>
      <c r="D731" s="4">
        <f t="shared" ca="1" si="29"/>
        <v>45555</v>
      </c>
      <c r="E731" s="3" t="s">
        <v>1029</v>
      </c>
      <c r="F731" s="43" t="b">
        <v>1</v>
      </c>
      <c r="G731" s="43" t="b">
        <v>1</v>
      </c>
      <c r="H731" s="44">
        <v>2160</v>
      </c>
    </row>
    <row r="732" spans="1:8" x14ac:dyDescent="0.3">
      <c r="A732" s="42" t="s">
        <v>1426</v>
      </c>
      <c r="B732" s="3" t="s">
        <v>1793</v>
      </c>
      <c r="C732" s="4">
        <f t="shared" ca="1" si="28"/>
        <v>45544</v>
      </c>
      <c r="D732" s="4">
        <f ca="1">TODAY()-465</f>
        <v>45572</v>
      </c>
      <c r="E732" s="3" t="s">
        <v>1029</v>
      </c>
      <c r="F732" s="43" t="b">
        <v>1</v>
      </c>
      <c r="G732" s="43" t="b">
        <v>1</v>
      </c>
      <c r="H732" s="44">
        <v>1190</v>
      </c>
    </row>
    <row r="733" spans="1:8" x14ac:dyDescent="0.3">
      <c r="A733" s="42" t="s">
        <v>1263</v>
      </c>
      <c r="B733" s="3" t="s">
        <v>1629</v>
      </c>
      <c r="C733" s="4">
        <f t="shared" ca="1" si="28"/>
        <v>45544</v>
      </c>
      <c r="D733" s="42"/>
      <c r="E733" s="3" t="s">
        <v>1103</v>
      </c>
      <c r="F733" s="43" t="b">
        <v>0</v>
      </c>
      <c r="G733" s="43" t="b">
        <v>0</v>
      </c>
      <c r="H733" s="44">
        <v>960</v>
      </c>
    </row>
    <row r="734" spans="1:8" x14ac:dyDescent="0.3">
      <c r="A734" s="42" t="s">
        <v>1759</v>
      </c>
      <c r="B734" s="3" t="s">
        <v>1201</v>
      </c>
      <c r="C734" s="4">
        <f t="shared" ca="1" si="28"/>
        <v>45544</v>
      </c>
      <c r="D734" s="4">
        <f ca="1">TODAY()-483</f>
        <v>45554</v>
      </c>
      <c r="E734" s="3" t="s">
        <v>1029</v>
      </c>
      <c r="F734" s="43" t="b">
        <v>1</v>
      </c>
      <c r="G734" s="43" t="b">
        <v>1</v>
      </c>
      <c r="H734" s="44">
        <v>830</v>
      </c>
    </row>
    <row r="735" spans="1:8" x14ac:dyDescent="0.3">
      <c r="A735" s="42" t="s">
        <v>1794</v>
      </c>
      <c r="B735" s="3" t="s">
        <v>1795</v>
      </c>
      <c r="C735" s="4">
        <f t="shared" ca="1" si="28"/>
        <v>45544</v>
      </c>
      <c r="D735" s="4">
        <f ca="1">TODAY()-477</f>
        <v>45560</v>
      </c>
      <c r="E735" s="3" t="s">
        <v>1029</v>
      </c>
      <c r="F735" s="43" t="b">
        <v>1</v>
      </c>
      <c r="G735" s="43" t="b">
        <v>1</v>
      </c>
      <c r="H735" s="44">
        <v>1860</v>
      </c>
    </row>
    <row r="736" spans="1:8" x14ac:dyDescent="0.3">
      <c r="A736" s="42" t="s">
        <v>1526</v>
      </c>
      <c r="B736" s="3" t="s">
        <v>1527</v>
      </c>
      <c r="C736" s="4">
        <f t="shared" ca="1" si="28"/>
        <v>45544</v>
      </c>
      <c r="D736" s="4">
        <f ca="1">TODAY()-464</f>
        <v>45573</v>
      </c>
      <c r="E736" s="3" t="s">
        <v>1029</v>
      </c>
      <c r="F736" s="43" t="b">
        <v>1</v>
      </c>
      <c r="G736" s="43" t="b">
        <v>1</v>
      </c>
      <c r="H736" s="44">
        <v>1110</v>
      </c>
    </row>
    <row r="737" spans="1:8" x14ac:dyDescent="0.3">
      <c r="A737" s="42" t="s">
        <v>1374</v>
      </c>
      <c r="B737" s="3" t="s">
        <v>1375</v>
      </c>
      <c r="C737" s="4">
        <f t="shared" ca="1" si="28"/>
        <v>45544</v>
      </c>
      <c r="D737" s="4">
        <f ca="1">TODAY()-483</f>
        <v>45554</v>
      </c>
      <c r="E737" s="3" t="s">
        <v>1029</v>
      </c>
      <c r="F737" s="43" t="b">
        <v>1</v>
      </c>
      <c r="G737" s="43" t="b">
        <v>1</v>
      </c>
      <c r="H737" s="44">
        <v>560</v>
      </c>
    </row>
    <row r="738" spans="1:8" x14ac:dyDescent="0.3">
      <c r="A738" s="42" t="s">
        <v>1627</v>
      </c>
      <c r="B738" s="3" t="s">
        <v>1796</v>
      </c>
      <c r="C738" s="4">
        <f t="shared" ca="1" si="28"/>
        <v>45544</v>
      </c>
      <c r="D738" s="42"/>
      <c r="E738" s="3" t="s">
        <v>1037</v>
      </c>
      <c r="F738" s="43" t="b">
        <v>0</v>
      </c>
      <c r="G738" s="43" t="b">
        <v>0</v>
      </c>
      <c r="H738" s="44">
        <v>2070</v>
      </c>
    </row>
    <row r="739" spans="1:8" x14ac:dyDescent="0.3">
      <c r="A739" s="42" t="s">
        <v>1772</v>
      </c>
      <c r="B739" s="3" t="s">
        <v>1773</v>
      </c>
      <c r="C739" s="4">
        <f t="shared" ca="1" si="28"/>
        <v>45544</v>
      </c>
      <c r="D739" s="4">
        <f t="shared" ref="D739:D740" ca="1" si="30">TODAY()-480</f>
        <v>45557</v>
      </c>
      <c r="E739" s="3" t="s">
        <v>1029</v>
      </c>
      <c r="F739" s="43" t="b">
        <v>1</v>
      </c>
      <c r="G739" s="43" t="b">
        <v>1</v>
      </c>
      <c r="H739" s="44">
        <v>1140</v>
      </c>
    </row>
    <row r="740" spans="1:8" x14ac:dyDescent="0.3">
      <c r="A740" s="42" t="s">
        <v>1797</v>
      </c>
      <c r="B740" s="3" t="s">
        <v>1798</v>
      </c>
      <c r="C740" s="4">
        <f t="shared" ca="1" si="28"/>
        <v>45544</v>
      </c>
      <c r="D740" s="4">
        <f t="shared" ca="1" si="30"/>
        <v>45557</v>
      </c>
      <c r="E740" s="3" t="s">
        <v>1029</v>
      </c>
      <c r="F740" s="43" t="b">
        <v>1</v>
      </c>
      <c r="G740" s="43" t="b">
        <v>1</v>
      </c>
      <c r="H740" s="44">
        <v>1640</v>
      </c>
    </row>
    <row r="741" spans="1:8" x14ac:dyDescent="0.3">
      <c r="A741" s="42" t="s">
        <v>1794</v>
      </c>
      <c r="B741" s="3" t="s">
        <v>1795</v>
      </c>
      <c r="C741" s="4">
        <f t="shared" ca="1" si="28"/>
        <v>45544</v>
      </c>
      <c r="D741" s="4">
        <f ca="1">TODAY()-468</f>
        <v>45569</v>
      </c>
      <c r="E741" s="3" t="s">
        <v>1029</v>
      </c>
      <c r="F741" s="43" t="b">
        <v>1</v>
      </c>
      <c r="G741" s="43" t="b">
        <v>1</v>
      </c>
      <c r="H741" s="44">
        <v>1860</v>
      </c>
    </row>
    <row r="742" spans="1:8" x14ac:dyDescent="0.3">
      <c r="A742" s="42" t="s">
        <v>1799</v>
      </c>
      <c r="B742" s="3" t="s">
        <v>1311</v>
      </c>
      <c r="C742" s="4">
        <f t="shared" ca="1" si="28"/>
        <v>45544</v>
      </c>
      <c r="D742" s="4">
        <f ca="1">TODAY()-469</f>
        <v>45568</v>
      </c>
      <c r="E742" s="3" t="s">
        <v>1032</v>
      </c>
      <c r="F742" s="43" t="b">
        <v>1</v>
      </c>
      <c r="G742" s="43" t="b">
        <v>0</v>
      </c>
      <c r="H742" s="44">
        <v>2090</v>
      </c>
    </row>
    <row r="743" spans="1:8" x14ac:dyDescent="0.3">
      <c r="A743" s="42" t="s">
        <v>1626</v>
      </c>
      <c r="B743" s="3" t="s">
        <v>1275</v>
      </c>
      <c r="C743" s="4">
        <f t="shared" ca="1" si="28"/>
        <v>45544</v>
      </c>
      <c r="D743" s="4">
        <f ca="1">TODAY()-468</f>
        <v>45569</v>
      </c>
      <c r="E743" s="3" t="s">
        <v>1029</v>
      </c>
      <c r="F743" s="43" t="b">
        <v>1</v>
      </c>
      <c r="G743" s="43" t="b">
        <v>1</v>
      </c>
      <c r="H743" s="44">
        <v>4510</v>
      </c>
    </row>
    <row r="744" spans="1:8" x14ac:dyDescent="0.3">
      <c r="A744" s="42" t="s">
        <v>1296</v>
      </c>
      <c r="B744" s="3" t="s">
        <v>1297</v>
      </c>
      <c r="C744" s="4">
        <f t="shared" ca="1" si="28"/>
        <v>45544</v>
      </c>
      <c r="D744" s="4">
        <f ca="1">TODAY()-472</f>
        <v>45565</v>
      </c>
      <c r="E744" s="3" t="s">
        <v>1029</v>
      </c>
      <c r="F744" s="43" t="b">
        <v>1</v>
      </c>
      <c r="G744" s="43" t="b">
        <v>1</v>
      </c>
      <c r="H744" s="44">
        <v>530</v>
      </c>
    </row>
    <row r="745" spans="1:8" x14ac:dyDescent="0.3">
      <c r="A745" s="42" t="s">
        <v>1761</v>
      </c>
      <c r="B745" s="3" t="s">
        <v>1762</v>
      </c>
      <c r="C745" s="4">
        <f t="shared" ca="1" si="28"/>
        <v>45544</v>
      </c>
      <c r="D745" s="42"/>
      <c r="E745" s="3" t="s">
        <v>1070</v>
      </c>
      <c r="F745" s="43" t="b">
        <v>0</v>
      </c>
      <c r="G745" s="43" t="b">
        <v>0</v>
      </c>
      <c r="H745" s="44">
        <v>840</v>
      </c>
    </row>
    <row r="746" spans="1:8" x14ac:dyDescent="0.3">
      <c r="A746" s="42" t="s">
        <v>1624</v>
      </c>
      <c r="B746" s="3" t="s">
        <v>1625</v>
      </c>
      <c r="C746" s="4">
        <f t="shared" ca="1" si="28"/>
        <v>45544</v>
      </c>
      <c r="D746" s="4">
        <f ca="1">TODAY()-481</f>
        <v>45556</v>
      </c>
      <c r="E746" s="3" t="s">
        <v>1029</v>
      </c>
      <c r="F746" s="43" t="b">
        <v>1</v>
      </c>
      <c r="G746" s="43" t="b">
        <v>1</v>
      </c>
      <c r="H746" s="44">
        <v>1630</v>
      </c>
    </row>
    <row r="747" spans="1:8" x14ac:dyDescent="0.3">
      <c r="A747" s="42" t="s">
        <v>1175</v>
      </c>
      <c r="B747" s="3" t="s">
        <v>1176</v>
      </c>
      <c r="C747" s="4">
        <f t="shared" ca="1" si="28"/>
        <v>45544</v>
      </c>
      <c r="D747" s="4">
        <f ca="1">TODAY()-482</f>
        <v>45555</v>
      </c>
      <c r="E747" s="3" t="s">
        <v>1029</v>
      </c>
      <c r="F747" s="43" t="b">
        <v>1</v>
      </c>
      <c r="G747" s="43" t="b">
        <v>1</v>
      </c>
      <c r="H747" s="44">
        <v>2190</v>
      </c>
    </row>
    <row r="748" spans="1:8" x14ac:dyDescent="0.3">
      <c r="A748" s="42" t="s">
        <v>1800</v>
      </c>
      <c r="B748" s="3" t="s">
        <v>1801</v>
      </c>
      <c r="C748" s="4">
        <f t="shared" ca="1" si="28"/>
        <v>45544</v>
      </c>
      <c r="D748" s="4">
        <f ca="1">TODAY()-468</f>
        <v>45569</v>
      </c>
      <c r="E748" s="3" t="s">
        <v>1029</v>
      </c>
      <c r="F748" s="43" t="b">
        <v>1</v>
      </c>
      <c r="G748" s="43" t="b">
        <v>1</v>
      </c>
      <c r="H748" s="44">
        <v>1120</v>
      </c>
    </row>
    <row r="749" spans="1:8" x14ac:dyDescent="0.3">
      <c r="A749" s="42" t="s">
        <v>1322</v>
      </c>
      <c r="B749" s="3" t="s">
        <v>1802</v>
      </c>
      <c r="C749" s="4">
        <f t="shared" ca="1" si="28"/>
        <v>45544</v>
      </c>
      <c r="D749" s="4">
        <f t="shared" ref="D749:D750" ca="1" si="31">TODAY()-482</f>
        <v>45555</v>
      </c>
      <c r="E749" s="3" t="s">
        <v>1029</v>
      </c>
      <c r="F749" s="43" t="b">
        <v>1</v>
      </c>
      <c r="G749" s="43" t="b">
        <v>1</v>
      </c>
      <c r="H749" s="44">
        <v>2470</v>
      </c>
    </row>
    <row r="750" spans="1:8" x14ac:dyDescent="0.3">
      <c r="A750" s="42" t="s">
        <v>1058</v>
      </c>
      <c r="B750" s="3" t="s">
        <v>1059</v>
      </c>
      <c r="C750" s="4">
        <f t="shared" ca="1" si="28"/>
        <v>45544</v>
      </c>
      <c r="D750" s="4">
        <f t="shared" ca="1" si="31"/>
        <v>45555</v>
      </c>
      <c r="E750" s="3" t="s">
        <v>1029</v>
      </c>
      <c r="F750" s="43" t="b">
        <v>1</v>
      </c>
      <c r="G750" s="43" t="b">
        <v>1</v>
      </c>
      <c r="H750" s="44">
        <v>800</v>
      </c>
    </row>
    <row r="751" spans="1:8" x14ac:dyDescent="0.3">
      <c r="A751" s="42" t="s">
        <v>1121</v>
      </c>
      <c r="B751" s="3" t="s">
        <v>1122</v>
      </c>
      <c r="C751" s="4">
        <f t="shared" ca="1" si="28"/>
        <v>45544</v>
      </c>
      <c r="D751" s="4">
        <f ca="1">TODAY()-475</f>
        <v>45562</v>
      </c>
      <c r="E751" s="3" t="s">
        <v>1029</v>
      </c>
      <c r="F751" s="43" t="b">
        <v>1</v>
      </c>
      <c r="G751" s="43" t="b">
        <v>1</v>
      </c>
      <c r="H751" s="44">
        <v>1420</v>
      </c>
    </row>
    <row r="752" spans="1:8" x14ac:dyDescent="0.3">
      <c r="A752" s="42" t="s">
        <v>1058</v>
      </c>
      <c r="B752" s="3" t="s">
        <v>1078</v>
      </c>
      <c r="C752" s="4">
        <f t="shared" ca="1" si="28"/>
        <v>45544</v>
      </c>
      <c r="D752" s="4">
        <f ca="1">TODAY()-464</f>
        <v>45573</v>
      </c>
      <c r="E752" s="3" t="s">
        <v>1029</v>
      </c>
      <c r="F752" s="43" t="b">
        <v>1</v>
      </c>
      <c r="G752" s="43" t="b">
        <v>1</v>
      </c>
      <c r="H752" s="44">
        <v>2060</v>
      </c>
    </row>
    <row r="753" spans="1:8" x14ac:dyDescent="0.3">
      <c r="A753" s="42" t="s">
        <v>1131</v>
      </c>
      <c r="B753" s="3" t="s">
        <v>1222</v>
      </c>
      <c r="C753" s="4">
        <f t="shared" ca="1" si="28"/>
        <v>45544</v>
      </c>
      <c r="D753" s="4">
        <f ca="1">TODAY()-467</f>
        <v>45570</v>
      </c>
      <c r="E753" s="3" t="s">
        <v>1029</v>
      </c>
      <c r="F753" s="43" t="b">
        <v>1</v>
      </c>
      <c r="G753" s="43" t="b">
        <v>1</v>
      </c>
      <c r="H753" s="44">
        <v>930</v>
      </c>
    </row>
    <row r="754" spans="1:8" x14ac:dyDescent="0.3">
      <c r="A754" s="42" t="s">
        <v>1342</v>
      </c>
      <c r="B754" s="3" t="s">
        <v>1803</v>
      </c>
      <c r="C754" s="4">
        <f t="shared" ca="1" si="28"/>
        <v>45544</v>
      </c>
      <c r="D754" s="4">
        <f ca="1">TODAY()-469</f>
        <v>45568</v>
      </c>
      <c r="E754" s="3" t="s">
        <v>1029</v>
      </c>
      <c r="F754" s="43" t="b">
        <v>1</v>
      </c>
      <c r="G754" s="43" t="b">
        <v>1</v>
      </c>
      <c r="H754" s="44">
        <v>230</v>
      </c>
    </row>
    <row r="755" spans="1:8" x14ac:dyDescent="0.3">
      <c r="A755" s="42" t="s">
        <v>1179</v>
      </c>
      <c r="B755" s="3" t="s">
        <v>1180</v>
      </c>
      <c r="C755" s="4">
        <f t="shared" ca="1" si="28"/>
        <v>45544</v>
      </c>
      <c r="D755" s="4">
        <f ca="1">TODAY()-468</f>
        <v>45569</v>
      </c>
      <c r="E755" s="3" t="s">
        <v>1029</v>
      </c>
      <c r="F755" s="43" t="b">
        <v>1</v>
      </c>
      <c r="G755" s="43" t="b">
        <v>1</v>
      </c>
      <c r="H755" s="44">
        <v>1570</v>
      </c>
    </row>
    <row r="756" spans="1:8" x14ac:dyDescent="0.3">
      <c r="A756" s="42" t="s">
        <v>1519</v>
      </c>
      <c r="B756" s="3" t="s">
        <v>1520</v>
      </c>
      <c r="C756" s="4">
        <f t="shared" ca="1" si="28"/>
        <v>45544</v>
      </c>
      <c r="D756" s="42"/>
      <c r="E756" s="3" t="s">
        <v>1103</v>
      </c>
      <c r="F756" s="43" t="b">
        <v>0</v>
      </c>
      <c r="G756" s="43" t="b">
        <v>0</v>
      </c>
      <c r="H756" s="44">
        <v>1030</v>
      </c>
    </row>
    <row r="757" spans="1:8" x14ac:dyDescent="0.3">
      <c r="A757" s="42" t="s">
        <v>1161</v>
      </c>
      <c r="B757" s="3" t="s">
        <v>1162</v>
      </c>
      <c r="C757" s="4">
        <f t="shared" ca="1" si="28"/>
        <v>45544</v>
      </c>
      <c r="D757" s="4">
        <f ca="1">TODAY()-473</f>
        <v>45564</v>
      </c>
      <c r="E757" s="3" t="s">
        <v>1029</v>
      </c>
      <c r="F757" s="43" t="b">
        <v>1</v>
      </c>
      <c r="G757" s="43" t="b">
        <v>1</v>
      </c>
      <c r="H757" s="44">
        <v>4090</v>
      </c>
    </row>
    <row r="758" spans="1:8" x14ac:dyDescent="0.3">
      <c r="A758" s="42" t="s">
        <v>1314</v>
      </c>
      <c r="B758" s="3" t="s">
        <v>1220</v>
      </c>
      <c r="C758" s="4">
        <f t="shared" ca="1" si="28"/>
        <v>45544</v>
      </c>
      <c r="D758" s="4">
        <f ca="1">TODAY()-483</f>
        <v>45554</v>
      </c>
      <c r="E758" s="3" t="s">
        <v>1029</v>
      </c>
      <c r="F758" s="43" t="b">
        <v>1</v>
      </c>
      <c r="G758" s="43" t="b">
        <v>1</v>
      </c>
      <c r="H758" s="44">
        <v>450</v>
      </c>
    </row>
    <row r="759" spans="1:8" x14ac:dyDescent="0.3">
      <c r="A759" s="42" t="s">
        <v>1797</v>
      </c>
      <c r="B759" s="3" t="s">
        <v>1798</v>
      </c>
      <c r="C759" s="4">
        <f t="shared" ca="1" si="28"/>
        <v>45544</v>
      </c>
      <c r="D759" s="4">
        <f ca="1">TODAY()-475</f>
        <v>45562</v>
      </c>
      <c r="E759" s="3" t="s">
        <v>1029</v>
      </c>
      <c r="F759" s="43" t="b">
        <v>1</v>
      </c>
      <c r="G759" s="43" t="b">
        <v>1</v>
      </c>
      <c r="H759" s="44">
        <v>1640</v>
      </c>
    </row>
    <row r="760" spans="1:8" x14ac:dyDescent="0.3">
      <c r="A760" s="42" t="s">
        <v>1630</v>
      </c>
      <c r="B760" s="3" t="s">
        <v>1631</v>
      </c>
      <c r="C760" s="4">
        <f t="shared" ca="1" si="28"/>
        <v>45544</v>
      </c>
      <c r="D760" s="4">
        <f ca="1">TODAY()-470</f>
        <v>45567</v>
      </c>
      <c r="E760" s="3" t="s">
        <v>1029</v>
      </c>
      <c r="F760" s="43" t="b">
        <v>1</v>
      </c>
      <c r="G760" s="43" t="b">
        <v>1</v>
      </c>
      <c r="H760" s="44">
        <v>1270</v>
      </c>
    </row>
    <row r="761" spans="1:8" x14ac:dyDescent="0.3">
      <c r="A761" s="42" t="s">
        <v>1244</v>
      </c>
      <c r="B761" s="3" t="s">
        <v>1804</v>
      </c>
      <c r="C761" s="4">
        <f t="shared" ca="1" si="28"/>
        <v>45544</v>
      </c>
      <c r="D761" s="4">
        <f ca="1">TODAY()-480</f>
        <v>45557</v>
      </c>
      <c r="E761" s="3" t="s">
        <v>1032</v>
      </c>
      <c r="F761" s="43" t="b">
        <v>1</v>
      </c>
      <c r="G761" s="43" t="b">
        <v>0</v>
      </c>
      <c r="H761" s="44">
        <v>1320</v>
      </c>
    </row>
    <row r="762" spans="1:8" x14ac:dyDescent="0.3">
      <c r="A762" s="42" t="s">
        <v>1538</v>
      </c>
      <c r="B762" s="3" t="s">
        <v>1539</v>
      </c>
      <c r="C762" s="4">
        <f t="shared" ca="1" si="28"/>
        <v>45544</v>
      </c>
      <c r="D762" s="42"/>
      <c r="E762" s="3" t="s">
        <v>1037</v>
      </c>
      <c r="F762" s="43" t="b">
        <v>0</v>
      </c>
      <c r="G762" s="43" t="b">
        <v>0</v>
      </c>
      <c r="H762" s="44">
        <v>780</v>
      </c>
    </row>
    <row r="763" spans="1:8" x14ac:dyDescent="0.3">
      <c r="A763" s="42" t="s">
        <v>1805</v>
      </c>
      <c r="B763" s="3" t="s">
        <v>1806</v>
      </c>
      <c r="C763" s="4">
        <f t="shared" ca="1" si="28"/>
        <v>45544</v>
      </c>
      <c r="D763" s="4">
        <f ca="1">TODAY()-476</f>
        <v>45561</v>
      </c>
      <c r="E763" s="3" t="s">
        <v>1032</v>
      </c>
      <c r="F763" s="43" t="b">
        <v>1</v>
      </c>
      <c r="G763" s="43" t="b">
        <v>0</v>
      </c>
      <c r="H763" s="44">
        <v>960</v>
      </c>
    </row>
    <row r="764" spans="1:8" x14ac:dyDescent="0.3">
      <c r="A764" s="42" t="s">
        <v>1622</v>
      </c>
      <c r="B764" s="3" t="s">
        <v>1613</v>
      </c>
      <c r="C764" s="4">
        <f t="shared" ca="1" si="28"/>
        <v>45544</v>
      </c>
      <c r="D764" s="4">
        <f ca="1">TODAY()-480</f>
        <v>45557</v>
      </c>
      <c r="E764" s="3" t="s">
        <v>1029</v>
      </c>
      <c r="F764" s="43" t="b">
        <v>1</v>
      </c>
      <c r="G764" s="43" t="b">
        <v>1</v>
      </c>
      <c r="H764" s="44">
        <v>1900</v>
      </c>
    </row>
    <row r="765" spans="1:8" x14ac:dyDescent="0.3">
      <c r="A765" s="42" t="s">
        <v>1620</v>
      </c>
      <c r="B765" s="3" t="s">
        <v>1807</v>
      </c>
      <c r="C765" s="4">
        <f t="shared" ca="1" si="28"/>
        <v>45544</v>
      </c>
      <c r="D765" s="4">
        <f ca="1">TODAY()-477</f>
        <v>45560</v>
      </c>
      <c r="E765" s="3" t="s">
        <v>1029</v>
      </c>
      <c r="F765" s="43" t="b">
        <v>1</v>
      </c>
      <c r="G765" s="43" t="b">
        <v>1</v>
      </c>
      <c r="H765" s="44">
        <v>1000</v>
      </c>
    </row>
    <row r="766" spans="1:8" x14ac:dyDescent="0.3">
      <c r="A766" s="42" t="s">
        <v>1137</v>
      </c>
      <c r="B766" s="3" t="s">
        <v>1138</v>
      </c>
      <c r="C766" s="4">
        <f t="shared" ca="1" si="28"/>
        <v>45544</v>
      </c>
      <c r="D766" s="4">
        <f ca="1">TODAY()-475</f>
        <v>45562</v>
      </c>
      <c r="E766" s="3" t="s">
        <v>1029</v>
      </c>
      <c r="F766" s="43" t="b">
        <v>1</v>
      </c>
      <c r="G766" s="43" t="b">
        <v>1</v>
      </c>
      <c r="H766" s="44">
        <v>2440</v>
      </c>
    </row>
    <row r="767" spans="1:8" x14ac:dyDescent="0.3">
      <c r="A767" s="42" t="s">
        <v>1601</v>
      </c>
      <c r="B767" s="3" t="s">
        <v>1602</v>
      </c>
      <c r="C767" s="4">
        <f t="shared" ca="1" si="28"/>
        <v>45544</v>
      </c>
      <c r="D767" s="42"/>
      <c r="E767" s="3" t="s">
        <v>1108</v>
      </c>
      <c r="F767" s="43" t="b">
        <v>0</v>
      </c>
      <c r="G767" s="43" t="b">
        <v>0</v>
      </c>
      <c r="H767" s="44">
        <v>2340</v>
      </c>
    </row>
    <row r="768" spans="1:8" x14ac:dyDescent="0.3">
      <c r="A768" s="42" t="s">
        <v>1564</v>
      </c>
      <c r="B768" s="3" t="s">
        <v>1565</v>
      </c>
      <c r="C768" s="4">
        <f t="shared" ca="1" si="28"/>
        <v>45544</v>
      </c>
      <c r="D768" s="42"/>
      <c r="E768" s="3" t="s">
        <v>1101</v>
      </c>
      <c r="F768" s="43" t="b">
        <v>0</v>
      </c>
      <c r="G768" s="43" t="b">
        <v>0</v>
      </c>
      <c r="H768" s="44">
        <v>1120</v>
      </c>
    </row>
    <row r="769" spans="1:8" x14ac:dyDescent="0.3">
      <c r="A769" s="42" t="s">
        <v>1564</v>
      </c>
      <c r="B769" s="3" t="s">
        <v>1586</v>
      </c>
      <c r="C769" s="4">
        <f t="shared" ca="1" si="28"/>
        <v>45544</v>
      </c>
      <c r="D769" s="4">
        <f ca="1">TODAY()-475</f>
        <v>45562</v>
      </c>
      <c r="E769" s="3" t="s">
        <v>1029</v>
      </c>
      <c r="F769" s="43" t="b">
        <v>1</v>
      </c>
      <c r="G769" s="43" t="b">
        <v>1</v>
      </c>
      <c r="H769" s="44">
        <v>2010</v>
      </c>
    </row>
    <row r="770" spans="1:8" x14ac:dyDescent="0.3">
      <c r="A770" s="42" t="s">
        <v>1556</v>
      </c>
      <c r="B770" s="3" t="s">
        <v>1568</v>
      </c>
      <c r="C770" s="4">
        <f t="shared" ca="1" si="28"/>
        <v>45544</v>
      </c>
      <c r="D770" s="4">
        <f ca="1">TODAY()-470</f>
        <v>45567</v>
      </c>
      <c r="E770" s="3" t="s">
        <v>1032</v>
      </c>
      <c r="F770" s="43" t="b">
        <v>1</v>
      </c>
      <c r="G770" s="43" t="b">
        <v>0</v>
      </c>
      <c r="H770" s="44">
        <v>1450</v>
      </c>
    </row>
    <row r="771" spans="1:8" x14ac:dyDescent="0.3">
      <c r="A771" s="42" t="s">
        <v>1711</v>
      </c>
      <c r="B771" s="3" t="s">
        <v>1712</v>
      </c>
      <c r="C771" s="4">
        <f t="shared" ca="1" si="28"/>
        <v>45544</v>
      </c>
      <c r="D771" s="4">
        <f ca="1">TODAY()-483</f>
        <v>45554</v>
      </c>
      <c r="E771" s="3" t="s">
        <v>1032</v>
      </c>
      <c r="F771" s="43" t="b">
        <v>1</v>
      </c>
      <c r="G771" s="43" t="b">
        <v>0</v>
      </c>
      <c r="H771" s="44">
        <v>970</v>
      </c>
    </row>
    <row r="772" spans="1:8" x14ac:dyDescent="0.3">
      <c r="A772" s="42" t="s">
        <v>1622</v>
      </c>
      <c r="B772" s="3" t="s">
        <v>1613</v>
      </c>
      <c r="C772" s="4">
        <f t="shared" ca="1" si="28"/>
        <v>45544</v>
      </c>
      <c r="D772" s="4">
        <f ca="1">TODAY()-470</f>
        <v>45567</v>
      </c>
      <c r="E772" s="3" t="s">
        <v>1029</v>
      </c>
      <c r="F772" s="43" t="b">
        <v>1</v>
      </c>
      <c r="G772" s="43" t="b">
        <v>1</v>
      </c>
      <c r="H772" s="44">
        <v>1900</v>
      </c>
    </row>
    <row r="773" spans="1:8" x14ac:dyDescent="0.3">
      <c r="A773" s="42" t="s">
        <v>1808</v>
      </c>
      <c r="B773" s="3" t="s">
        <v>1809</v>
      </c>
      <c r="C773" s="4">
        <f t="shared" ca="1" si="28"/>
        <v>45544</v>
      </c>
      <c r="D773" s="42"/>
      <c r="E773" s="3" t="s">
        <v>1070</v>
      </c>
      <c r="F773" s="43" t="b">
        <v>0</v>
      </c>
      <c r="G773" s="43" t="b">
        <v>0</v>
      </c>
      <c r="H773" s="44">
        <v>740</v>
      </c>
    </row>
    <row r="774" spans="1:8" x14ac:dyDescent="0.3">
      <c r="A774" s="42" t="s">
        <v>1442</v>
      </c>
      <c r="B774" s="3" t="s">
        <v>1810</v>
      </c>
      <c r="C774" s="4">
        <f t="shared" ca="1" si="28"/>
        <v>45544</v>
      </c>
      <c r="D774" s="4">
        <f ca="1">TODAY()-476</f>
        <v>45561</v>
      </c>
      <c r="E774" s="3" t="s">
        <v>1029</v>
      </c>
      <c r="F774" s="43" t="b">
        <v>1</v>
      </c>
      <c r="G774" s="43" t="b">
        <v>1</v>
      </c>
      <c r="H774" s="44">
        <v>1930</v>
      </c>
    </row>
    <row r="775" spans="1:8" x14ac:dyDescent="0.3">
      <c r="A775" s="42" t="s">
        <v>1713</v>
      </c>
      <c r="B775" s="3" t="s">
        <v>1714</v>
      </c>
      <c r="C775" s="4">
        <f t="shared" ca="1" si="28"/>
        <v>45544</v>
      </c>
      <c r="D775" s="4">
        <f ca="1">TODAY()-469</f>
        <v>45568</v>
      </c>
      <c r="E775" s="3" t="s">
        <v>1029</v>
      </c>
      <c r="F775" s="43" t="b">
        <v>1</v>
      </c>
      <c r="G775" s="43" t="b">
        <v>1</v>
      </c>
      <c r="H775" s="44">
        <v>1460</v>
      </c>
    </row>
    <row r="776" spans="1:8" x14ac:dyDescent="0.3">
      <c r="A776" s="42" t="s">
        <v>1535</v>
      </c>
      <c r="B776" s="3" t="s">
        <v>1536</v>
      </c>
      <c r="C776" s="4">
        <f t="shared" ca="1" si="28"/>
        <v>45544</v>
      </c>
      <c r="D776" s="4">
        <f ca="1">TODAY()-481</f>
        <v>45556</v>
      </c>
      <c r="E776" s="3" t="s">
        <v>1029</v>
      </c>
      <c r="F776" s="43" t="b">
        <v>1</v>
      </c>
      <c r="G776" s="43" t="b">
        <v>1</v>
      </c>
      <c r="H776" s="44">
        <v>150</v>
      </c>
    </row>
    <row r="777" spans="1:8" x14ac:dyDescent="0.3">
      <c r="A777" s="42" t="s">
        <v>1285</v>
      </c>
      <c r="B777" s="3" t="s">
        <v>1811</v>
      </c>
      <c r="C777" s="4">
        <f t="shared" ca="1" si="28"/>
        <v>45544</v>
      </c>
      <c r="D777" s="4">
        <f ca="1">TODAY()-479</f>
        <v>45558</v>
      </c>
      <c r="E777" s="3" t="s">
        <v>1029</v>
      </c>
      <c r="F777" s="43" t="b">
        <v>1</v>
      </c>
      <c r="G777" s="43" t="b">
        <v>1</v>
      </c>
      <c r="H777" s="44">
        <v>1350</v>
      </c>
    </row>
    <row r="778" spans="1:8" x14ac:dyDescent="0.3">
      <c r="A778" s="42" t="s">
        <v>1646</v>
      </c>
      <c r="B778" s="3" t="s">
        <v>1114</v>
      </c>
      <c r="C778" s="4">
        <f t="shared" ca="1" si="28"/>
        <v>45544</v>
      </c>
      <c r="D778" s="4">
        <f ca="1">TODAY()-482</f>
        <v>45555</v>
      </c>
      <c r="E778" s="3" t="s">
        <v>1029</v>
      </c>
      <c r="F778" s="43" t="b">
        <v>1</v>
      </c>
      <c r="G778" s="43" t="b">
        <v>1</v>
      </c>
      <c r="H778" s="44">
        <v>650</v>
      </c>
    </row>
    <row r="779" spans="1:8" x14ac:dyDescent="0.3">
      <c r="A779" s="42" t="s">
        <v>1562</v>
      </c>
      <c r="B779" s="3" t="s">
        <v>1609</v>
      </c>
      <c r="C779" s="4">
        <f t="shared" ca="1" si="28"/>
        <v>45544</v>
      </c>
      <c r="D779" s="4">
        <f ca="1">TODAY()-478</f>
        <v>45559</v>
      </c>
      <c r="E779" s="3" t="s">
        <v>1029</v>
      </c>
      <c r="F779" s="43" t="b">
        <v>1</v>
      </c>
      <c r="G779" s="43" t="b">
        <v>1</v>
      </c>
      <c r="H779" s="44">
        <v>3890</v>
      </c>
    </row>
    <row r="780" spans="1:8" x14ac:dyDescent="0.3">
      <c r="A780" s="42" t="s">
        <v>1524</v>
      </c>
      <c r="B780" s="3" t="s">
        <v>1525</v>
      </c>
      <c r="C780" s="4">
        <f t="shared" ca="1" si="28"/>
        <v>45544</v>
      </c>
      <c r="D780" s="4">
        <f ca="1">TODAY()-464</f>
        <v>45573</v>
      </c>
      <c r="E780" s="3" t="s">
        <v>1029</v>
      </c>
      <c r="F780" s="43" t="b">
        <v>1</v>
      </c>
      <c r="G780" s="43" t="b">
        <v>1</v>
      </c>
      <c r="H780" s="44">
        <v>170</v>
      </c>
    </row>
    <row r="781" spans="1:8" x14ac:dyDescent="0.3">
      <c r="A781" s="42" t="s">
        <v>1735</v>
      </c>
      <c r="B781" s="3" t="s">
        <v>1736</v>
      </c>
      <c r="C781" s="4">
        <f t="shared" ca="1" si="28"/>
        <v>45544</v>
      </c>
      <c r="D781" s="4">
        <f ca="1">TODAY()-467</f>
        <v>45570</v>
      </c>
      <c r="E781" s="3" t="s">
        <v>1032</v>
      </c>
      <c r="F781" s="43" t="b">
        <v>1</v>
      </c>
      <c r="G781" s="43" t="b">
        <v>0</v>
      </c>
      <c r="H781" s="44">
        <v>1300</v>
      </c>
    </row>
    <row r="782" spans="1:8" x14ac:dyDescent="0.3">
      <c r="A782" s="42" t="s">
        <v>1221</v>
      </c>
      <c r="B782" s="3" t="s">
        <v>1222</v>
      </c>
      <c r="C782" s="4">
        <f t="shared" ca="1" si="28"/>
        <v>45544</v>
      </c>
      <c r="D782" s="4">
        <f ca="1">TODAY()-479</f>
        <v>45558</v>
      </c>
      <c r="E782" s="3" t="s">
        <v>1029</v>
      </c>
      <c r="F782" s="43" t="b">
        <v>1</v>
      </c>
      <c r="G782" s="43" t="b">
        <v>1</v>
      </c>
      <c r="H782" s="44">
        <v>20000</v>
      </c>
    </row>
    <row r="783" spans="1:8" x14ac:dyDescent="0.3">
      <c r="A783" s="42" t="s">
        <v>1188</v>
      </c>
      <c r="B783" s="3" t="s">
        <v>1189</v>
      </c>
      <c r="C783" s="4">
        <f t="shared" ca="1" si="28"/>
        <v>45544</v>
      </c>
      <c r="D783" s="42"/>
      <c r="E783" s="3" t="s">
        <v>1037</v>
      </c>
      <c r="F783" s="43" t="b">
        <v>0</v>
      </c>
      <c r="G783" s="43" t="b">
        <v>0</v>
      </c>
      <c r="H783" s="44">
        <v>2470</v>
      </c>
    </row>
    <row r="784" spans="1:8" x14ac:dyDescent="0.3">
      <c r="A784" s="42" t="s">
        <v>1812</v>
      </c>
      <c r="B784" s="3" t="s">
        <v>1813</v>
      </c>
      <c r="C784" s="4">
        <f t="shared" ca="1" si="28"/>
        <v>45544</v>
      </c>
      <c r="D784" s="4">
        <f ca="1">TODAY()-473</f>
        <v>45564</v>
      </c>
      <c r="E784" s="3" t="s">
        <v>1029</v>
      </c>
      <c r="F784" s="43" t="b">
        <v>1</v>
      </c>
      <c r="G784" s="43" t="b">
        <v>1</v>
      </c>
      <c r="H784" s="44">
        <v>910</v>
      </c>
    </row>
    <row r="785" spans="1:8" x14ac:dyDescent="0.3">
      <c r="A785" s="42" t="s">
        <v>1814</v>
      </c>
      <c r="B785" s="3" t="s">
        <v>1063</v>
      </c>
      <c r="C785" s="4">
        <f t="shared" ca="1" si="28"/>
        <v>45544</v>
      </c>
      <c r="D785" s="4">
        <f ca="1">TODAY()-477</f>
        <v>45560</v>
      </c>
      <c r="E785" s="3" t="s">
        <v>1032</v>
      </c>
      <c r="F785" s="43" t="b">
        <v>1</v>
      </c>
      <c r="G785" s="43" t="b">
        <v>0</v>
      </c>
      <c r="H785" s="44">
        <v>1760</v>
      </c>
    </row>
    <row r="786" spans="1:8" x14ac:dyDescent="0.3">
      <c r="A786" s="42" t="s">
        <v>1423</v>
      </c>
      <c r="B786" s="3" t="s">
        <v>1710</v>
      </c>
      <c r="C786" s="4">
        <f t="shared" ca="1" si="28"/>
        <v>45544</v>
      </c>
      <c r="D786" s="4">
        <f ca="1">TODAY()-482</f>
        <v>45555</v>
      </c>
      <c r="E786" s="3" t="s">
        <v>1029</v>
      </c>
      <c r="F786" s="43" t="b">
        <v>1</v>
      </c>
      <c r="G786" s="43" t="b">
        <v>1</v>
      </c>
      <c r="H786" s="44">
        <v>160</v>
      </c>
    </row>
    <row r="787" spans="1:8" x14ac:dyDescent="0.3">
      <c r="A787" s="42" t="s">
        <v>1780</v>
      </c>
      <c r="B787" s="3" t="s">
        <v>1781</v>
      </c>
      <c r="C787" s="4">
        <f t="shared" ca="1" si="28"/>
        <v>45544</v>
      </c>
      <c r="D787" s="42"/>
      <c r="E787" s="3" t="s">
        <v>1103</v>
      </c>
      <c r="F787" s="43" t="b">
        <v>0</v>
      </c>
      <c r="G787" s="43" t="b">
        <v>0</v>
      </c>
      <c r="H787" s="44">
        <v>1570</v>
      </c>
    </row>
    <row r="788" spans="1:8" x14ac:dyDescent="0.3">
      <c r="A788" s="42" t="s">
        <v>1125</v>
      </c>
      <c r="B788" s="3" t="s">
        <v>1634</v>
      </c>
      <c r="C788" s="4">
        <f t="shared" ca="1" si="28"/>
        <v>45544</v>
      </c>
      <c r="D788" s="4">
        <f ca="1">TODAY()-479</f>
        <v>45558</v>
      </c>
      <c r="E788" s="3" t="s">
        <v>1032</v>
      </c>
      <c r="F788" s="43" t="b">
        <v>1</v>
      </c>
      <c r="G788" s="43" t="b">
        <v>0</v>
      </c>
      <c r="H788" s="44">
        <v>2490</v>
      </c>
    </row>
    <row r="789" spans="1:8" x14ac:dyDescent="0.3">
      <c r="A789" s="42" t="s">
        <v>1227</v>
      </c>
      <c r="B789" s="3" t="s">
        <v>1275</v>
      </c>
      <c r="C789" s="4">
        <f t="shared" ca="1" si="28"/>
        <v>45544</v>
      </c>
      <c r="D789" s="4">
        <f ca="1">TODAY()-474</f>
        <v>45563</v>
      </c>
      <c r="E789" s="3" t="s">
        <v>1032</v>
      </c>
      <c r="F789" s="43" t="b">
        <v>1</v>
      </c>
      <c r="G789" s="43" t="b">
        <v>0</v>
      </c>
      <c r="H789" s="44">
        <v>970</v>
      </c>
    </row>
    <row r="790" spans="1:8" x14ac:dyDescent="0.3">
      <c r="A790" s="42" t="s">
        <v>1194</v>
      </c>
      <c r="B790" s="3" t="s">
        <v>1275</v>
      </c>
      <c r="C790" s="4">
        <f t="shared" ca="1" si="28"/>
        <v>45544</v>
      </c>
      <c r="D790" s="4">
        <f ca="1">TODAY()-479</f>
        <v>45558</v>
      </c>
      <c r="E790" s="3" t="s">
        <v>1029</v>
      </c>
      <c r="F790" s="43" t="b">
        <v>1</v>
      </c>
      <c r="G790" s="43" t="b">
        <v>1</v>
      </c>
      <c r="H790" s="44">
        <v>1920</v>
      </c>
    </row>
    <row r="791" spans="1:8" x14ac:dyDescent="0.3">
      <c r="A791" s="42" t="s">
        <v>1547</v>
      </c>
      <c r="B791" s="45" t="s">
        <v>1815</v>
      </c>
      <c r="C791" s="4">
        <f t="shared" ca="1" si="28"/>
        <v>45544</v>
      </c>
      <c r="D791" s="4">
        <f ca="1">TODAY()-474</f>
        <v>45563</v>
      </c>
      <c r="E791" s="3" t="s">
        <v>1032</v>
      </c>
      <c r="F791" s="43" t="b">
        <v>1</v>
      </c>
      <c r="G791" s="43" t="b">
        <v>0</v>
      </c>
      <c r="H791" s="44">
        <v>2070</v>
      </c>
    </row>
    <row r="792" spans="1:8" x14ac:dyDescent="0.3">
      <c r="A792" s="42" t="s">
        <v>1411</v>
      </c>
      <c r="B792" s="3" t="s">
        <v>1136</v>
      </c>
      <c r="C792" s="4">
        <f t="shared" ca="1" si="28"/>
        <v>45544</v>
      </c>
      <c r="D792" s="4">
        <f ca="1">TODAY()-466</f>
        <v>45571</v>
      </c>
      <c r="E792" s="3" t="s">
        <v>1029</v>
      </c>
      <c r="F792" s="43" t="b">
        <v>1</v>
      </c>
      <c r="G792" s="43" t="b">
        <v>1</v>
      </c>
      <c r="H792" s="44">
        <v>490</v>
      </c>
    </row>
    <row r="793" spans="1:8" x14ac:dyDescent="0.3">
      <c r="A793" s="42" t="s">
        <v>1097</v>
      </c>
      <c r="B793" s="3" t="s">
        <v>1098</v>
      </c>
      <c r="C793" s="4">
        <f t="shared" ca="1" si="28"/>
        <v>45544</v>
      </c>
      <c r="D793" s="4">
        <f ca="1">TODAY()-474</f>
        <v>45563</v>
      </c>
      <c r="E793" s="3" t="s">
        <v>1029</v>
      </c>
      <c r="F793" s="43" t="b">
        <v>1</v>
      </c>
      <c r="G793" s="43" t="b">
        <v>1</v>
      </c>
      <c r="H793" s="44">
        <v>1110</v>
      </c>
    </row>
    <row r="794" spans="1:8" x14ac:dyDescent="0.3">
      <c r="A794" s="42" t="s">
        <v>1816</v>
      </c>
      <c r="B794" s="3" t="s">
        <v>1241</v>
      </c>
      <c r="C794" s="4">
        <f t="shared" ca="1" si="28"/>
        <v>45544</v>
      </c>
      <c r="D794" s="4">
        <f ca="1">TODAY()-480</f>
        <v>45557</v>
      </c>
      <c r="E794" s="3" t="s">
        <v>1032</v>
      </c>
      <c r="F794" s="43" t="b">
        <v>1</v>
      </c>
      <c r="G794" s="43" t="b">
        <v>0</v>
      </c>
      <c r="H794" s="44">
        <v>210</v>
      </c>
    </row>
    <row r="795" spans="1:8" x14ac:dyDescent="0.3">
      <c r="A795" s="42" t="s">
        <v>1622</v>
      </c>
      <c r="B795" s="3" t="s">
        <v>1623</v>
      </c>
      <c r="C795" s="4">
        <f t="shared" ca="1" si="28"/>
        <v>45544</v>
      </c>
      <c r="D795" s="4">
        <f ca="1">TODAY()-467</f>
        <v>45570</v>
      </c>
      <c r="E795" s="3" t="s">
        <v>1032</v>
      </c>
      <c r="F795" s="43" t="b">
        <v>1</v>
      </c>
      <c r="G795" s="43" t="b">
        <v>0</v>
      </c>
      <c r="H795" s="44">
        <v>960</v>
      </c>
    </row>
    <row r="796" spans="1:8" x14ac:dyDescent="0.3">
      <c r="A796" s="42" t="s">
        <v>1211</v>
      </c>
      <c r="B796" s="3" t="s">
        <v>1817</v>
      </c>
      <c r="C796" s="4">
        <f t="shared" ca="1" si="28"/>
        <v>45544</v>
      </c>
      <c r="D796" s="4">
        <f ca="1">TODAY()-479</f>
        <v>45558</v>
      </c>
      <c r="E796" s="3" t="s">
        <v>1029</v>
      </c>
      <c r="F796" s="43" t="b">
        <v>1</v>
      </c>
      <c r="G796" s="43" t="b">
        <v>1</v>
      </c>
      <c r="H796" s="44">
        <v>2470</v>
      </c>
    </row>
    <row r="797" spans="1:8" x14ac:dyDescent="0.3">
      <c r="A797" s="42" t="s">
        <v>1632</v>
      </c>
      <c r="B797" s="3" t="s">
        <v>1633</v>
      </c>
      <c r="C797" s="4">
        <f t="shared" ca="1" si="28"/>
        <v>45544</v>
      </c>
      <c r="D797" s="4">
        <f ca="1">TODAY()-474</f>
        <v>45563</v>
      </c>
      <c r="E797" s="3" t="s">
        <v>1029</v>
      </c>
      <c r="F797" s="43" t="b">
        <v>1</v>
      </c>
      <c r="G797" s="43" t="b">
        <v>1</v>
      </c>
      <c r="H797" s="44">
        <v>1220</v>
      </c>
    </row>
    <row r="798" spans="1:8" x14ac:dyDescent="0.3">
      <c r="A798" s="42" t="s">
        <v>1310</v>
      </c>
      <c r="B798" s="3" t="s">
        <v>1818</v>
      </c>
      <c r="C798" s="4">
        <f t="shared" ca="1" si="28"/>
        <v>45544</v>
      </c>
      <c r="D798" s="4">
        <f ca="1">TODAY()-479</f>
        <v>45558</v>
      </c>
      <c r="E798" s="3" t="s">
        <v>1029</v>
      </c>
      <c r="F798" s="43" t="b">
        <v>1</v>
      </c>
      <c r="G798" s="43" t="b">
        <v>1</v>
      </c>
      <c r="H798" s="44">
        <v>2140</v>
      </c>
    </row>
    <row r="799" spans="1:8" x14ac:dyDescent="0.3">
      <c r="A799" s="42" t="s">
        <v>1064</v>
      </c>
      <c r="B799" s="3" t="s">
        <v>1065</v>
      </c>
      <c r="C799" s="4">
        <f t="shared" ref="C799:C899" ca="1" si="32">TODAY()-462</f>
        <v>45575</v>
      </c>
      <c r="D799" s="4">
        <f ca="1">TODAY()-434</f>
        <v>45603</v>
      </c>
      <c r="E799" s="3" t="s">
        <v>1029</v>
      </c>
      <c r="F799" s="43" t="b">
        <v>1</v>
      </c>
      <c r="G799" s="43" t="b">
        <v>1</v>
      </c>
      <c r="H799" s="44">
        <v>1210</v>
      </c>
    </row>
    <row r="800" spans="1:8" x14ac:dyDescent="0.3">
      <c r="A800" s="42" t="s">
        <v>1244</v>
      </c>
      <c r="B800" s="3" t="s">
        <v>1804</v>
      </c>
      <c r="C800" s="4">
        <f t="shared" ca="1" si="32"/>
        <v>45575</v>
      </c>
      <c r="D800" s="4">
        <f ca="1">TODAY()-442</f>
        <v>45595</v>
      </c>
      <c r="E800" s="3" t="s">
        <v>1032</v>
      </c>
      <c r="F800" s="43" t="b">
        <v>1</v>
      </c>
      <c r="G800" s="43" t="b">
        <v>0</v>
      </c>
      <c r="H800" s="44">
        <v>1320</v>
      </c>
    </row>
    <row r="801" spans="1:8" x14ac:dyDescent="0.3">
      <c r="A801" s="42" t="s">
        <v>1470</v>
      </c>
      <c r="B801" s="3" t="s">
        <v>1471</v>
      </c>
      <c r="C801" s="4">
        <f t="shared" ca="1" si="32"/>
        <v>45575</v>
      </c>
      <c r="D801" s="4">
        <f ca="1">TODAY()-451</f>
        <v>45586</v>
      </c>
      <c r="E801" s="3" t="s">
        <v>1029</v>
      </c>
      <c r="F801" s="43" t="b">
        <v>1</v>
      </c>
      <c r="G801" s="43" t="b">
        <v>1</v>
      </c>
      <c r="H801" s="44">
        <v>260</v>
      </c>
    </row>
    <row r="802" spans="1:8" x14ac:dyDescent="0.3">
      <c r="A802" s="42" t="s">
        <v>1421</v>
      </c>
      <c r="B802" s="3" t="s">
        <v>1422</v>
      </c>
      <c r="C802" s="4">
        <f t="shared" ca="1" si="32"/>
        <v>45575</v>
      </c>
      <c r="D802" s="4">
        <f ca="1">TODAY()-441</f>
        <v>45596</v>
      </c>
      <c r="E802" s="3" t="s">
        <v>1032</v>
      </c>
      <c r="F802" s="43" t="b">
        <v>1</v>
      </c>
      <c r="G802" s="43" t="b">
        <v>0</v>
      </c>
      <c r="H802" s="44">
        <v>1270</v>
      </c>
    </row>
    <row r="803" spans="1:8" x14ac:dyDescent="0.3">
      <c r="A803" s="42" t="s">
        <v>1426</v>
      </c>
      <c r="B803" s="3" t="s">
        <v>1793</v>
      </c>
      <c r="C803" s="4">
        <f t="shared" ca="1" si="32"/>
        <v>45575</v>
      </c>
      <c r="D803" s="4">
        <f ca="1">TODAY()-440</f>
        <v>45597</v>
      </c>
      <c r="E803" s="3" t="s">
        <v>1029</v>
      </c>
      <c r="F803" s="43" t="b">
        <v>1</v>
      </c>
      <c r="G803" s="43" t="b">
        <v>1</v>
      </c>
      <c r="H803" s="44">
        <v>1190</v>
      </c>
    </row>
    <row r="804" spans="1:8" x14ac:dyDescent="0.3">
      <c r="A804" s="42" t="s">
        <v>1035</v>
      </c>
      <c r="B804" s="3" t="s">
        <v>1036</v>
      </c>
      <c r="C804" s="4">
        <f t="shared" ca="1" si="32"/>
        <v>45575</v>
      </c>
      <c r="D804" s="42"/>
      <c r="E804" s="3" t="s">
        <v>1037</v>
      </c>
      <c r="F804" s="43" t="b">
        <v>0</v>
      </c>
      <c r="G804" s="43" t="b">
        <v>0</v>
      </c>
      <c r="H804" s="44">
        <v>240</v>
      </c>
    </row>
    <row r="805" spans="1:8" x14ac:dyDescent="0.3">
      <c r="A805" s="42" t="s">
        <v>1819</v>
      </c>
      <c r="B805" s="3" t="s">
        <v>1820</v>
      </c>
      <c r="C805" s="4">
        <f t="shared" ca="1" si="32"/>
        <v>45575</v>
      </c>
      <c r="D805" s="42"/>
      <c r="E805" s="3" t="s">
        <v>1108</v>
      </c>
      <c r="F805" s="43" t="b">
        <v>0</v>
      </c>
      <c r="G805" s="43" t="b">
        <v>0</v>
      </c>
      <c r="H805" s="44">
        <v>800</v>
      </c>
    </row>
    <row r="806" spans="1:8" x14ac:dyDescent="0.3">
      <c r="A806" s="42" t="s">
        <v>1181</v>
      </c>
      <c r="B806" s="3" t="s">
        <v>1731</v>
      </c>
      <c r="C806" s="4">
        <f t="shared" ca="1" si="32"/>
        <v>45575</v>
      </c>
      <c r="D806" s="4">
        <f ca="1">TODAY()-438</f>
        <v>45599</v>
      </c>
      <c r="E806" s="3" t="s">
        <v>1029</v>
      </c>
      <c r="F806" s="43" t="b">
        <v>1</v>
      </c>
      <c r="G806" s="43" t="b">
        <v>1</v>
      </c>
      <c r="H806" s="44">
        <v>470</v>
      </c>
    </row>
    <row r="807" spans="1:8" x14ac:dyDescent="0.3">
      <c r="A807" s="42" t="s">
        <v>1674</v>
      </c>
      <c r="B807" s="3" t="s">
        <v>1114</v>
      </c>
      <c r="C807" s="4">
        <f t="shared" ca="1" si="32"/>
        <v>45575</v>
      </c>
      <c r="D807" s="4">
        <f ca="1">TODAY()-434</f>
        <v>45603</v>
      </c>
      <c r="E807" s="3" t="s">
        <v>1029</v>
      </c>
      <c r="F807" s="43" t="b">
        <v>1</v>
      </c>
      <c r="G807" s="43" t="b">
        <v>1</v>
      </c>
      <c r="H807" s="44">
        <v>6390</v>
      </c>
    </row>
    <row r="808" spans="1:8" x14ac:dyDescent="0.3">
      <c r="A808" s="42" t="s">
        <v>1821</v>
      </c>
      <c r="B808" s="3" t="s">
        <v>1363</v>
      </c>
      <c r="C808" s="4">
        <f t="shared" ca="1" si="32"/>
        <v>45575</v>
      </c>
      <c r="D808" s="4">
        <f ca="1">TODAY()-446</f>
        <v>45591</v>
      </c>
      <c r="E808" s="3" t="s">
        <v>1032</v>
      </c>
      <c r="F808" s="43" t="b">
        <v>1</v>
      </c>
      <c r="G808" s="43" t="b">
        <v>0</v>
      </c>
      <c r="H808" s="44">
        <v>1010</v>
      </c>
    </row>
    <row r="809" spans="1:8" x14ac:dyDescent="0.3">
      <c r="A809" s="42" t="s">
        <v>1679</v>
      </c>
      <c r="B809" s="3" t="s">
        <v>1717</v>
      </c>
      <c r="C809" s="4">
        <f t="shared" ca="1" si="32"/>
        <v>45575</v>
      </c>
      <c r="D809" s="4">
        <f ca="1">TODAY()-452</f>
        <v>45585</v>
      </c>
      <c r="E809" s="3" t="s">
        <v>1032</v>
      </c>
      <c r="F809" s="43" t="b">
        <v>1</v>
      </c>
      <c r="G809" s="43" t="b">
        <v>0</v>
      </c>
      <c r="H809" s="44">
        <v>1730</v>
      </c>
    </row>
    <row r="810" spans="1:8" x14ac:dyDescent="0.3">
      <c r="A810" s="42" t="s">
        <v>1822</v>
      </c>
      <c r="B810" s="3" t="s">
        <v>1823</v>
      </c>
      <c r="C810" s="4">
        <f t="shared" ca="1" si="32"/>
        <v>45575</v>
      </c>
      <c r="D810" s="4">
        <f ca="1">TODAY()-433</f>
        <v>45604</v>
      </c>
      <c r="E810" s="3" t="s">
        <v>1029</v>
      </c>
      <c r="F810" s="43" t="b">
        <v>1</v>
      </c>
      <c r="G810" s="43" t="b">
        <v>1</v>
      </c>
      <c r="H810" s="44">
        <v>1020</v>
      </c>
    </row>
    <row r="811" spans="1:8" x14ac:dyDescent="0.3">
      <c r="A811" s="42" t="s">
        <v>1354</v>
      </c>
      <c r="B811" s="3" t="s">
        <v>1355</v>
      </c>
      <c r="C811" s="4">
        <f t="shared" ca="1" si="32"/>
        <v>45575</v>
      </c>
      <c r="D811" s="4">
        <f ca="1">TODAY()-448</f>
        <v>45589</v>
      </c>
      <c r="E811" s="3" t="s">
        <v>1029</v>
      </c>
      <c r="F811" s="43" t="b">
        <v>1</v>
      </c>
      <c r="G811" s="43" t="b">
        <v>1</v>
      </c>
      <c r="H811" s="44">
        <v>190</v>
      </c>
    </row>
    <row r="812" spans="1:8" x14ac:dyDescent="0.3">
      <c r="A812" s="42" t="s">
        <v>1671</v>
      </c>
      <c r="B812" s="3" t="s">
        <v>1824</v>
      </c>
      <c r="C812" s="4">
        <f t="shared" ca="1" si="32"/>
        <v>45575</v>
      </c>
      <c r="D812" s="4">
        <f ca="1">TODAY()-432</f>
        <v>45605</v>
      </c>
      <c r="E812" s="3" t="s">
        <v>1029</v>
      </c>
      <c r="F812" s="43" t="b">
        <v>1</v>
      </c>
      <c r="G812" s="43" t="b">
        <v>1</v>
      </c>
      <c r="H812" s="44">
        <v>2010</v>
      </c>
    </row>
    <row r="813" spans="1:8" x14ac:dyDescent="0.3">
      <c r="A813" s="42" t="s">
        <v>1058</v>
      </c>
      <c r="B813" s="3" t="s">
        <v>1078</v>
      </c>
      <c r="C813" s="4">
        <f t="shared" ca="1" si="32"/>
        <v>45575</v>
      </c>
      <c r="D813" s="4">
        <f ca="1">TODAY()-446</f>
        <v>45591</v>
      </c>
      <c r="E813" s="3" t="s">
        <v>1029</v>
      </c>
      <c r="F813" s="43" t="b">
        <v>1</v>
      </c>
      <c r="G813" s="43" t="b">
        <v>1</v>
      </c>
      <c r="H813" s="44">
        <v>2060</v>
      </c>
    </row>
    <row r="814" spans="1:8" x14ac:dyDescent="0.3">
      <c r="A814" s="42" t="s">
        <v>1649</v>
      </c>
      <c r="B814" s="3" t="s">
        <v>1650</v>
      </c>
      <c r="C814" s="4">
        <f t="shared" ca="1" si="32"/>
        <v>45575</v>
      </c>
      <c r="D814" s="4">
        <f ca="1">TODAY()-442</f>
        <v>45595</v>
      </c>
      <c r="E814" s="3" t="s">
        <v>1029</v>
      </c>
      <c r="F814" s="43" t="b">
        <v>1</v>
      </c>
      <c r="G814" s="43" t="b">
        <v>1</v>
      </c>
      <c r="H814" s="44">
        <v>350</v>
      </c>
    </row>
    <row r="815" spans="1:8" x14ac:dyDescent="0.3">
      <c r="A815" s="42" t="s">
        <v>1571</v>
      </c>
      <c r="B815" s="3" t="s">
        <v>1432</v>
      </c>
      <c r="C815" s="4">
        <f t="shared" ca="1" si="32"/>
        <v>45575</v>
      </c>
      <c r="D815" s="4">
        <f ca="1">TODAY()-449</f>
        <v>45588</v>
      </c>
      <c r="E815" s="3" t="s">
        <v>1029</v>
      </c>
      <c r="F815" s="43" t="b">
        <v>1</v>
      </c>
      <c r="G815" s="43" t="b">
        <v>1</v>
      </c>
      <c r="H815" s="44">
        <v>1050</v>
      </c>
    </row>
    <row r="816" spans="1:8" x14ac:dyDescent="0.3">
      <c r="A816" s="42" t="s">
        <v>1825</v>
      </c>
      <c r="B816" s="3" t="s">
        <v>1826</v>
      </c>
      <c r="C816" s="4">
        <f t="shared" ca="1" si="32"/>
        <v>45575</v>
      </c>
      <c r="D816" s="4">
        <f ca="1">TODAY()-448</f>
        <v>45589</v>
      </c>
      <c r="E816" s="3" t="s">
        <v>1032</v>
      </c>
      <c r="F816" s="43" t="b">
        <v>1</v>
      </c>
      <c r="G816" s="43" t="b">
        <v>0</v>
      </c>
      <c r="H816" s="44">
        <v>1780</v>
      </c>
    </row>
    <row r="817" spans="1:8" x14ac:dyDescent="0.3">
      <c r="A817" s="42" t="s">
        <v>1827</v>
      </c>
      <c r="B817" s="3" t="s">
        <v>1828</v>
      </c>
      <c r="C817" s="4">
        <f t="shared" ca="1" si="32"/>
        <v>45575</v>
      </c>
      <c r="D817" s="4">
        <f ca="1">TODAY()-450</f>
        <v>45587</v>
      </c>
      <c r="E817" s="3" t="s">
        <v>1029</v>
      </c>
      <c r="F817" s="43" t="b">
        <v>1</v>
      </c>
      <c r="G817" s="43" t="b">
        <v>1</v>
      </c>
      <c r="H817" s="44">
        <v>660</v>
      </c>
    </row>
    <row r="818" spans="1:8" x14ac:dyDescent="0.3">
      <c r="A818" s="42" t="s">
        <v>1285</v>
      </c>
      <c r="B818" s="3" t="s">
        <v>1811</v>
      </c>
      <c r="C818" s="4">
        <f t="shared" ca="1" si="32"/>
        <v>45575</v>
      </c>
      <c r="D818" s="4">
        <f ca="1">TODAY()-434</f>
        <v>45603</v>
      </c>
      <c r="E818" s="3" t="s">
        <v>1029</v>
      </c>
      <c r="F818" s="43" t="b">
        <v>1</v>
      </c>
      <c r="G818" s="43" t="b">
        <v>1</v>
      </c>
      <c r="H818" s="44">
        <v>1350</v>
      </c>
    </row>
    <row r="819" spans="1:8" x14ac:dyDescent="0.3">
      <c r="A819" s="42" t="s">
        <v>1394</v>
      </c>
      <c r="B819" s="3" t="s">
        <v>1829</v>
      </c>
      <c r="C819" s="4">
        <f t="shared" ca="1" si="32"/>
        <v>45575</v>
      </c>
      <c r="D819" s="4">
        <f ca="1">TODAY()-435</f>
        <v>45602</v>
      </c>
      <c r="E819" s="3" t="s">
        <v>1032</v>
      </c>
      <c r="F819" s="43" t="b">
        <v>1</v>
      </c>
      <c r="G819" s="43" t="b">
        <v>0</v>
      </c>
      <c r="H819" s="44">
        <v>970</v>
      </c>
    </row>
    <row r="820" spans="1:8" x14ac:dyDescent="0.3">
      <c r="A820" s="42" t="s">
        <v>1713</v>
      </c>
      <c r="B820" s="3" t="s">
        <v>1201</v>
      </c>
      <c r="C820" s="4">
        <f t="shared" ca="1" si="32"/>
        <v>45575</v>
      </c>
      <c r="D820" s="4">
        <f ca="1">TODAY()-444</f>
        <v>45593</v>
      </c>
      <c r="E820" s="3" t="s">
        <v>1029</v>
      </c>
      <c r="F820" s="43" t="b">
        <v>1</v>
      </c>
      <c r="G820" s="43" t="b">
        <v>1</v>
      </c>
      <c r="H820" s="44">
        <v>2960</v>
      </c>
    </row>
    <row r="821" spans="1:8" x14ac:dyDescent="0.3">
      <c r="A821" s="42" t="s">
        <v>1727</v>
      </c>
      <c r="B821" s="3" t="s">
        <v>1728</v>
      </c>
      <c r="C821" s="4">
        <f t="shared" ca="1" si="32"/>
        <v>45575</v>
      </c>
      <c r="D821" s="4">
        <f ca="1">TODAY()-436</f>
        <v>45601</v>
      </c>
      <c r="E821" s="3" t="s">
        <v>1029</v>
      </c>
      <c r="F821" s="43" t="b">
        <v>1</v>
      </c>
      <c r="G821" s="43" t="b">
        <v>1</v>
      </c>
      <c r="H821" s="44">
        <v>1000</v>
      </c>
    </row>
    <row r="822" spans="1:8" x14ac:dyDescent="0.3">
      <c r="A822" s="42" t="s">
        <v>1324</v>
      </c>
      <c r="B822" s="3" t="s">
        <v>1363</v>
      </c>
      <c r="C822" s="4">
        <f t="shared" ca="1" si="32"/>
        <v>45575</v>
      </c>
      <c r="D822" s="4">
        <f ca="1">TODAY()-450</f>
        <v>45587</v>
      </c>
      <c r="E822" s="3" t="s">
        <v>1029</v>
      </c>
      <c r="F822" s="43" t="b">
        <v>1</v>
      </c>
      <c r="G822" s="43" t="b">
        <v>1</v>
      </c>
      <c r="H822" s="44">
        <v>1250</v>
      </c>
    </row>
    <row r="823" spans="1:8" x14ac:dyDescent="0.3">
      <c r="A823" s="42" t="s">
        <v>1213</v>
      </c>
      <c r="B823" s="3" t="s">
        <v>1756</v>
      </c>
      <c r="C823" s="4">
        <f t="shared" ca="1" si="32"/>
        <v>45575</v>
      </c>
      <c r="D823" s="4">
        <f ca="1">TODAY()-442</f>
        <v>45595</v>
      </c>
      <c r="E823" s="3" t="s">
        <v>1029</v>
      </c>
      <c r="F823" s="43" t="b">
        <v>1</v>
      </c>
      <c r="G823" s="43" t="b">
        <v>1</v>
      </c>
      <c r="H823" s="44">
        <v>840</v>
      </c>
    </row>
    <row r="824" spans="1:8" x14ac:dyDescent="0.3">
      <c r="A824" s="42" t="s">
        <v>1382</v>
      </c>
      <c r="B824" s="3" t="s">
        <v>1724</v>
      </c>
      <c r="C824" s="4">
        <f t="shared" ca="1" si="32"/>
        <v>45575</v>
      </c>
      <c r="D824" s="4">
        <f ca="1">TODAY()-450</f>
        <v>45587</v>
      </c>
      <c r="E824" s="3" t="s">
        <v>1029</v>
      </c>
      <c r="F824" s="43" t="b">
        <v>1</v>
      </c>
      <c r="G824" s="43" t="b">
        <v>1</v>
      </c>
      <c r="H824" s="44">
        <v>1990</v>
      </c>
    </row>
    <row r="825" spans="1:8" x14ac:dyDescent="0.3">
      <c r="A825" s="42" t="s">
        <v>1830</v>
      </c>
      <c r="B825" s="3" t="s">
        <v>1475</v>
      </c>
      <c r="C825" s="4">
        <f t="shared" ca="1" si="32"/>
        <v>45575</v>
      </c>
      <c r="D825" s="4">
        <f ca="1">TODAY()-446</f>
        <v>45591</v>
      </c>
      <c r="E825" s="3" t="s">
        <v>1029</v>
      </c>
      <c r="F825" s="43" t="b">
        <v>1</v>
      </c>
      <c r="G825" s="43" t="b">
        <v>1</v>
      </c>
      <c r="H825" s="44">
        <v>1880</v>
      </c>
    </row>
    <row r="826" spans="1:8" x14ac:dyDescent="0.3">
      <c r="A826" s="42" t="s">
        <v>1767</v>
      </c>
      <c r="B826" s="3" t="s">
        <v>1768</v>
      </c>
      <c r="C826" s="4">
        <f t="shared" ca="1" si="32"/>
        <v>45575</v>
      </c>
      <c r="D826" s="4">
        <f ca="1">TODAY()-438</f>
        <v>45599</v>
      </c>
      <c r="E826" s="3" t="s">
        <v>1029</v>
      </c>
      <c r="F826" s="43" t="b">
        <v>1</v>
      </c>
      <c r="G826" s="43" t="b">
        <v>1</v>
      </c>
      <c r="H826" s="44">
        <v>110</v>
      </c>
    </row>
    <row r="827" spans="1:8" x14ac:dyDescent="0.3">
      <c r="A827" s="42" t="s">
        <v>1106</v>
      </c>
      <c r="B827" s="3" t="s">
        <v>1107</v>
      </c>
      <c r="C827" s="4">
        <f t="shared" ca="1" si="32"/>
        <v>45575</v>
      </c>
      <c r="D827" s="42"/>
      <c r="E827" s="3" t="s">
        <v>1108</v>
      </c>
      <c r="F827" s="43" t="b">
        <v>0</v>
      </c>
      <c r="G827" s="43" t="b">
        <v>0</v>
      </c>
      <c r="H827" s="44">
        <v>1870</v>
      </c>
    </row>
    <row r="828" spans="1:8" x14ac:dyDescent="0.3">
      <c r="A828" s="42" t="s">
        <v>1529</v>
      </c>
      <c r="B828" s="3" t="s">
        <v>1443</v>
      </c>
      <c r="C828" s="4">
        <f t="shared" ca="1" si="32"/>
        <v>45575</v>
      </c>
      <c r="D828" s="4">
        <f t="shared" ref="D828:D829" ca="1" si="33">TODAY()-435</f>
        <v>45602</v>
      </c>
      <c r="E828" s="3" t="s">
        <v>1032</v>
      </c>
      <c r="F828" s="43" t="b">
        <v>1</v>
      </c>
      <c r="G828" s="43" t="b">
        <v>0</v>
      </c>
      <c r="H828" s="44">
        <v>1570</v>
      </c>
    </row>
    <row r="829" spans="1:8" x14ac:dyDescent="0.3">
      <c r="A829" s="42" t="s">
        <v>1151</v>
      </c>
      <c r="B829" s="3" t="s">
        <v>1831</v>
      </c>
      <c r="C829" s="4">
        <f t="shared" ca="1" si="32"/>
        <v>45575</v>
      </c>
      <c r="D829" s="4">
        <f t="shared" ca="1" si="33"/>
        <v>45602</v>
      </c>
      <c r="E829" s="3" t="s">
        <v>1032</v>
      </c>
      <c r="F829" s="43" t="b">
        <v>1</v>
      </c>
      <c r="G829" s="43" t="b">
        <v>0</v>
      </c>
      <c r="H829" s="44">
        <v>890</v>
      </c>
    </row>
    <row r="830" spans="1:8" x14ac:dyDescent="0.3">
      <c r="A830" s="42" t="s">
        <v>1832</v>
      </c>
      <c r="B830" s="3" t="s">
        <v>1833</v>
      </c>
      <c r="C830" s="4">
        <f t="shared" ca="1" si="32"/>
        <v>45575</v>
      </c>
      <c r="D830" s="42"/>
      <c r="E830" s="3" t="s">
        <v>1108</v>
      </c>
      <c r="F830" s="43" t="b">
        <v>0</v>
      </c>
      <c r="G830" s="43" t="b">
        <v>0</v>
      </c>
      <c r="H830" s="44">
        <v>1300</v>
      </c>
    </row>
    <row r="831" spans="1:8" x14ac:dyDescent="0.3">
      <c r="A831" s="42" t="s">
        <v>1233</v>
      </c>
      <c r="B831" s="3" t="s">
        <v>1234</v>
      </c>
      <c r="C831" s="4">
        <f t="shared" ca="1" si="32"/>
        <v>45575</v>
      </c>
      <c r="D831" s="4">
        <f ca="1">TODAY()-448</f>
        <v>45589</v>
      </c>
      <c r="E831" s="3" t="s">
        <v>1029</v>
      </c>
      <c r="F831" s="43" t="b">
        <v>1</v>
      </c>
      <c r="G831" s="43" t="b">
        <v>1</v>
      </c>
      <c r="H831" s="44">
        <v>1820</v>
      </c>
    </row>
    <row r="832" spans="1:8" x14ac:dyDescent="0.3">
      <c r="A832" s="42" t="s">
        <v>1697</v>
      </c>
      <c r="B832" s="3" t="s">
        <v>1834</v>
      </c>
      <c r="C832" s="4">
        <f t="shared" ca="1" si="32"/>
        <v>45575</v>
      </c>
      <c r="D832" s="4">
        <f ca="1">TODAY()-439</f>
        <v>45598</v>
      </c>
      <c r="E832" s="3" t="s">
        <v>1032</v>
      </c>
      <c r="F832" s="43" t="b">
        <v>1</v>
      </c>
      <c r="G832" s="43" t="b">
        <v>0</v>
      </c>
      <c r="H832" s="44">
        <v>1340</v>
      </c>
    </row>
    <row r="833" spans="1:8" x14ac:dyDescent="0.3">
      <c r="A833" s="42" t="s">
        <v>1578</v>
      </c>
      <c r="B833" s="3" t="s">
        <v>1390</v>
      </c>
      <c r="C833" s="4">
        <f t="shared" ca="1" si="32"/>
        <v>45575</v>
      </c>
      <c r="D833" s="4">
        <f ca="1">TODAY()-434</f>
        <v>45603</v>
      </c>
      <c r="E833" s="3" t="s">
        <v>1029</v>
      </c>
      <c r="F833" s="43" t="b">
        <v>1</v>
      </c>
      <c r="G833" s="43" t="b">
        <v>1</v>
      </c>
      <c r="H833" s="44">
        <v>1240</v>
      </c>
    </row>
    <row r="834" spans="1:8" x14ac:dyDescent="0.3">
      <c r="A834" s="42" t="s">
        <v>1270</v>
      </c>
      <c r="B834" s="3" t="s">
        <v>1271</v>
      </c>
      <c r="C834" s="4">
        <f t="shared" ca="1" si="32"/>
        <v>45575</v>
      </c>
      <c r="D834" s="42"/>
      <c r="E834" s="3" t="s">
        <v>1101</v>
      </c>
      <c r="F834" s="43" t="b">
        <v>0</v>
      </c>
      <c r="G834" s="43" t="b">
        <v>0</v>
      </c>
      <c r="H834" s="44">
        <v>1140</v>
      </c>
    </row>
    <row r="835" spans="1:8" x14ac:dyDescent="0.3">
      <c r="A835" s="42" t="s">
        <v>1599</v>
      </c>
      <c r="B835" s="3" t="s">
        <v>1136</v>
      </c>
      <c r="C835" s="4">
        <f t="shared" ca="1" si="32"/>
        <v>45575</v>
      </c>
      <c r="D835" s="4">
        <f ca="1">TODAY()-432</f>
        <v>45605</v>
      </c>
      <c r="E835" s="3" t="s">
        <v>1029</v>
      </c>
      <c r="F835" s="43" t="b">
        <v>1</v>
      </c>
      <c r="G835" s="43" t="b">
        <v>1</v>
      </c>
      <c r="H835" s="44">
        <v>20000</v>
      </c>
    </row>
    <row r="836" spans="1:8" x14ac:dyDescent="0.3">
      <c r="A836" s="42" t="s">
        <v>1835</v>
      </c>
      <c r="B836" s="3" t="s">
        <v>1836</v>
      </c>
      <c r="C836" s="4">
        <f t="shared" ca="1" si="32"/>
        <v>45575</v>
      </c>
      <c r="D836" s="4">
        <f ca="1">TODAY()-434</f>
        <v>45603</v>
      </c>
      <c r="E836" s="3" t="s">
        <v>1029</v>
      </c>
      <c r="F836" s="43" t="b">
        <v>1</v>
      </c>
      <c r="G836" s="43" t="b">
        <v>1</v>
      </c>
      <c r="H836" s="44">
        <v>1450</v>
      </c>
    </row>
    <row r="837" spans="1:8" x14ac:dyDescent="0.3">
      <c r="A837" s="42" t="s">
        <v>1215</v>
      </c>
      <c r="B837" s="3" t="s">
        <v>1511</v>
      </c>
      <c r="C837" s="4">
        <f t="shared" ca="1" si="32"/>
        <v>45575</v>
      </c>
      <c r="D837" s="42"/>
      <c r="E837" s="3" t="s">
        <v>1037</v>
      </c>
      <c r="F837" s="43" t="b">
        <v>0</v>
      </c>
      <c r="G837" s="43" t="b">
        <v>0</v>
      </c>
      <c r="H837" s="44">
        <v>940</v>
      </c>
    </row>
    <row r="838" spans="1:8" x14ac:dyDescent="0.3">
      <c r="A838" s="42" t="s">
        <v>1081</v>
      </c>
      <c r="B838" s="3" t="s">
        <v>1837</v>
      </c>
      <c r="C838" s="4">
        <f t="shared" ca="1" si="32"/>
        <v>45575</v>
      </c>
      <c r="D838" s="4">
        <f ca="1">TODAY()-446</f>
        <v>45591</v>
      </c>
      <c r="E838" s="3" t="s">
        <v>1029</v>
      </c>
      <c r="F838" s="43" t="b">
        <v>1</v>
      </c>
      <c r="G838" s="43" t="b">
        <v>1</v>
      </c>
      <c r="H838" s="44">
        <v>1510</v>
      </c>
    </row>
    <row r="839" spans="1:8" x14ac:dyDescent="0.3">
      <c r="A839" s="42" t="s">
        <v>1832</v>
      </c>
      <c r="B839" s="3" t="s">
        <v>1833</v>
      </c>
      <c r="C839" s="4">
        <f t="shared" ca="1" si="32"/>
        <v>45575</v>
      </c>
      <c r="D839" s="42"/>
      <c r="E839" s="3" t="s">
        <v>1108</v>
      </c>
      <c r="F839" s="43" t="b">
        <v>0</v>
      </c>
      <c r="G839" s="43" t="b">
        <v>0</v>
      </c>
      <c r="H839" s="44">
        <v>1300</v>
      </c>
    </row>
    <row r="840" spans="1:8" x14ac:dyDescent="0.3">
      <c r="A840" s="42" t="s">
        <v>1342</v>
      </c>
      <c r="B840" s="3" t="s">
        <v>1343</v>
      </c>
      <c r="C840" s="4">
        <f t="shared" ca="1" si="32"/>
        <v>45575</v>
      </c>
      <c r="D840" s="4">
        <f t="shared" ref="D840:D841" ca="1" si="34">TODAY()-440</f>
        <v>45597</v>
      </c>
      <c r="E840" s="3" t="s">
        <v>1032</v>
      </c>
      <c r="F840" s="43" t="b">
        <v>1</v>
      </c>
      <c r="G840" s="43" t="b">
        <v>0</v>
      </c>
      <c r="H840" s="44">
        <v>410</v>
      </c>
    </row>
    <row r="841" spans="1:8" x14ac:dyDescent="0.3">
      <c r="A841" s="42" t="s">
        <v>1328</v>
      </c>
      <c r="B841" s="3" t="s">
        <v>1785</v>
      </c>
      <c r="C841" s="4">
        <f t="shared" ca="1" si="32"/>
        <v>45575</v>
      </c>
      <c r="D841" s="4">
        <f t="shared" ca="1" si="34"/>
        <v>45597</v>
      </c>
      <c r="E841" s="3" t="s">
        <v>1029</v>
      </c>
      <c r="F841" s="43" t="b">
        <v>1</v>
      </c>
      <c r="G841" s="43" t="b">
        <v>1</v>
      </c>
      <c r="H841" s="44">
        <v>2970</v>
      </c>
    </row>
    <row r="842" spans="1:8" x14ac:dyDescent="0.3">
      <c r="A842" s="42" t="s">
        <v>1640</v>
      </c>
      <c r="B842" s="3" t="s">
        <v>1641</v>
      </c>
      <c r="C842" s="4">
        <f t="shared" ca="1" si="32"/>
        <v>45575</v>
      </c>
      <c r="D842" s="4">
        <f ca="1">TODAY()-448</f>
        <v>45589</v>
      </c>
      <c r="E842" s="3" t="s">
        <v>1029</v>
      </c>
      <c r="F842" s="43" t="b">
        <v>1</v>
      </c>
      <c r="G842" s="43" t="b">
        <v>1</v>
      </c>
      <c r="H842" s="44">
        <v>5250</v>
      </c>
    </row>
    <row r="843" spans="1:8" x14ac:dyDescent="0.3">
      <c r="A843" s="42" t="s">
        <v>1209</v>
      </c>
      <c r="B843" s="3" t="s">
        <v>1210</v>
      </c>
      <c r="C843" s="4">
        <f t="shared" ca="1" si="32"/>
        <v>45575</v>
      </c>
      <c r="D843" s="4">
        <f ca="1">TODAY()-442</f>
        <v>45595</v>
      </c>
      <c r="E843" s="3" t="s">
        <v>1029</v>
      </c>
      <c r="F843" s="43" t="b">
        <v>1</v>
      </c>
      <c r="G843" s="43" t="b">
        <v>1</v>
      </c>
      <c r="H843" s="44">
        <v>150</v>
      </c>
    </row>
    <row r="844" spans="1:8" x14ac:dyDescent="0.3">
      <c r="A844" s="42" t="s">
        <v>1748</v>
      </c>
      <c r="B844" s="3" t="s">
        <v>1749</v>
      </c>
      <c r="C844" s="4">
        <f t="shared" ca="1" si="32"/>
        <v>45575</v>
      </c>
      <c r="D844" s="4">
        <f ca="1">TODAY()-440</f>
        <v>45597</v>
      </c>
      <c r="E844" s="3" t="s">
        <v>1029</v>
      </c>
      <c r="F844" s="43" t="b">
        <v>1</v>
      </c>
      <c r="G844" s="43" t="b">
        <v>1</v>
      </c>
      <c r="H844" s="44">
        <v>670</v>
      </c>
    </row>
    <row r="845" spans="1:8" x14ac:dyDescent="0.3">
      <c r="A845" s="42" t="s">
        <v>1770</v>
      </c>
      <c r="B845" s="3" t="s">
        <v>1771</v>
      </c>
      <c r="C845" s="4">
        <f t="shared" ca="1" si="32"/>
        <v>45575</v>
      </c>
      <c r="D845" s="4">
        <f ca="1">TODAY()-435</f>
        <v>45602</v>
      </c>
      <c r="E845" s="3" t="s">
        <v>1029</v>
      </c>
      <c r="F845" s="43" t="b">
        <v>1</v>
      </c>
      <c r="G845" s="43" t="b">
        <v>1</v>
      </c>
      <c r="H845" s="44">
        <v>1730</v>
      </c>
    </row>
    <row r="846" spans="1:8" x14ac:dyDescent="0.3">
      <c r="A846" s="42" t="s">
        <v>1503</v>
      </c>
      <c r="B846" s="3" t="s">
        <v>1684</v>
      </c>
      <c r="C846" s="4">
        <f t="shared" ca="1" si="32"/>
        <v>45575</v>
      </c>
      <c r="D846" s="4">
        <f ca="1">TODAY()-438</f>
        <v>45599</v>
      </c>
      <c r="E846" s="3" t="s">
        <v>1032</v>
      </c>
      <c r="F846" s="43" t="b">
        <v>1</v>
      </c>
      <c r="G846" s="43" t="b">
        <v>0</v>
      </c>
      <c r="H846" s="44">
        <v>1470</v>
      </c>
    </row>
    <row r="847" spans="1:8" x14ac:dyDescent="0.3">
      <c r="A847" s="42" t="s">
        <v>1448</v>
      </c>
      <c r="B847" s="3" t="s">
        <v>1838</v>
      </c>
      <c r="C847" s="4">
        <f t="shared" ca="1" si="32"/>
        <v>45575</v>
      </c>
      <c r="D847" s="4">
        <f ca="1">TODAY()-437</f>
        <v>45600</v>
      </c>
      <c r="E847" s="3" t="s">
        <v>1029</v>
      </c>
      <c r="F847" s="43" t="b">
        <v>1</v>
      </c>
      <c r="G847" s="43" t="b">
        <v>1</v>
      </c>
      <c r="H847" s="44">
        <v>1700</v>
      </c>
    </row>
    <row r="848" spans="1:8" x14ac:dyDescent="0.3">
      <c r="A848" s="42" t="s">
        <v>1348</v>
      </c>
      <c r="B848" s="3" t="s">
        <v>1349</v>
      </c>
      <c r="C848" s="4">
        <f t="shared" ca="1" si="32"/>
        <v>45575</v>
      </c>
      <c r="D848" s="4">
        <f ca="1">TODAY()-447</f>
        <v>45590</v>
      </c>
      <c r="E848" s="3" t="s">
        <v>1032</v>
      </c>
      <c r="F848" s="43" t="b">
        <v>1</v>
      </c>
      <c r="G848" s="43" t="b">
        <v>0</v>
      </c>
      <c r="H848" s="44">
        <v>570</v>
      </c>
    </row>
    <row r="849" spans="1:8" x14ac:dyDescent="0.3">
      <c r="A849" s="42" t="s">
        <v>1451</v>
      </c>
      <c r="B849" s="3" t="s">
        <v>1452</v>
      </c>
      <c r="C849" s="4">
        <f t="shared" ca="1" si="32"/>
        <v>45575</v>
      </c>
      <c r="D849" s="42"/>
      <c r="E849" s="3" t="s">
        <v>1108</v>
      </c>
      <c r="F849" s="43" t="b">
        <v>0</v>
      </c>
      <c r="G849" s="43" t="b">
        <v>0</v>
      </c>
      <c r="H849" s="44">
        <v>590</v>
      </c>
    </row>
    <row r="850" spans="1:8" x14ac:dyDescent="0.3">
      <c r="A850" s="42" t="s">
        <v>1839</v>
      </c>
      <c r="B850" s="3" t="s">
        <v>1840</v>
      </c>
      <c r="C850" s="4">
        <f t="shared" ca="1" si="32"/>
        <v>45575</v>
      </c>
      <c r="D850" s="4">
        <f ca="1">TODAY()-447</f>
        <v>45590</v>
      </c>
      <c r="E850" s="3" t="s">
        <v>1032</v>
      </c>
      <c r="F850" s="43" t="b">
        <v>1</v>
      </c>
      <c r="G850" s="43" t="b">
        <v>0</v>
      </c>
      <c r="H850" s="44">
        <v>1000</v>
      </c>
    </row>
    <row r="851" spans="1:8" x14ac:dyDescent="0.3">
      <c r="A851" s="42" t="s">
        <v>1571</v>
      </c>
      <c r="B851" s="3" t="s">
        <v>1841</v>
      </c>
      <c r="C851" s="4">
        <f t="shared" ca="1" si="32"/>
        <v>45575</v>
      </c>
      <c r="D851" s="4">
        <f ca="1">TODAY()-437</f>
        <v>45600</v>
      </c>
      <c r="E851" s="3" t="s">
        <v>1032</v>
      </c>
      <c r="F851" s="43" t="b">
        <v>1</v>
      </c>
      <c r="G851" s="43" t="b">
        <v>0</v>
      </c>
      <c r="H851" s="44">
        <v>2190</v>
      </c>
    </row>
    <row r="852" spans="1:8" x14ac:dyDescent="0.3">
      <c r="A852" s="42" t="s">
        <v>1842</v>
      </c>
      <c r="B852" s="3" t="s">
        <v>1843</v>
      </c>
      <c r="C852" s="4">
        <f t="shared" ca="1" si="32"/>
        <v>45575</v>
      </c>
      <c r="D852" s="4">
        <f ca="1">TODAY()-449</f>
        <v>45588</v>
      </c>
      <c r="E852" s="3" t="s">
        <v>1029</v>
      </c>
      <c r="F852" s="43" t="b">
        <v>1</v>
      </c>
      <c r="G852" s="43" t="b">
        <v>1</v>
      </c>
      <c r="H852" s="44">
        <v>370</v>
      </c>
    </row>
    <row r="853" spans="1:8" x14ac:dyDescent="0.3">
      <c r="A853" s="42" t="s">
        <v>1277</v>
      </c>
      <c r="B853" s="3" t="s">
        <v>1844</v>
      </c>
      <c r="C853" s="4">
        <f t="shared" ca="1" si="32"/>
        <v>45575</v>
      </c>
      <c r="D853" s="42"/>
      <c r="E853" s="3" t="s">
        <v>1037</v>
      </c>
      <c r="F853" s="43" t="b">
        <v>0</v>
      </c>
      <c r="G853" s="43" t="b">
        <v>0</v>
      </c>
      <c r="H853" s="44">
        <v>1710</v>
      </c>
    </row>
    <row r="854" spans="1:8" x14ac:dyDescent="0.3">
      <c r="A854" s="42" t="s">
        <v>1093</v>
      </c>
      <c r="B854" s="3" t="s">
        <v>1094</v>
      </c>
      <c r="C854" s="4">
        <f t="shared" ca="1" si="32"/>
        <v>45575</v>
      </c>
      <c r="D854" s="4">
        <f ca="1">TODAY()-451</f>
        <v>45586</v>
      </c>
      <c r="E854" s="3" t="s">
        <v>1032</v>
      </c>
      <c r="F854" s="43" t="b">
        <v>1</v>
      </c>
      <c r="G854" s="43" t="b">
        <v>0</v>
      </c>
      <c r="H854" s="44">
        <v>890</v>
      </c>
    </row>
    <row r="855" spans="1:8" x14ac:dyDescent="0.3">
      <c r="A855" s="42" t="s">
        <v>1066</v>
      </c>
      <c r="B855" s="3" t="s">
        <v>1384</v>
      </c>
      <c r="C855" s="4">
        <f t="shared" ca="1" si="32"/>
        <v>45575</v>
      </c>
      <c r="D855" s="42"/>
      <c r="E855" s="3" t="s">
        <v>1108</v>
      </c>
      <c r="F855" s="43" t="b">
        <v>0</v>
      </c>
      <c r="G855" s="43" t="b">
        <v>0</v>
      </c>
      <c r="H855" s="44">
        <v>1970</v>
      </c>
    </row>
    <row r="856" spans="1:8" x14ac:dyDescent="0.3">
      <c r="A856" s="42" t="s">
        <v>1229</v>
      </c>
      <c r="B856" s="3" t="s">
        <v>1230</v>
      </c>
      <c r="C856" s="4">
        <f t="shared" ca="1" si="32"/>
        <v>45575</v>
      </c>
      <c r="D856" s="42"/>
      <c r="E856" s="3" t="s">
        <v>1108</v>
      </c>
      <c r="F856" s="43" t="b">
        <v>0</v>
      </c>
      <c r="G856" s="43" t="b">
        <v>0</v>
      </c>
      <c r="H856" s="44">
        <v>280</v>
      </c>
    </row>
    <row r="857" spans="1:8" x14ac:dyDescent="0.3">
      <c r="A857" s="42" t="s">
        <v>1240</v>
      </c>
      <c r="B857" s="3" t="s">
        <v>1241</v>
      </c>
      <c r="C857" s="4">
        <f t="shared" ca="1" si="32"/>
        <v>45575</v>
      </c>
      <c r="D857" s="4">
        <f ca="1">TODAY()-438</f>
        <v>45599</v>
      </c>
      <c r="E857" s="3" t="s">
        <v>1032</v>
      </c>
      <c r="F857" s="43" t="b">
        <v>1</v>
      </c>
      <c r="G857" s="43" t="b">
        <v>0</v>
      </c>
      <c r="H857" s="44">
        <v>870</v>
      </c>
    </row>
    <row r="858" spans="1:8" x14ac:dyDescent="0.3">
      <c r="A858" s="42" t="s">
        <v>1081</v>
      </c>
      <c r="B858" s="3" t="s">
        <v>1837</v>
      </c>
      <c r="C858" s="4">
        <f t="shared" ca="1" si="32"/>
        <v>45575</v>
      </c>
      <c r="D858" s="4">
        <f ca="1">TODAY()-449</f>
        <v>45588</v>
      </c>
      <c r="E858" s="3" t="s">
        <v>1029</v>
      </c>
      <c r="F858" s="43" t="b">
        <v>1</v>
      </c>
      <c r="G858" s="43" t="b">
        <v>1</v>
      </c>
      <c r="H858" s="44">
        <v>1510</v>
      </c>
    </row>
    <row r="859" spans="1:8" x14ac:dyDescent="0.3">
      <c r="A859" s="42" t="s">
        <v>1334</v>
      </c>
      <c r="B859" s="3" t="s">
        <v>1222</v>
      </c>
      <c r="C859" s="4">
        <f t="shared" ca="1" si="32"/>
        <v>45575</v>
      </c>
      <c r="D859" s="42"/>
      <c r="E859" s="3" t="s">
        <v>1108</v>
      </c>
      <c r="F859" s="43" t="b">
        <v>0</v>
      </c>
      <c r="G859" s="43" t="b">
        <v>0</v>
      </c>
      <c r="H859" s="44">
        <v>2230</v>
      </c>
    </row>
    <row r="860" spans="1:8" x14ac:dyDescent="0.3">
      <c r="A860" s="42" t="s">
        <v>1649</v>
      </c>
      <c r="B860" s="3" t="s">
        <v>1650</v>
      </c>
      <c r="C860" s="4">
        <f t="shared" ca="1" si="32"/>
        <v>45575</v>
      </c>
      <c r="D860" s="4">
        <f ca="1">TODAY()-442</f>
        <v>45595</v>
      </c>
      <c r="E860" s="3" t="s">
        <v>1029</v>
      </c>
      <c r="F860" s="43" t="b">
        <v>1</v>
      </c>
      <c r="G860" s="43" t="b">
        <v>1</v>
      </c>
      <c r="H860" s="44">
        <v>350</v>
      </c>
    </row>
    <row r="861" spans="1:8" x14ac:dyDescent="0.3">
      <c r="A861" s="42" t="s">
        <v>1845</v>
      </c>
      <c r="B861" s="3" t="s">
        <v>1846</v>
      </c>
      <c r="C861" s="4">
        <f t="shared" ca="1" si="32"/>
        <v>45575</v>
      </c>
      <c r="D861" s="4">
        <f ca="1">TODAY()-436</f>
        <v>45601</v>
      </c>
      <c r="E861" s="3" t="s">
        <v>1032</v>
      </c>
      <c r="F861" s="43" t="b">
        <v>1</v>
      </c>
      <c r="G861" s="43" t="b">
        <v>0</v>
      </c>
      <c r="H861" s="44">
        <v>1300</v>
      </c>
    </row>
    <row r="862" spans="1:8" x14ac:dyDescent="0.3">
      <c r="A862" s="42" t="s">
        <v>1451</v>
      </c>
      <c r="B862" s="3" t="s">
        <v>1750</v>
      </c>
      <c r="C862" s="4">
        <f t="shared" ca="1" si="32"/>
        <v>45575</v>
      </c>
      <c r="D862" s="4">
        <f ca="1">TODAY()-450</f>
        <v>45587</v>
      </c>
      <c r="E862" s="3" t="s">
        <v>1032</v>
      </c>
      <c r="F862" s="43" t="b">
        <v>1</v>
      </c>
      <c r="G862" s="43" t="b">
        <v>0</v>
      </c>
      <c r="H862" s="44">
        <v>1140</v>
      </c>
    </row>
    <row r="863" spans="1:8" x14ac:dyDescent="0.3">
      <c r="A863" s="42" t="s">
        <v>1697</v>
      </c>
      <c r="B863" s="3" t="s">
        <v>1834</v>
      </c>
      <c r="C863" s="4">
        <f t="shared" ca="1" si="32"/>
        <v>45575</v>
      </c>
      <c r="D863" s="4">
        <f ca="1">TODAY()-438</f>
        <v>45599</v>
      </c>
      <c r="E863" s="3" t="s">
        <v>1032</v>
      </c>
      <c r="F863" s="43" t="b">
        <v>1</v>
      </c>
      <c r="G863" s="43" t="b">
        <v>0</v>
      </c>
      <c r="H863" s="44">
        <v>1340</v>
      </c>
    </row>
    <row r="864" spans="1:8" x14ac:dyDescent="0.3">
      <c r="A864" s="42" t="s">
        <v>1847</v>
      </c>
      <c r="B864" s="3" t="s">
        <v>1848</v>
      </c>
      <c r="C864" s="4">
        <f t="shared" ca="1" si="32"/>
        <v>45575</v>
      </c>
      <c r="D864" s="4">
        <f ca="1">TODAY()-436</f>
        <v>45601</v>
      </c>
      <c r="E864" s="3" t="s">
        <v>1029</v>
      </c>
      <c r="F864" s="43" t="b">
        <v>1</v>
      </c>
      <c r="G864" s="43" t="b">
        <v>1</v>
      </c>
      <c r="H864" s="44">
        <v>470</v>
      </c>
    </row>
    <row r="865" spans="1:8" x14ac:dyDescent="0.3">
      <c r="A865" s="42" t="s">
        <v>1264</v>
      </c>
      <c r="B865" s="3" t="s">
        <v>1265</v>
      </c>
      <c r="C865" s="4">
        <f t="shared" ca="1" si="32"/>
        <v>45575</v>
      </c>
      <c r="D865" s="4">
        <f ca="1">TODAY()-443</f>
        <v>45594</v>
      </c>
      <c r="E865" s="3" t="s">
        <v>1029</v>
      </c>
      <c r="F865" s="43" t="b">
        <v>1</v>
      </c>
      <c r="G865" s="43" t="b">
        <v>1</v>
      </c>
      <c r="H865" s="44">
        <v>1230</v>
      </c>
    </row>
    <row r="866" spans="1:8" x14ac:dyDescent="0.3">
      <c r="A866" s="42" t="s">
        <v>1044</v>
      </c>
      <c r="B866" s="3" t="s">
        <v>1045</v>
      </c>
      <c r="C866" s="4">
        <f t="shared" ca="1" si="32"/>
        <v>45575</v>
      </c>
      <c r="D866" s="4">
        <f ca="1">TODAY()-434</f>
        <v>45603</v>
      </c>
      <c r="E866" s="3" t="s">
        <v>1029</v>
      </c>
      <c r="F866" s="43" t="b">
        <v>1</v>
      </c>
      <c r="G866" s="43" t="b">
        <v>1</v>
      </c>
      <c r="H866" s="44">
        <v>1310</v>
      </c>
    </row>
    <row r="867" spans="1:8" x14ac:dyDescent="0.3">
      <c r="A867" s="42" t="s">
        <v>1119</v>
      </c>
      <c r="B867" s="3" t="s">
        <v>1428</v>
      </c>
      <c r="C867" s="4">
        <f t="shared" ca="1" si="32"/>
        <v>45575</v>
      </c>
      <c r="D867" s="42"/>
      <c r="E867" s="3" t="s">
        <v>1108</v>
      </c>
      <c r="F867" s="43" t="b">
        <v>0</v>
      </c>
      <c r="G867" s="43" t="b">
        <v>0</v>
      </c>
      <c r="H867" s="44">
        <v>2170</v>
      </c>
    </row>
    <row r="868" spans="1:8" x14ac:dyDescent="0.3">
      <c r="A868" s="42" t="s">
        <v>1083</v>
      </c>
      <c r="B868" s="3" t="s">
        <v>1084</v>
      </c>
      <c r="C868" s="4">
        <f t="shared" ca="1" si="32"/>
        <v>45575</v>
      </c>
      <c r="D868" s="4">
        <f ca="1">TODAY()-450</f>
        <v>45587</v>
      </c>
      <c r="E868" s="3" t="s">
        <v>1029</v>
      </c>
      <c r="F868" s="43" t="b">
        <v>1</v>
      </c>
      <c r="G868" s="43" t="b">
        <v>1</v>
      </c>
      <c r="H868" s="44">
        <v>730</v>
      </c>
    </row>
    <row r="869" spans="1:8" x14ac:dyDescent="0.3">
      <c r="A869" s="42" t="s">
        <v>1624</v>
      </c>
      <c r="B869" s="3" t="s">
        <v>1849</v>
      </c>
      <c r="C869" s="4">
        <f t="shared" ca="1" si="32"/>
        <v>45575</v>
      </c>
      <c r="D869" s="4">
        <f ca="1">TODAY()-442</f>
        <v>45595</v>
      </c>
      <c r="E869" s="3" t="s">
        <v>1032</v>
      </c>
      <c r="F869" s="43" t="b">
        <v>1</v>
      </c>
      <c r="G869" s="43" t="b">
        <v>0</v>
      </c>
      <c r="H869" s="44">
        <v>1250</v>
      </c>
    </row>
    <row r="870" spans="1:8" x14ac:dyDescent="0.3">
      <c r="A870" s="42" t="s">
        <v>1453</v>
      </c>
      <c r="B870" s="3" t="s">
        <v>1454</v>
      </c>
      <c r="C870" s="4">
        <f t="shared" ca="1" si="32"/>
        <v>45575</v>
      </c>
      <c r="D870" s="4">
        <f ca="1">TODAY()-452</f>
        <v>45585</v>
      </c>
      <c r="E870" s="3" t="s">
        <v>1029</v>
      </c>
      <c r="F870" s="43" t="b">
        <v>1</v>
      </c>
      <c r="G870" s="43" t="b">
        <v>1</v>
      </c>
      <c r="H870" s="44">
        <v>1030</v>
      </c>
    </row>
    <row r="871" spans="1:8" x14ac:dyDescent="0.3">
      <c r="A871" s="42" t="s">
        <v>1850</v>
      </c>
      <c r="B871" s="3" t="s">
        <v>1851</v>
      </c>
      <c r="C871" s="4">
        <f t="shared" ca="1" si="32"/>
        <v>45575</v>
      </c>
      <c r="D871" s="42"/>
      <c r="E871" s="3" t="s">
        <v>1101</v>
      </c>
      <c r="F871" s="43" t="b">
        <v>0</v>
      </c>
      <c r="G871" s="43" t="b">
        <v>0</v>
      </c>
      <c r="H871" s="44">
        <v>510</v>
      </c>
    </row>
    <row r="872" spans="1:8" x14ac:dyDescent="0.3">
      <c r="A872" s="42" t="s">
        <v>1213</v>
      </c>
      <c r="B872" s="3" t="s">
        <v>1756</v>
      </c>
      <c r="C872" s="4">
        <f t="shared" ca="1" si="32"/>
        <v>45575</v>
      </c>
      <c r="D872" s="4">
        <f ca="1">TODAY()-441</f>
        <v>45596</v>
      </c>
      <c r="E872" s="3" t="s">
        <v>1029</v>
      </c>
      <c r="F872" s="43" t="b">
        <v>1</v>
      </c>
      <c r="G872" s="43" t="b">
        <v>1</v>
      </c>
      <c r="H872" s="44">
        <v>840</v>
      </c>
    </row>
    <row r="873" spans="1:8" x14ac:dyDescent="0.3">
      <c r="A873" s="42" t="s">
        <v>1830</v>
      </c>
      <c r="B873" s="3" t="s">
        <v>1475</v>
      </c>
      <c r="C873" s="4">
        <f t="shared" ca="1" si="32"/>
        <v>45575</v>
      </c>
      <c r="D873" s="4">
        <f ca="1">TODAY()-449</f>
        <v>45588</v>
      </c>
      <c r="E873" s="3" t="s">
        <v>1029</v>
      </c>
      <c r="F873" s="43" t="b">
        <v>1</v>
      </c>
      <c r="G873" s="43" t="b">
        <v>1</v>
      </c>
      <c r="H873" s="44">
        <v>1880</v>
      </c>
    </row>
    <row r="874" spans="1:8" x14ac:dyDescent="0.3">
      <c r="A874" s="42" t="s">
        <v>1186</v>
      </c>
      <c r="B874" s="3" t="s">
        <v>1187</v>
      </c>
      <c r="C874" s="4">
        <f t="shared" ca="1" si="32"/>
        <v>45575</v>
      </c>
      <c r="D874" s="4">
        <f ca="1">TODAY()-437</f>
        <v>45600</v>
      </c>
      <c r="E874" s="3" t="s">
        <v>1032</v>
      </c>
      <c r="F874" s="43" t="b">
        <v>1</v>
      </c>
      <c r="G874" s="43" t="b">
        <v>0</v>
      </c>
      <c r="H874" s="44">
        <v>2330</v>
      </c>
    </row>
    <row r="875" spans="1:8" x14ac:dyDescent="0.3">
      <c r="A875" s="42" t="s">
        <v>1852</v>
      </c>
      <c r="B875" s="3" t="s">
        <v>1853</v>
      </c>
      <c r="C875" s="4">
        <f t="shared" ca="1" si="32"/>
        <v>45575</v>
      </c>
      <c r="D875" s="4">
        <f ca="1">TODAY()-447</f>
        <v>45590</v>
      </c>
      <c r="E875" s="3" t="s">
        <v>1032</v>
      </c>
      <c r="F875" s="43" t="b">
        <v>1</v>
      </c>
      <c r="G875" s="43" t="b">
        <v>0</v>
      </c>
      <c r="H875" s="44">
        <v>1450</v>
      </c>
    </row>
    <row r="876" spans="1:8" x14ac:dyDescent="0.3">
      <c r="A876" s="42" t="s">
        <v>1237</v>
      </c>
      <c r="B876" s="3" t="s">
        <v>1854</v>
      </c>
      <c r="C876" s="4">
        <f t="shared" ca="1" si="32"/>
        <v>45575</v>
      </c>
      <c r="D876" s="4">
        <f ca="1">TODAY()-446</f>
        <v>45591</v>
      </c>
      <c r="E876" s="3" t="s">
        <v>1032</v>
      </c>
      <c r="F876" s="43" t="b">
        <v>1</v>
      </c>
      <c r="G876" s="43" t="b">
        <v>0</v>
      </c>
      <c r="H876" s="44">
        <v>1940</v>
      </c>
    </row>
    <row r="877" spans="1:8" x14ac:dyDescent="0.3">
      <c r="A877" s="42" t="s">
        <v>1667</v>
      </c>
      <c r="B877" s="3" t="s">
        <v>1668</v>
      </c>
      <c r="C877" s="4">
        <f t="shared" ca="1" si="32"/>
        <v>45575</v>
      </c>
      <c r="D877" s="4">
        <f ca="1">TODAY()-448</f>
        <v>45589</v>
      </c>
      <c r="E877" s="3" t="s">
        <v>1029</v>
      </c>
      <c r="F877" s="43" t="b">
        <v>1</v>
      </c>
      <c r="G877" s="43" t="b">
        <v>1</v>
      </c>
      <c r="H877" s="44">
        <v>1360</v>
      </c>
    </row>
    <row r="878" spans="1:8" x14ac:dyDescent="0.3">
      <c r="A878" s="42" t="s">
        <v>1739</v>
      </c>
      <c r="B878" s="3" t="s">
        <v>1178</v>
      </c>
      <c r="C878" s="4">
        <f t="shared" ca="1" si="32"/>
        <v>45575</v>
      </c>
      <c r="D878" s="4">
        <f ca="1">TODAY()-433</f>
        <v>45604</v>
      </c>
      <c r="E878" s="3" t="s">
        <v>1029</v>
      </c>
      <c r="F878" s="43" t="b">
        <v>1</v>
      </c>
      <c r="G878" s="43" t="b">
        <v>1</v>
      </c>
      <c r="H878" s="44">
        <v>1850</v>
      </c>
    </row>
    <row r="879" spans="1:8" x14ac:dyDescent="0.3">
      <c r="A879" s="42" t="s">
        <v>1139</v>
      </c>
      <c r="B879" s="3" t="s">
        <v>1140</v>
      </c>
      <c r="C879" s="4">
        <f t="shared" ca="1" si="32"/>
        <v>45575</v>
      </c>
      <c r="D879" s="4">
        <f ca="1">TODAY()-443</f>
        <v>45594</v>
      </c>
      <c r="E879" s="3" t="s">
        <v>1029</v>
      </c>
      <c r="F879" s="43" t="b">
        <v>1</v>
      </c>
      <c r="G879" s="43" t="b">
        <v>1</v>
      </c>
      <c r="H879" s="44">
        <v>2460</v>
      </c>
    </row>
    <row r="880" spans="1:8" x14ac:dyDescent="0.3">
      <c r="A880" s="42" t="s">
        <v>1324</v>
      </c>
      <c r="B880" s="3" t="s">
        <v>1325</v>
      </c>
      <c r="C880" s="4">
        <f t="shared" ca="1" si="32"/>
        <v>45575</v>
      </c>
      <c r="D880" s="42"/>
      <c r="E880" s="3" t="s">
        <v>1070</v>
      </c>
      <c r="F880" s="43" t="b">
        <v>0</v>
      </c>
      <c r="G880" s="43" t="b">
        <v>0</v>
      </c>
      <c r="H880" s="44">
        <v>250</v>
      </c>
    </row>
    <row r="881" spans="1:8" x14ac:dyDescent="0.3">
      <c r="A881" s="42" t="s">
        <v>1113</v>
      </c>
      <c r="B881" s="3" t="s">
        <v>1855</v>
      </c>
      <c r="C881" s="4">
        <f t="shared" ca="1" si="32"/>
        <v>45575</v>
      </c>
      <c r="D881" s="4">
        <f ca="1">TODAY()-445</f>
        <v>45592</v>
      </c>
      <c r="E881" s="3" t="s">
        <v>1029</v>
      </c>
      <c r="F881" s="43" t="b">
        <v>1</v>
      </c>
      <c r="G881" s="43" t="b">
        <v>1</v>
      </c>
      <c r="H881" s="44">
        <v>1240</v>
      </c>
    </row>
    <row r="882" spans="1:8" x14ac:dyDescent="0.3">
      <c r="A882" s="42" t="s">
        <v>1442</v>
      </c>
      <c r="B882" s="3" t="s">
        <v>1810</v>
      </c>
      <c r="C882" s="4">
        <f t="shared" ca="1" si="32"/>
        <v>45575</v>
      </c>
      <c r="D882" s="4">
        <f ca="1">TODAY()-435</f>
        <v>45602</v>
      </c>
      <c r="E882" s="3" t="s">
        <v>1029</v>
      </c>
      <c r="F882" s="43" t="b">
        <v>1</v>
      </c>
      <c r="G882" s="43" t="b">
        <v>1</v>
      </c>
      <c r="H882" s="44">
        <v>1930</v>
      </c>
    </row>
    <row r="883" spans="1:8" x14ac:dyDescent="0.3">
      <c r="A883" s="42" t="s">
        <v>1856</v>
      </c>
      <c r="B883" s="3" t="s">
        <v>1857</v>
      </c>
      <c r="C883" s="4">
        <f t="shared" ca="1" si="32"/>
        <v>45575</v>
      </c>
      <c r="D883" s="42"/>
      <c r="E883" s="3" t="s">
        <v>1103</v>
      </c>
      <c r="F883" s="43" t="b">
        <v>0</v>
      </c>
      <c r="G883" s="43" t="b">
        <v>0</v>
      </c>
      <c r="H883" s="44">
        <v>730</v>
      </c>
    </row>
    <row r="884" spans="1:8" x14ac:dyDescent="0.3">
      <c r="A884" s="42" t="s">
        <v>1598</v>
      </c>
      <c r="B884" s="3" t="s">
        <v>1858</v>
      </c>
      <c r="C884" s="4">
        <f t="shared" ca="1" si="32"/>
        <v>45575</v>
      </c>
      <c r="D884" s="42"/>
      <c r="E884" s="3" t="s">
        <v>1108</v>
      </c>
      <c r="F884" s="43" t="b">
        <v>0</v>
      </c>
      <c r="G884" s="43" t="b">
        <v>0</v>
      </c>
      <c r="H884" s="44">
        <v>1270</v>
      </c>
    </row>
    <row r="885" spans="1:8" x14ac:dyDescent="0.3">
      <c r="A885" s="42" t="s">
        <v>1821</v>
      </c>
      <c r="B885" s="3" t="s">
        <v>1363</v>
      </c>
      <c r="C885" s="4">
        <f t="shared" ca="1" si="32"/>
        <v>45575</v>
      </c>
      <c r="D885" s="4">
        <f ca="1">TODAY()-432</f>
        <v>45605</v>
      </c>
      <c r="E885" s="3" t="s">
        <v>1032</v>
      </c>
      <c r="F885" s="43" t="b">
        <v>1</v>
      </c>
      <c r="G885" s="43" t="b">
        <v>0</v>
      </c>
      <c r="H885" s="44">
        <v>1010</v>
      </c>
    </row>
    <row r="886" spans="1:8" x14ac:dyDescent="0.3">
      <c r="A886" s="42" t="s">
        <v>1519</v>
      </c>
      <c r="B886" s="3" t="s">
        <v>1520</v>
      </c>
      <c r="C886" s="4">
        <f t="shared" ca="1" si="32"/>
        <v>45575</v>
      </c>
      <c r="D886" s="42"/>
      <c r="E886" s="3" t="s">
        <v>1103</v>
      </c>
      <c r="F886" s="43" t="b">
        <v>0</v>
      </c>
      <c r="G886" s="43" t="b">
        <v>0</v>
      </c>
      <c r="H886" s="44">
        <v>1030</v>
      </c>
    </row>
    <row r="887" spans="1:8" x14ac:dyDescent="0.3">
      <c r="A887" s="42" t="s">
        <v>1153</v>
      </c>
      <c r="B887" s="3" t="s">
        <v>1154</v>
      </c>
      <c r="C887" s="4">
        <f t="shared" ca="1" si="32"/>
        <v>45575</v>
      </c>
      <c r="D887" s="4">
        <f ca="1">TODAY()-449</f>
        <v>45588</v>
      </c>
      <c r="E887" s="3" t="s">
        <v>1029</v>
      </c>
      <c r="F887" s="43" t="b">
        <v>1</v>
      </c>
      <c r="G887" s="43" t="b">
        <v>1</v>
      </c>
      <c r="H887" s="44">
        <v>2340</v>
      </c>
    </row>
    <row r="888" spans="1:8" x14ac:dyDescent="0.3">
      <c r="A888" s="42" t="s">
        <v>1149</v>
      </c>
      <c r="B888" s="3" t="s">
        <v>1150</v>
      </c>
      <c r="C888" s="4">
        <f t="shared" ca="1" si="32"/>
        <v>45575</v>
      </c>
      <c r="D888" s="4">
        <f ca="1">TODAY()-441</f>
        <v>45596</v>
      </c>
      <c r="E888" s="3" t="s">
        <v>1029</v>
      </c>
      <c r="F888" s="43" t="b">
        <v>1</v>
      </c>
      <c r="G888" s="43" t="b">
        <v>1</v>
      </c>
      <c r="H888" s="44">
        <v>2330</v>
      </c>
    </row>
    <row r="889" spans="1:8" x14ac:dyDescent="0.3">
      <c r="A889" s="42" t="s">
        <v>1517</v>
      </c>
      <c r="B889" s="3" t="s">
        <v>1518</v>
      </c>
      <c r="C889" s="4">
        <f t="shared" ca="1" si="32"/>
        <v>45575</v>
      </c>
      <c r="D889" s="4">
        <f ca="1">TODAY()-444</f>
        <v>45593</v>
      </c>
      <c r="E889" s="3" t="s">
        <v>1032</v>
      </c>
      <c r="F889" s="43" t="b">
        <v>1</v>
      </c>
      <c r="G889" s="43" t="b">
        <v>0</v>
      </c>
      <c r="H889" s="44">
        <v>1090</v>
      </c>
    </row>
    <row r="890" spans="1:8" x14ac:dyDescent="0.3">
      <c r="A890" s="42" t="s">
        <v>1188</v>
      </c>
      <c r="B890" s="3" t="s">
        <v>1189</v>
      </c>
      <c r="C890" s="4">
        <f t="shared" ca="1" si="32"/>
        <v>45575</v>
      </c>
      <c r="D890" s="42"/>
      <c r="E890" s="3" t="s">
        <v>1037</v>
      </c>
      <c r="F890" s="43" t="b">
        <v>0</v>
      </c>
      <c r="G890" s="43" t="b">
        <v>0</v>
      </c>
      <c r="H890" s="44">
        <v>2470</v>
      </c>
    </row>
    <row r="891" spans="1:8" x14ac:dyDescent="0.3">
      <c r="A891" s="42" t="s">
        <v>1517</v>
      </c>
      <c r="B891" s="3" t="s">
        <v>1114</v>
      </c>
      <c r="C891" s="4">
        <f t="shared" ca="1" si="32"/>
        <v>45575</v>
      </c>
      <c r="D891" s="42"/>
      <c r="E891" s="3" t="s">
        <v>1037</v>
      </c>
      <c r="F891" s="43" t="b">
        <v>0</v>
      </c>
      <c r="G891" s="43" t="b">
        <v>0</v>
      </c>
      <c r="H891" s="44">
        <v>2180</v>
      </c>
    </row>
    <row r="892" spans="1:8" x14ac:dyDescent="0.3">
      <c r="A892" s="42" t="s">
        <v>1398</v>
      </c>
      <c r="B892" s="3" t="s">
        <v>1859</v>
      </c>
      <c r="C892" s="4">
        <f t="shared" ca="1" si="32"/>
        <v>45575</v>
      </c>
      <c r="D892" s="4">
        <f ca="1">TODAY()-434</f>
        <v>45603</v>
      </c>
      <c r="E892" s="3" t="s">
        <v>1029</v>
      </c>
      <c r="F892" s="43" t="b">
        <v>1</v>
      </c>
      <c r="G892" s="43" t="b">
        <v>1</v>
      </c>
      <c r="H892" s="44">
        <v>2360</v>
      </c>
    </row>
    <row r="893" spans="1:8" x14ac:dyDescent="0.3">
      <c r="A893" s="42" t="s">
        <v>1068</v>
      </c>
      <c r="B893" s="3" t="s">
        <v>1069</v>
      </c>
      <c r="C893" s="4">
        <f t="shared" ca="1" si="32"/>
        <v>45575</v>
      </c>
      <c r="D893" s="42"/>
      <c r="E893" s="3" t="s">
        <v>1070</v>
      </c>
      <c r="F893" s="43" t="b">
        <v>0</v>
      </c>
      <c r="G893" s="43" t="b">
        <v>0</v>
      </c>
      <c r="H893" s="44">
        <v>1450</v>
      </c>
    </row>
    <row r="894" spans="1:8" x14ac:dyDescent="0.3">
      <c r="A894" s="42" t="s">
        <v>1860</v>
      </c>
      <c r="B894" s="3" t="s">
        <v>1861</v>
      </c>
      <c r="C894" s="4">
        <f t="shared" ca="1" si="32"/>
        <v>45575</v>
      </c>
      <c r="D894" s="4">
        <f ca="1">TODAY()-438</f>
        <v>45599</v>
      </c>
      <c r="E894" s="3" t="s">
        <v>1032</v>
      </c>
      <c r="F894" s="43" t="b">
        <v>1</v>
      </c>
      <c r="G894" s="43" t="b">
        <v>0</v>
      </c>
      <c r="H894" s="44">
        <v>1000</v>
      </c>
    </row>
    <row r="895" spans="1:8" x14ac:dyDescent="0.3">
      <c r="A895" s="42" t="s">
        <v>1060</v>
      </c>
      <c r="B895" s="3" t="s">
        <v>1061</v>
      </c>
      <c r="C895" s="4">
        <f t="shared" ca="1" si="32"/>
        <v>45575</v>
      </c>
      <c r="D895" s="42"/>
      <c r="E895" s="3" t="s">
        <v>1037</v>
      </c>
      <c r="F895" s="43" t="b">
        <v>0</v>
      </c>
      <c r="G895" s="43" t="b">
        <v>0</v>
      </c>
      <c r="H895" s="44">
        <v>1510</v>
      </c>
    </row>
    <row r="896" spans="1:8" x14ac:dyDescent="0.3">
      <c r="A896" s="42" t="s">
        <v>1779</v>
      </c>
      <c r="B896" s="3" t="s">
        <v>1862</v>
      </c>
      <c r="C896" s="4">
        <f t="shared" ca="1" si="32"/>
        <v>45575</v>
      </c>
      <c r="D896" s="4">
        <f ca="1">TODAY()-444</f>
        <v>45593</v>
      </c>
      <c r="E896" s="3" t="s">
        <v>1032</v>
      </c>
      <c r="F896" s="43" t="b">
        <v>1</v>
      </c>
      <c r="G896" s="43" t="b">
        <v>0</v>
      </c>
      <c r="H896" s="44">
        <v>1950</v>
      </c>
    </row>
    <row r="897" spans="1:8" x14ac:dyDescent="0.3">
      <c r="A897" s="42" t="s">
        <v>1791</v>
      </c>
      <c r="B897" s="3" t="s">
        <v>1863</v>
      </c>
      <c r="C897" s="4">
        <f t="shared" ca="1" si="32"/>
        <v>45575</v>
      </c>
      <c r="D897" s="4">
        <f ca="1">TODAY()-446</f>
        <v>45591</v>
      </c>
      <c r="E897" s="3" t="s">
        <v>1029</v>
      </c>
      <c r="F897" s="43" t="b">
        <v>1</v>
      </c>
      <c r="G897" s="43" t="b">
        <v>1</v>
      </c>
      <c r="H897" s="44">
        <v>2180</v>
      </c>
    </row>
    <row r="898" spans="1:8" x14ac:dyDescent="0.3">
      <c r="A898" s="42" t="s">
        <v>1040</v>
      </c>
      <c r="B898" s="3" t="s">
        <v>1041</v>
      </c>
      <c r="C898" s="4">
        <f t="shared" ca="1" si="32"/>
        <v>45575</v>
      </c>
      <c r="D898" s="4">
        <f t="shared" ref="D898:D899" ca="1" si="35">TODAY()-442</f>
        <v>45595</v>
      </c>
      <c r="E898" s="3" t="s">
        <v>1029</v>
      </c>
      <c r="F898" s="43" t="b">
        <v>1</v>
      </c>
      <c r="G898" s="43" t="b">
        <v>1</v>
      </c>
      <c r="H898" s="44">
        <v>1280</v>
      </c>
    </row>
    <row r="899" spans="1:8" x14ac:dyDescent="0.3">
      <c r="A899" s="42" t="s">
        <v>1340</v>
      </c>
      <c r="B899" s="3" t="s">
        <v>1658</v>
      </c>
      <c r="C899" s="4">
        <f t="shared" ca="1" si="32"/>
        <v>45575</v>
      </c>
      <c r="D899" s="4">
        <f t="shared" ca="1" si="35"/>
        <v>45595</v>
      </c>
      <c r="E899" s="3" t="s">
        <v>1032</v>
      </c>
      <c r="F899" s="43" t="b">
        <v>1</v>
      </c>
      <c r="G899" s="43" t="b">
        <v>0</v>
      </c>
      <c r="H899" s="44">
        <v>1840</v>
      </c>
    </row>
    <row r="900" spans="1:8" x14ac:dyDescent="0.3">
      <c r="A900" s="42" t="s">
        <v>1194</v>
      </c>
      <c r="B900" s="3" t="s">
        <v>1195</v>
      </c>
      <c r="C900" s="4">
        <f t="shared" ref="C900:C1004" ca="1" si="36">TODAY()-431</f>
        <v>45606</v>
      </c>
      <c r="D900" s="4">
        <f ca="1">TODAY()-404</f>
        <v>45633</v>
      </c>
      <c r="E900" s="3" t="s">
        <v>1032</v>
      </c>
      <c r="F900" s="43" t="b">
        <v>1</v>
      </c>
      <c r="G900" s="43" t="b">
        <v>0</v>
      </c>
      <c r="H900" s="44">
        <v>1600</v>
      </c>
    </row>
    <row r="901" spans="1:8" x14ac:dyDescent="0.3">
      <c r="A901" s="42" t="s">
        <v>1370</v>
      </c>
      <c r="B901" s="3" t="s">
        <v>1864</v>
      </c>
      <c r="C901" s="4">
        <f t="shared" ca="1" si="36"/>
        <v>45606</v>
      </c>
      <c r="D901" s="4">
        <f ca="1">TODAY()-411</f>
        <v>45626</v>
      </c>
      <c r="E901" s="3" t="s">
        <v>1029</v>
      </c>
      <c r="F901" s="43" t="b">
        <v>1</v>
      </c>
      <c r="G901" s="43" t="b">
        <v>1</v>
      </c>
      <c r="H901" s="44">
        <v>120</v>
      </c>
    </row>
    <row r="902" spans="1:8" x14ac:dyDescent="0.3">
      <c r="A902" s="42" t="s">
        <v>1713</v>
      </c>
      <c r="B902" s="3" t="s">
        <v>1201</v>
      </c>
      <c r="C902" s="4">
        <f t="shared" ca="1" si="36"/>
        <v>45606</v>
      </c>
      <c r="D902" s="4">
        <f ca="1">TODAY()-409</f>
        <v>45628</v>
      </c>
      <c r="E902" s="3" t="s">
        <v>1029</v>
      </c>
      <c r="F902" s="43" t="b">
        <v>1</v>
      </c>
      <c r="G902" s="43" t="b">
        <v>1</v>
      </c>
      <c r="H902" s="44">
        <v>2960</v>
      </c>
    </row>
    <row r="903" spans="1:8" x14ac:dyDescent="0.3">
      <c r="A903" s="42" t="s">
        <v>1569</v>
      </c>
      <c r="B903" s="3" t="s">
        <v>1570</v>
      </c>
      <c r="C903" s="4">
        <f t="shared" ca="1" si="36"/>
        <v>45606</v>
      </c>
      <c r="D903" s="4">
        <f ca="1">TODAY()-415</f>
        <v>45622</v>
      </c>
      <c r="E903" s="3" t="s">
        <v>1032</v>
      </c>
      <c r="F903" s="43" t="b">
        <v>1</v>
      </c>
      <c r="G903" s="43" t="b">
        <v>0</v>
      </c>
      <c r="H903" s="44">
        <v>780</v>
      </c>
    </row>
    <row r="904" spans="1:8" x14ac:dyDescent="0.3">
      <c r="A904" s="42" t="s">
        <v>1113</v>
      </c>
      <c r="B904" s="3" t="s">
        <v>1855</v>
      </c>
      <c r="C904" s="4">
        <f t="shared" ca="1" si="36"/>
        <v>45606</v>
      </c>
      <c r="D904" s="4">
        <f ca="1">TODAY()-401</f>
        <v>45636</v>
      </c>
      <c r="E904" s="3" t="s">
        <v>1029</v>
      </c>
      <c r="F904" s="43" t="b">
        <v>1</v>
      </c>
      <c r="G904" s="43" t="b">
        <v>1</v>
      </c>
      <c r="H904" s="44">
        <v>1240</v>
      </c>
    </row>
    <row r="905" spans="1:8" x14ac:dyDescent="0.3">
      <c r="A905" s="42" t="s">
        <v>1188</v>
      </c>
      <c r="B905" s="3" t="s">
        <v>1275</v>
      </c>
      <c r="C905" s="4">
        <f t="shared" ca="1" si="36"/>
        <v>45606</v>
      </c>
      <c r="D905" s="4">
        <f ca="1">TODAY()-413</f>
        <v>45624</v>
      </c>
      <c r="E905" s="3" t="s">
        <v>1029</v>
      </c>
      <c r="F905" s="43" t="b">
        <v>1</v>
      </c>
      <c r="G905" s="43" t="b">
        <v>1</v>
      </c>
      <c r="H905" s="44">
        <v>20000</v>
      </c>
    </row>
    <row r="906" spans="1:8" x14ac:dyDescent="0.3">
      <c r="A906" s="42" t="s">
        <v>1458</v>
      </c>
      <c r="B906" s="3" t="s">
        <v>1610</v>
      </c>
      <c r="C906" s="4">
        <f t="shared" ca="1" si="36"/>
        <v>45606</v>
      </c>
      <c r="D906" s="4">
        <f ca="1">TODAY()-421</f>
        <v>45616</v>
      </c>
      <c r="E906" s="3" t="s">
        <v>1029</v>
      </c>
      <c r="F906" s="43" t="b">
        <v>1</v>
      </c>
      <c r="G906" s="43" t="b">
        <v>1</v>
      </c>
      <c r="H906" s="44">
        <v>2340</v>
      </c>
    </row>
    <row r="907" spans="1:8" x14ac:dyDescent="0.3">
      <c r="A907" s="42" t="s">
        <v>1095</v>
      </c>
      <c r="B907" s="3" t="s">
        <v>1395</v>
      </c>
      <c r="C907" s="4">
        <f t="shared" ca="1" si="36"/>
        <v>45606</v>
      </c>
      <c r="D907" s="4">
        <f ca="1">TODAY()-411</f>
        <v>45626</v>
      </c>
      <c r="E907" s="3" t="s">
        <v>1029</v>
      </c>
      <c r="F907" s="43" t="b">
        <v>1</v>
      </c>
      <c r="G907" s="43" t="b">
        <v>1</v>
      </c>
      <c r="H907" s="44">
        <v>440</v>
      </c>
    </row>
    <row r="908" spans="1:8" x14ac:dyDescent="0.3">
      <c r="A908" s="42" t="s">
        <v>1322</v>
      </c>
      <c r="B908" s="3" t="s">
        <v>1802</v>
      </c>
      <c r="C908" s="4">
        <f t="shared" ca="1" si="36"/>
        <v>45606</v>
      </c>
      <c r="D908" s="4">
        <f ca="1">TODAY()-401</f>
        <v>45636</v>
      </c>
      <c r="E908" s="3" t="s">
        <v>1029</v>
      </c>
      <c r="F908" s="43" t="b">
        <v>1</v>
      </c>
      <c r="G908" s="43" t="b">
        <v>1</v>
      </c>
      <c r="H908" s="44">
        <v>2470</v>
      </c>
    </row>
    <row r="909" spans="1:8" x14ac:dyDescent="0.3">
      <c r="A909" s="42" t="s">
        <v>1451</v>
      </c>
      <c r="B909" s="3" t="s">
        <v>1452</v>
      </c>
      <c r="C909" s="4">
        <f t="shared" ca="1" si="36"/>
        <v>45606</v>
      </c>
      <c r="D909" s="42"/>
      <c r="E909" s="3" t="s">
        <v>1108</v>
      </c>
      <c r="F909" s="43" t="b">
        <v>0</v>
      </c>
      <c r="G909" s="43" t="b">
        <v>0</v>
      </c>
      <c r="H909" s="44">
        <v>590</v>
      </c>
    </row>
    <row r="910" spans="1:8" x14ac:dyDescent="0.3">
      <c r="A910" s="42" t="s">
        <v>1155</v>
      </c>
      <c r="B910" s="3" t="s">
        <v>1156</v>
      </c>
      <c r="C910" s="4">
        <f t="shared" ca="1" si="36"/>
        <v>45606</v>
      </c>
      <c r="D910" s="4">
        <f ca="1">TODAY()-420</f>
        <v>45617</v>
      </c>
      <c r="E910" s="3" t="s">
        <v>1029</v>
      </c>
      <c r="F910" s="43" t="b">
        <v>1</v>
      </c>
      <c r="G910" s="43" t="b">
        <v>1</v>
      </c>
      <c r="H910" s="44">
        <v>1200</v>
      </c>
    </row>
    <row r="911" spans="1:8" x14ac:dyDescent="0.3">
      <c r="A911" s="42" t="s">
        <v>1583</v>
      </c>
      <c r="B911" s="3" t="s">
        <v>1584</v>
      </c>
      <c r="C911" s="4">
        <f t="shared" ca="1" si="36"/>
        <v>45606</v>
      </c>
      <c r="D911" s="4">
        <f ca="1">TODAY()-414</f>
        <v>45623</v>
      </c>
      <c r="E911" s="3" t="s">
        <v>1032</v>
      </c>
      <c r="F911" s="43" t="b">
        <v>1</v>
      </c>
      <c r="G911" s="43" t="b">
        <v>0</v>
      </c>
      <c r="H911" s="44">
        <v>1750</v>
      </c>
    </row>
    <row r="912" spans="1:8" x14ac:dyDescent="0.3">
      <c r="A912" s="42" t="s">
        <v>1564</v>
      </c>
      <c r="B912" s="3" t="s">
        <v>1586</v>
      </c>
      <c r="C912" s="4">
        <f t="shared" ca="1" si="36"/>
        <v>45606</v>
      </c>
      <c r="D912" s="4">
        <f ca="1">TODAY()-402</f>
        <v>45635</v>
      </c>
      <c r="E912" s="3" t="s">
        <v>1029</v>
      </c>
      <c r="F912" s="43" t="b">
        <v>1</v>
      </c>
      <c r="G912" s="43" t="b">
        <v>1</v>
      </c>
      <c r="H912" s="44">
        <v>2010</v>
      </c>
    </row>
    <row r="913" spans="1:8" x14ac:dyDescent="0.3">
      <c r="A913" s="42" t="s">
        <v>1865</v>
      </c>
      <c r="B913" s="3" t="s">
        <v>1866</v>
      </c>
      <c r="C913" s="4">
        <f t="shared" ca="1" si="36"/>
        <v>45606</v>
      </c>
      <c r="D913" s="4">
        <f ca="1">TODAY()-416</f>
        <v>45621</v>
      </c>
      <c r="E913" s="3" t="s">
        <v>1029</v>
      </c>
      <c r="F913" s="43" t="b">
        <v>1</v>
      </c>
      <c r="G913" s="43" t="b">
        <v>1</v>
      </c>
      <c r="H913" s="44">
        <v>2450</v>
      </c>
    </row>
    <row r="914" spans="1:8" x14ac:dyDescent="0.3">
      <c r="A914" s="42" t="s">
        <v>1157</v>
      </c>
      <c r="B914" s="3" t="s">
        <v>1651</v>
      </c>
      <c r="C914" s="4">
        <f t="shared" ca="1" si="36"/>
        <v>45606</v>
      </c>
      <c r="D914" s="4">
        <f ca="1">TODAY()-419</f>
        <v>45618</v>
      </c>
      <c r="E914" s="3" t="s">
        <v>1032</v>
      </c>
      <c r="F914" s="43" t="b">
        <v>1</v>
      </c>
      <c r="G914" s="43" t="b">
        <v>0</v>
      </c>
      <c r="H914" s="44">
        <v>630</v>
      </c>
    </row>
    <row r="915" spans="1:8" x14ac:dyDescent="0.3">
      <c r="A915" s="42" t="s">
        <v>1522</v>
      </c>
      <c r="B915" s="3" t="s">
        <v>1201</v>
      </c>
      <c r="C915" s="4">
        <f t="shared" ca="1" si="36"/>
        <v>45606</v>
      </c>
      <c r="D915" s="4">
        <f ca="1">TODAY()-421</f>
        <v>45616</v>
      </c>
      <c r="E915" s="3" t="s">
        <v>1029</v>
      </c>
      <c r="F915" s="43" t="b">
        <v>1</v>
      </c>
      <c r="G915" s="43" t="b">
        <v>1</v>
      </c>
      <c r="H915" s="44">
        <v>20000</v>
      </c>
    </row>
    <row r="916" spans="1:8" x14ac:dyDescent="0.3">
      <c r="A916" s="42" t="s">
        <v>1800</v>
      </c>
      <c r="B916" s="3" t="s">
        <v>1275</v>
      </c>
      <c r="C916" s="4">
        <f t="shared" ca="1" si="36"/>
        <v>45606</v>
      </c>
      <c r="D916" s="4">
        <f ca="1">TODAY()-401</f>
        <v>45636</v>
      </c>
      <c r="E916" s="3" t="s">
        <v>1029</v>
      </c>
      <c r="F916" s="43" t="b">
        <v>1</v>
      </c>
      <c r="G916" s="43" t="b">
        <v>1</v>
      </c>
      <c r="H916" s="44">
        <v>1290</v>
      </c>
    </row>
    <row r="917" spans="1:8" x14ac:dyDescent="0.3">
      <c r="A917" s="42" t="s">
        <v>1085</v>
      </c>
      <c r="B917" s="3" t="s">
        <v>1086</v>
      </c>
      <c r="C917" s="4">
        <f t="shared" ca="1" si="36"/>
        <v>45606</v>
      </c>
      <c r="D917" s="4">
        <f ca="1">TODAY()-407</f>
        <v>45630</v>
      </c>
      <c r="E917" s="3" t="s">
        <v>1029</v>
      </c>
      <c r="F917" s="43" t="b">
        <v>1</v>
      </c>
      <c r="G917" s="43" t="b">
        <v>1</v>
      </c>
      <c r="H917" s="44">
        <v>390</v>
      </c>
    </row>
    <row r="918" spans="1:8" x14ac:dyDescent="0.3">
      <c r="A918" s="42" t="s">
        <v>1867</v>
      </c>
      <c r="B918" s="3" t="s">
        <v>1868</v>
      </c>
      <c r="C918" s="4">
        <f t="shared" ca="1" si="36"/>
        <v>45606</v>
      </c>
      <c r="D918" s="4">
        <f ca="1">TODAY()-402</f>
        <v>45635</v>
      </c>
      <c r="E918" s="3" t="s">
        <v>1032</v>
      </c>
      <c r="F918" s="43" t="b">
        <v>1</v>
      </c>
      <c r="G918" s="43" t="b">
        <v>0</v>
      </c>
      <c r="H918" s="44">
        <v>390</v>
      </c>
    </row>
    <row r="919" spans="1:8" x14ac:dyDescent="0.3">
      <c r="A919" s="42" t="s">
        <v>1581</v>
      </c>
      <c r="B919" s="3" t="s">
        <v>1582</v>
      </c>
      <c r="C919" s="4">
        <f t="shared" ca="1" si="36"/>
        <v>45606</v>
      </c>
      <c r="D919" s="4">
        <f ca="1">TODAY()-418</f>
        <v>45619</v>
      </c>
      <c r="E919" s="3" t="s">
        <v>1032</v>
      </c>
      <c r="F919" s="43" t="b">
        <v>1</v>
      </c>
      <c r="G919" s="43" t="b">
        <v>0</v>
      </c>
      <c r="H919" s="44">
        <v>820</v>
      </c>
    </row>
    <row r="920" spans="1:8" x14ac:dyDescent="0.3">
      <c r="A920" s="42" t="s">
        <v>1411</v>
      </c>
      <c r="B920" s="3" t="s">
        <v>1412</v>
      </c>
      <c r="C920" s="4">
        <f t="shared" ca="1" si="36"/>
        <v>45606</v>
      </c>
      <c r="D920" s="4">
        <f ca="1">TODAY()-401</f>
        <v>45636</v>
      </c>
      <c r="E920" s="3" t="s">
        <v>1029</v>
      </c>
      <c r="F920" s="43" t="b">
        <v>1</v>
      </c>
      <c r="G920" s="43" t="b">
        <v>1</v>
      </c>
      <c r="H920" s="44">
        <v>980</v>
      </c>
    </row>
    <row r="921" spans="1:8" x14ac:dyDescent="0.3">
      <c r="A921" s="42" t="s">
        <v>1869</v>
      </c>
      <c r="B921" s="3" t="s">
        <v>1870</v>
      </c>
      <c r="C921" s="4">
        <f t="shared" ca="1" si="36"/>
        <v>45606</v>
      </c>
      <c r="D921" s="4">
        <f t="shared" ref="D921:D922" ca="1" si="37">TODAY()-406</f>
        <v>45631</v>
      </c>
      <c r="E921" s="3" t="s">
        <v>1032</v>
      </c>
      <c r="F921" s="43" t="b">
        <v>1</v>
      </c>
      <c r="G921" s="43" t="b">
        <v>0</v>
      </c>
      <c r="H921" s="44">
        <v>190</v>
      </c>
    </row>
    <row r="922" spans="1:8" x14ac:dyDescent="0.3">
      <c r="A922" s="42" t="s">
        <v>1356</v>
      </c>
      <c r="B922" s="3" t="s">
        <v>1871</v>
      </c>
      <c r="C922" s="4">
        <f t="shared" ca="1" si="36"/>
        <v>45606</v>
      </c>
      <c r="D922" s="4">
        <f t="shared" ca="1" si="37"/>
        <v>45631</v>
      </c>
      <c r="E922" s="3" t="s">
        <v>1029</v>
      </c>
      <c r="F922" s="43" t="b">
        <v>1</v>
      </c>
      <c r="G922" s="43" t="b">
        <v>1</v>
      </c>
      <c r="H922" s="44">
        <v>2200</v>
      </c>
    </row>
    <row r="923" spans="1:8" x14ac:dyDescent="0.3">
      <c r="A923" s="42" t="s">
        <v>1052</v>
      </c>
      <c r="B923" s="3" t="s">
        <v>1053</v>
      </c>
      <c r="C923" s="4">
        <f t="shared" ca="1" si="36"/>
        <v>45606</v>
      </c>
      <c r="D923" s="4">
        <f ca="1">TODAY()-421</f>
        <v>45616</v>
      </c>
      <c r="E923" s="3" t="s">
        <v>1032</v>
      </c>
      <c r="F923" s="43" t="b">
        <v>1</v>
      </c>
      <c r="G923" s="43" t="b">
        <v>0</v>
      </c>
      <c r="H923" s="44">
        <v>640</v>
      </c>
    </row>
    <row r="924" spans="1:8" x14ac:dyDescent="0.3">
      <c r="A924" s="42" t="s">
        <v>1285</v>
      </c>
      <c r="B924" s="3" t="s">
        <v>1201</v>
      </c>
      <c r="C924" s="4">
        <f t="shared" ca="1" si="36"/>
        <v>45606</v>
      </c>
      <c r="D924" s="4">
        <f ca="1">TODAY()-418</f>
        <v>45619</v>
      </c>
      <c r="E924" s="3" t="s">
        <v>1029</v>
      </c>
      <c r="F924" s="43" t="b">
        <v>1</v>
      </c>
      <c r="G924" s="43" t="b">
        <v>1</v>
      </c>
      <c r="H924" s="44">
        <v>1520</v>
      </c>
    </row>
    <row r="925" spans="1:8" x14ac:dyDescent="0.3">
      <c r="A925" s="42" t="s">
        <v>1188</v>
      </c>
      <c r="B925" s="3" t="s">
        <v>1275</v>
      </c>
      <c r="C925" s="4">
        <f t="shared" ca="1" si="36"/>
        <v>45606</v>
      </c>
      <c r="D925" s="4">
        <f ca="1">TODAY()-403</f>
        <v>45634</v>
      </c>
      <c r="E925" s="3" t="s">
        <v>1029</v>
      </c>
      <c r="F925" s="43" t="b">
        <v>1</v>
      </c>
      <c r="G925" s="43" t="b">
        <v>1</v>
      </c>
      <c r="H925" s="44">
        <v>20000</v>
      </c>
    </row>
    <row r="926" spans="1:8" x14ac:dyDescent="0.3">
      <c r="A926" s="42" t="s">
        <v>1644</v>
      </c>
      <c r="B926" s="3" t="s">
        <v>1645</v>
      </c>
      <c r="C926" s="4">
        <f t="shared" ca="1" si="36"/>
        <v>45606</v>
      </c>
      <c r="D926" s="4">
        <f ca="1">TODAY()-417</f>
        <v>45620</v>
      </c>
      <c r="E926" s="3" t="s">
        <v>1029</v>
      </c>
      <c r="F926" s="43" t="b">
        <v>1</v>
      </c>
      <c r="G926" s="43" t="b">
        <v>1</v>
      </c>
      <c r="H926" s="44">
        <v>2470</v>
      </c>
    </row>
    <row r="927" spans="1:8" x14ac:dyDescent="0.3">
      <c r="A927" s="42" t="s">
        <v>1872</v>
      </c>
      <c r="B927" s="3" t="s">
        <v>1873</v>
      </c>
      <c r="C927" s="4">
        <f t="shared" ca="1" si="36"/>
        <v>45606</v>
      </c>
      <c r="D927" s="4">
        <f ca="1">TODAY()-416</f>
        <v>45621</v>
      </c>
      <c r="E927" s="3" t="s">
        <v>1029</v>
      </c>
      <c r="F927" s="43" t="b">
        <v>1</v>
      </c>
      <c r="G927" s="43" t="b">
        <v>1</v>
      </c>
      <c r="H927" s="44">
        <v>2070</v>
      </c>
    </row>
    <row r="928" spans="1:8" x14ac:dyDescent="0.3">
      <c r="A928" s="42" t="s">
        <v>1646</v>
      </c>
      <c r="B928" s="3" t="s">
        <v>1114</v>
      </c>
      <c r="C928" s="4">
        <f t="shared" ca="1" si="36"/>
        <v>45606</v>
      </c>
      <c r="D928" s="4">
        <f ca="1">TODAY()-411</f>
        <v>45626</v>
      </c>
      <c r="E928" s="3" t="s">
        <v>1029</v>
      </c>
      <c r="F928" s="43" t="b">
        <v>1</v>
      </c>
      <c r="G928" s="43" t="b">
        <v>1</v>
      </c>
      <c r="H928" s="44">
        <v>650</v>
      </c>
    </row>
    <row r="929" spans="1:8" x14ac:dyDescent="0.3">
      <c r="A929" s="42" t="s">
        <v>1379</v>
      </c>
      <c r="B929" s="3" t="s">
        <v>1380</v>
      </c>
      <c r="C929" s="4">
        <f t="shared" ca="1" si="36"/>
        <v>45606</v>
      </c>
      <c r="D929" s="42"/>
      <c r="E929" s="3" t="s">
        <v>1037</v>
      </c>
      <c r="F929" s="43" t="b">
        <v>0</v>
      </c>
      <c r="G929" s="43" t="b">
        <v>0</v>
      </c>
      <c r="H929" s="44">
        <v>1910</v>
      </c>
    </row>
    <row r="930" spans="1:8" x14ac:dyDescent="0.3">
      <c r="A930" s="42" t="s">
        <v>1372</v>
      </c>
      <c r="B930" s="3" t="s">
        <v>1373</v>
      </c>
      <c r="C930" s="4">
        <f t="shared" ca="1" si="36"/>
        <v>45606</v>
      </c>
      <c r="D930" s="42"/>
      <c r="E930" s="3" t="s">
        <v>1101</v>
      </c>
      <c r="F930" s="43" t="b">
        <v>0</v>
      </c>
      <c r="G930" s="43" t="b">
        <v>0</v>
      </c>
      <c r="H930" s="44">
        <v>850</v>
      </c>
    </row>
    <row r="931" spans="1:8" x14ac:dyDescent="0.3">
      <c r="A931" s="42" t="s">
        <v>1095</v>
      </c>
      <c r="B931" s="3" t="s">
        <v>1096</v>
      </c>
      <c r="C931" s="4">
        <f t="shared" ca="1" si="36"/>
        <v>45606</v>
      </c>
      <c r="D931" s="42"/>
      <c r="E931" s="3" t="s">
        <v>1037</v>
      </c>
      <c r="F931" s="43" t="b">
        <v>0</v>
      </c>
      <c r="G931" s="43" t="b">
        <v>0</v>
      </c>
      <c r="H931" s="44">
        <v>1170</v>
      </c>
    </row>
    <row r="932" spans="1:8" x14ac:dyDescent="0.3">
      <c r="A932" s="42" t="s">
        <v>1626</v>
      </c>
      <c r="B932" s="3" t="s">
        <v>1874</v>
      </c>
      <c r="C932" s="4">
        <f t="shared" ca="1" si="36"/>
        <v>45606</v>
      </c>
      <c r="D932" s="4">
        <f ca="1">TODAY()-410</f>
        <v>45627</v>
      </c>
      <c r="E932" s="3" t="s">
        <v>1029</v>
      </c>
      <c r="F932" s="43" t="b">
        <v>1</v>
      </c>
      <c r="G932" s="43" t="b">
        <v>1</v>
      </c>
      <c r="H932" s="44">
        <v>1660</v>
      </c>
    </row>
    <row r="933" spans="1:8" x14ac:dyDescent="0.3">
      <c r="A933" s="42" t="s">
        <v>1772</v>
      </c>
      <c r="B933" s="3" t="s">
        <v>1773</v>
      </c>
      <c r="C933" s="4">
        <f t="shared" ca="1" si="36"/>
        <v>45606</v>
      </c>
      <c r="D933" s="4">
        <f ca="1">TODAY()-405</f>
        <v>45632</v>
      </c>
      <c r="E933" s="3" t="s">
        <v>1029</v>
      </c>
      <c r="F933" s="43" t="b">
        <v>1</v>
      </c>
      <c r="G933" s="43" t="b">
        <v>1</v>
      </c>
      <c r="H933" s="44">
        <v>1140</v>
      </c>
    </row>
    <row r="934" spans="1:8" x14ac:dyDescent="0.3">
      <c r="A934" s="42" t="s">
        <v>1492</v>
      </c>
      <c r="B934" s="3" t="s">
        <v>1493</v>
      </c>
      <c r="C934" s="4">
        <f t="shared" ca="1" si="36"/>
        <v>45606</v>
      </c>
      <c r="D934" s="42"/>
      <c r="E934" s="3" t="s">
        <v>1108</v>
      </c>
      <c r="F934" s="43" t="b">
        <v>0</v>
      </c>
      <c r="G934" s="43" t="b">
        <v>0</v>
      </c>
      <c r="H934" s="44">
        <v>1860</v>
      </c>
    </row>
    <row r="935" spans="1:8" x14ac:dyDescent="0.3">
      <c r="A935" s="42" t="s">
        <v>1200</v>
      </c>
      <c r="B935" s="3" t="s">
        <v>1875</v>
      </c>
      <c r="C935" s="4">
        <f t="shared" ca="1" si="36"/>
        <v>45606</v>
      </c>
      <c r="D935" s="42"/>
      <c r="E935" s="3" t="s">
        <v>1070</v>
      </c>
      <c r="F935" s="43" t="b">
        <v>0</v>
      </c>
      <c r="G935" s="43" t="b">
        <v>0</v>
      </c>
      <c r="H935" s="44">
        <v>740</v>
      </c>
    </row>
    <row r="936" spans="1:8" x14ac:dyDescent="0.3">
      <c r="A936" s="42" t="s">
        <v>1394</v>
      </c>
      <c r="B936" s="3" t="s">
        <v>1395</v>
      </c>
      <c r="C936" s="4">
        <f t="shared" ca="1" si="36"/>
        <v>45606</v>
      </c>
      <c r="D936" s="4">
        <f ca="1">TODAY()-409</f>
        <v>45628</v>
      </c>
      <c r="E936" s="3" t="s">
        <v>1029</v>
      </c>
      <c r="F936" s="43" t="b">
        <v>1</v>
      </c>
      <c r="G936" s="43" t="b">
        <v>1</v>
      </c>
      <c r="H936" s="44">
        <v>880</v>
      </c>
    </row>
    <row r="937" spans="1:8" x14ac:dyDescent="0.3">
      <c r="A937" s="42" t="s">
        <v>1104</v>
      </c>
      <c r="B937" s="3" t="s">
        <v>1789</v>
      </c>
      <c r="C937" s="4">
        <f t="shared" ca="1" si="36"/>
        <v>45606</v>
      </c>
      <c r="D937" s="4">
        <f ca="1">TODAY()-401</f>
        <v>45636</v>
      </c>
      <c r="E937" s="3" t="s">
        <v>1029</v>
      </c>
      <c r="F937" s="43" t="b">
        <v>1</v>
      </c>
      <c r="G937" s="43" t="b">
        <v>1</v>
      </c>
      <c r="H937" s="44">
        <v>2170</v>
      </c>
    </row>
    <row r="938" spans="1:8" x14ac:dyDescent="0.3">
      <c r="A938" s="42" t="s">
        <v>1066</v>
      </c>
      <c r="B938" s="3" t="s">
        <v>1384</v>
      </c>
      <c r="C938" s="4">
        <f t="shared" ca="1" si="36"/>
        <v>45606</v>
      </c>
      <c r="D938" s="42"/>
      <c r="E938" s="3" t="s">
        <v>1108</v>
      </c>
      <c r="F938" s="43" t="b">
        <v>0</v>
      </c>
      <c r="G938" s="43" t="b">
        <v>0</v>
      </c>
      <c r="H938" s="44">
        <v>1970</v>
      </c>
    </row>
    <row r="939" spans="1:8" x14ac:dyDescent="0.3">
      <c r="A939" s="42" t="s">
        <v>1405</v>
      </c>
      <c r="B939" s="3" t="s">
        <v>1707</v>
      </c>
      <c r="C939" s="4">
        <f t="shared" ca="1" si="36"/>
        <v>45606</v>
      </c>
      <c r="D939" s="4">
        <f ca="1">TODAY()-414</f>
        <v>45623</v>
      </c>
      <c r="E939" s="3" t="s">
        <v>1032</v>
      </c>
      <c r="F939" s="43" t="b">
        <v>1</v>
      </c>
      <c r="G939" s="43" t="b">
        <v>0</v>
      </c>
      <c r="H939" s="44">
        <v>2260</v>
      </c>
    </row>
    <row r="940" spans="1:8" x14ac:dyDescent="0.3">
      <c r="A940" s="42" t="s">
        <v>1194</v>
      </c>
      <c r="B940" s="3" t="s">
        <v>1275</v>
      </c>
      <c r="C940" s="4">
        <f t="shared" ca="1" si="36"/>
        <v>45606</v>
      </c>
      <c r="D940" s="4">
        <f ca="1">TODAY()-405</f>
        <v>45632</v>
      </c>
      <c r="E940" s="3" t="s">
        <v>1029</v>
      </c>
      <c r="F940" s="43" t="b">
        <v>1</v>
      </c>
      <c r="G940" s="43" t="b">
        <v>1</v>
      </c>
      <c r="H940" s="44">
        <v>1920</v>
      </c>
    </row>
    <row r="941" spans="1:8" x14ac:dyDescent="0.3">
      <c r="A941" s="42" t="s">
        <v>1462</v>
      </c>
      <c r="B941" s="3" t="s">
        <v>1463</v>
      </c>
      <c r="C941" s="4">
        <f t="shared" ca="1" si="36"/>
        <v>45606</v>
      </c>
      <c r="D941" s="4">
        <f ca="1">TODAY()-402</f>
        <v>45635</v>
      </c>
      <c r="E941" s="3" t="s">
        <v>1029</v>
      </c>
      <c r="F941" s="43" t="b">
        <v>1</v>
      </c>
      <c r="G941" s="43" t="b">
        <v>1</v>
      </c>
      <c r="H941" s="44">
        <v>2160</v>
      </c>
    </row>
    <row r="942" spans="1:8" x14ac:dyDescent="0.3">
      <c r="A942" s="42" t="s">
        <v>1876</v>
      </c>
      <c r="B942" s="3" t="s">
        <v>1877</v>
      </c>
      <c r="C942" s="4">
        <f t="shared" ca="1" si="36"/>
        <v>45606</v>
      </c>
      <c r="D942" s="4">
        <f t="shared" ref="D942:D943" ca="1" si="38">TODAY()-418</f>
        <v>45619</v>
      </c>
      <c r="E942" s="3" t="s">
        <v>1029</v>
      </c>
      <c r="F942" s="43" t="b">
        <v>1</v>
      </c>
      <c r="G942" s="43" t="b">
        <v>1</v>
      </c>
      <c r="H942" s="44">
        <v>310</v>
      </c>
    </row>
    <row r="943" spans="1:8" x14ac:dyDescent="0.3">
      <c r="A943" s="42" t="s">
        <v>1494</v>
      </c>
      <c r="B943" s="3" t="s">
        <v>1778</v>
      </c>
      <c r="C943" s="4">
        <f t="shared" ca="1" si="36"/>
        <v>45606</v>
      </c>
      <c r="D943" s="4">
        <f t="shared" ca="1" si="38"/>
        <v>45619</v>
      </c>
      <c r="E943" s="3" t="s">
        <v>1029</v>
      </c>
      <c r="F943" s="43" t="b">
        <v>1</v>
      </c>
      <c r="G943" s="43" t="b">
        <v>1</v>
      </c>
      <c r="H943" s="44">
        <v>2700</v>
      </c>
    </row>
    <row r="944" spans="1:8" x14ac:dyDescent="0.3">
      <c r="A944" s="42" t="s">
        <v>1512</v>
      </c>
      <c r="B944" s="3" t="s">
        <v>1513</v>
      </c>
      <c r="C944" s="4">
        <f t="shared" ca="1" si="36"/>
        <v>45606</v>
      </c>
      <c r="D944" s="4">
        <f ca="1">TODAY()-401</f>
        <v>45636</v>
      </c>
      <c r="E944" s="3" t="s">
        <v>1029</v>
      </c>
      <c r="F944" s="43" t="b">
        <v>1</v>
      </c>
      <c r="G944" s="43" t="b">
        <v>1</v>
      </c>
      <c r="H944" s="44">
        <v>530</v>
      </c>
    </row>
    <row r="945" spans="1:8" x14ac:dyDescent="0.3">
      <c r="A945" s="42" t="s">
        <v>1398</v>
      </c>
      <c r="B945" s="3" t="s">
        <v>1201</v>
      </c>
      <c r="C945" s="4">
        <f t="shared" ca="1" si="36"/>
        <v>45606</v>
      </c>
      <c r="D945" s="4">
        <f ca="1">TODAY()-407</f>
        <v>45630</v>
      </c>
      <c r="E945" s="3" t="s">
        <v>1029</v>
      </c>
      <c r="F945" s="43" t="b">
        <v>1</v>
      </c>
      <c r="G945" s="43" t="b">
        <v>1</v>
      </c>
      <c r="H945" s="44">
        <v>350</v>
      </c>
    </row>
    <row r="946" spans="1:8" x14ac:dyDescent="0.3">
      <c r="A946" s="42" t="s">
        <v>1433</v>
      </c>
      <c r="B946" s="3" t="s">
        <v>1136</v>
      </c>
      <c r="C946" s="4">
        <f t="shared" ca="1" si="36"/>
        <v>45606</v>
      </c>
      <c r="D946" s="4">
        <f ca="1">TODAY()-401</f>
        <v>45636</v>
      </c>
      <c r="E946" s="3" t="s">
        <v>1029</v>
      </c>
      <c r="F946" s="43" t="b">
        <v>1</v>
      </c>
      <c r="G946" s="43" t="b">
        <v>1</v>
      </c>
      <c r="H946" s="44">
        <v>1670</v>
      </c>
    </row>
    <row r="947" spans="1:8" x14ac:dyDescent="0.3">
      <c r="A947" s="42" t="s">
        <v>1878</v>
      </c>
      <c r="B947" s="3" t="s">
        <v>1879</v>
      </c>
      <c r="C947" s="4">
        <f t="shared" ca="1" si="36"/>
        <v>45606</v>
      </c>
      <c r="D947" s="4">
        <f ca="1">TODAY()-407</f>
        <v>45630</v>
      </c>
      <c r="E947" s="3" t="s">
        <v>1029</v>
      </c>
      <c r="F947" s="43" t="b">
        <v>1</v>
      </c>
      <c r="G947" s="43" t="b">
        <v>1</v>
      </c>
      <c r="H947" s="44">
        <v>270</v>
      </c>
    </row>
    <row r="948" spans="1:8" x14ac:dyDescent="0.3">
      <c r="A948" s="42" t="s">
        <v>1361</v>
      </c>
      <c r="B948" s="3" t="s">
        <v>1664</v>
      </c>
      <c r="C948" s="4">
        <f t="shared" ca="1" si="36"/>
        <v>45606</v>
      </c>
      <c r="D948" s="4">
        <f ca="1">TODAY()-416</f>
        <v>45621</v>
      </c>
      <c r="E948" s="3" t="s">
        <v>1029</v>
      </c>
      <c r="F948" s="43" t="b">
        <v>1</v>
      </c>
      <c r="G948" s="43" t="b">
        <v>1</v>
      </c>
      <c r="H948" s="44">
        <v>1990</v>
      </c>
    </row>
    <row r="949" spans="1:8" x14ac:dyDescent="0.3">
      <c r="A949" s="42" t="s">
        <v>1878</v>
      </c>
      <c r="B949" s="3" t="s">
        <v>1879</v>
      </c>
      <c r="C949" s="4">
        <f t="shared" ca="1" si="36"/>
        <v>45606</v>
      </c>
      <c r="D949" s="4">
        <f ca="1">TODAY()-412</f>
        <v>45625</v>
      </c>
      <c r="E949" s="3" t="s">
        <v>1029</v>
      </c>
      <c r="F949" s="43" t="b">
        <v>1</v>
      </c>
      <c r="G949" s="43" t="b">
        <v>1</v>
      </c>
      <c r="H949" s="44">
        <v>270</v>
      </c>
    </row>
    <row r="950" spans="1:8" x14ac:dyDescent="0.3">
      <c r="A950" s="42" t="s">
        <v>1054</v>
      </c>
      <c r="B950" s="3" t="s">
        <v>1055</v>
      </c>
      <c r="C950" s="4">
        <f t="shared" ca="1" si="36"/>
        <v>45606</v>
      </c>
      <c r="D950" s="4">
        <f ca="1">TODAY()-410</f>
        <v>45627</v>
      </c>
      <c r="E950" s="3" t="s">
        <v>1029</v>
      </c>
      <c r="F950" s="43" t="b">
        <v>1</v>
      </c>
      <c r="G950" s="43" t="b">
        <v>1</v>
      </c>
      <c r="H950" s="44">
        <v>6360</v>
      </c>
    </row>
    <row r="951" spans="1:8" x14ac:dyDescent="0.3">
      <c r="A951" s="42" t="s">
        <v>1649</v>
      </c>
      <c r="B951" s="3" t="s">
        <v>1880</v>
      </c>
      <c r="C951" s="4">
        <f t="shared" ca="1" si="36"/>
        <v>45606</v>
      </c>
      <c r="D951" s="4">
        <f ca="1">TODAY()-419</f>
        <v>45618</v>
      </c>
      <c r="E951" s="3" t="s">
        <v>1029</v>
      </c>
      <c r="F951" s="43" t="b">
        <v>1</v>
      </c>
      <c r="G951" s="43" t="b">
        <v>1</v>
      </c>
      <c r="H951" s="44">
        <v>1860</v>
      </c>
    </row>
    <row r="952" spans="1:8" x14ac:dyDescent="0.3">
      <c r="A952" s="42" t="s">
        <v>1401</v>
      </c>
      <c r="B952" s="3" t="s">
        <v>1402</v>
      </c>
      <c r="C952" s="4">
        <f t="shared" ca="1" si="36"/>
        <v>45606</v>
      </c>
      <c r="D952" s="42"/>
      <c r="E952" s="3" t="s">
        <v>1101</v>
      </c>
      <c r="F952" s="43" t="b">
        <v>0</v>
      </c>
      <c r="G952" s="43" t="b">
        <v>0</v>
      </c>
      <c r="H952" s="44">
        <v>780</v>
      </c>
    </row>
    <row r="953" spans="1:8" x14ac:dyDescent="0.3">
      <c r="A953" s="42" t="s">
        <v>1131</v>
      </c>
      <c r="B953" s="3" t="s">
        <v>1132</v>
      </c>
      <c r="C953" s="4">
        <f t="shared" ca="1" si="36"/>
        <v>45606</v>
      </c>
      <c r="D953" s="4">
        <f ca="1">TODAY()-406</f>
        <v>45631</v>
      </c>
      <c r="E953" s="3" t="s">
        <v>1029</v>
      </c>
      <c r="F953" s="43" t="b">
        <v>1</v>
      </c>
      <c r="G953" s="43" t="b">
        <v>1</v>
      </c>
      <c r="H953" s="44">
        <v>2250</v>
      </c>
    </row>
    <row r="954" spans="1:8" x14ac:dyDescent="0.3">
      <c r="A954" s="42" t="s">
        <v>1468</v>
      </c>
      <c r="B954" s="3" t="s">
        <v>1469</v>
      </c>
      <c r="C954" s="4">
        <f t="shared" ca="1" si="36"/>
        <v>45606</v>
      </c>
      <c r="D954" s="4">
        <f ca="1">TODAY()-415</f>
        <v>45622</v>
      </c>
      <c r="E954" s="3" t="s">
        <v>1029</v>
      </c>
      <c r="F954" s="43" t="b">
        <v>1</v>
      </c>
      <c r="G954" s="43" t="b">
        <v>1</v>
      </c>
      <c r="H954" s="44">
        <v>200</v>
      </c>
    </row>
    <row r="955" spans="1:8" x14ac:dyDescent="0.3">
      <c r="A955" s="42" t="s">
        <v>1821</v>
      </c>
      <c r="B955" s="3" t="s">
        <v>1881</v>
      </c>
      <c r="C955" s="4">
        <f t="shared" ca="1" si="36"/>
        <v>45606</v>
      </c>
      <c r="D955" s="4">
        <f ca="1">TODAY()-410</f>
        <v>45627</v>
      </c>
      <c r="E955" s="3" t="s">
        <v>1032</v>
      </c>
      <c r="F955" s="43" t="b">
        <v>1</v>
      </c>
      <c r="G955" s="43" t="b">
        <v>0</v>
      </c>
      <c r="H955" s="44">
        <v>1790</v>
      </c>
    </row>
    <row r="956" spans="1:8" x14ac:dyDescent="0.3">
      <c r="A956" s="42" t="s">
        <v>1111</v>
      </c>
      <c r="B956" s="3" t="s">
        <v>1112</v>
      </c>
      <c r="C956" s="4">
        <f t="shared" ca="1" si="36"/>
        <v>45606</v>
      </c>
      <c r="D956" s="4">
        <f ca="1">TODAY()-414</f>
        <v>45623</v>
      </c>
      <c r="E956" s="3" t="s">
        <v>1029</v>
      </c>
      <c r="F956" s="43" t="b">
        <v>1</v>
      </c>
      <c r="G956" s="43" t="b">
        <v>1</v>
      </c>
      <c r="H956" s="44">
        <v>2180</v>
      </c>
    </row>
    <row r="957" spans="1:8" x14ac:dyDescent="0.3">
      <c r="A957" s="42" t="s">
        <v>1137</v>
      </c>
      <c r="B957" s="3" t="s">
        <v>1882</v>
      </c>
      <c r="C957" s="4">
        <f t="shared" ca="1" si="36"/>
        <v>45606</v>
      </c>
      <c r="D957" s="42"/>
      <c r="E957" s="3" t="s">
        <v>1108</v>
      </c>
      <c r="F957" s="43" t="b">
        <v>0</v>
      </c>
      <c r="G957" s="43" t="b">
        <v>0</v>
      </c>
      <c r="H957" s="44">
        <v>1390</v>
      </c>
    </row>
    <row r="958" spans="1:8" x14ac:dyDescent="0.3">
      <c r="A958" s="42" t="s">
        <v>1256</v>
      </c>
      <c r="B958" s="3" t="s">
        <v>1639</v>
      </c>
      <c r="C958" s="4">
        <f t="shared" ca="1" si="36"/>
        <v>45606</v>
      </c>
      <c r="D958" s="4">
        <f ca="1">TODAY()-418</f>
        <v>45619</v>
      </c>
      <c r="E958" s="3" t="s">
        <v>1029</v>
      </c>
      <c r="F958" s="43" t="b">
        <v>1</v>
      </c>
      <c r="G958" s="43" t="b">
        <v>1</v>
      </c>
      <c r="H958" s="44">
        <v>2000</v>
      </c>
    </row>
    <row r="959" spans="1:8" x14ac:dyDescent="0.3">
      <c r="A959" s="42" t="s">
        <v>1312</v>
      </c>
      <c r="B959" s="3" t="s">
        <v>1707</v>
      </c>
      <c r="C959" s="4">
        <f t="shared" ca="1" si="36"/>
        <v>45606</v>
      </c>
      <c r="D959" s="42"/>
      <c r="E959" s="3" t="s">
        <v>1101</v>
      </c>
      <c r="F959" s="43" t="b">
        <v>0</v>
      </c>
      <c r="G959" s="43" t="b">
        <v>0</v>
      </c>
      <c r="H959" s="44">
        <v>770</v>
      </c>
    </row>
    <row r="960" spans="1:8" x14ac:dyDescent="0.3">
      <c r="A960" s="42" t="s">
        <v>1630</v>
      </c>
      <c r="B960" s="3" t="s">
        <v>1631</v>
      </c>
      <c r="C960" s="4">
        <f t="shared" ca="1" si="36"/>
        <v>45606</v>
      </c>
      <c r="D960" s="4">
        <f ca="1">TODAY()-419</f>
        <v>45618</v>
      </c>
      <c r="E960" s="3" t="s">
        <v>1029</v>
      </c>
      <c r="F960" s="43" t="b">
        <v>1</v>
      </c>
      <c r="G960" s="43" t="b">
        <v>1</v>
      </c>
      <c r="H960" s="44">
        <v>1270</v>
      </c>
    </row>
    <row r="961" spans="1:8" x14ac:dyDescent="0.3">
      <c r="A961" s="42" t="s">
        <v>1524</v>
      </c>
      <c r="B961" s="3" t="s">
        <v>1574</v>
      </c>
      <c r="C961" s="4">
        <f t="shared" ca="1" si="36"/>
        <v>45606</v>
      </c>
      <c r="D961" s="4">
        <f ca="1">TODAY()-414</f>
        <v>45623</v>
      </c>
      <c r="E961" s="3" t="s">
        <v>1029</v>
      </c>
      <c r="F961" s="43" t="b">
        <v>1</v>
      </c>
      <c r="G961" s="43" t="b">
        <v>1</v>
      </c>
      <c r="H961" s="44">
        <v>530</v>
      </c>
    </row>
    <row r="962" spans="1:8" x14ac:dyDescent="0.3">
      <c r="A962" s="42" t="s">
        <v>1472</v>
      </c>
      <c r="B962" s="3" t="s">
        <v>1400</v>
      </c>
      <c r="C962" s="4">
        <f t="shared" ca="1" si="36"/>
        <v>45606</v>
      </c>
      <c r="D962" s="42"/>
      <c r="E962" s="3" t="s">
        <v>1108</v>
      </c>
      <c r="F962" s="43" t="b">
        <v>0</v>
      </c>
      <c r="G962" s="43" t="b">
        <v>0</v>
      </c>
      <c r="H962" s="44">
        <v>1530</v>
      </c>
    </row>
    <row r="963" spans="1:8" x14ac:dyDescent="0.3">
      <c r="A963" s="42" t="s">
        <v>1652</v>
      </c>
      <c r="B963" s="3" t="s">
        <v>1752</v>
      </c>
      <c r="C963" s="4">
        <f t="shared" ca="1" si="36"/>
        <v>45606</v>
      </c>
      <c r="D963" s="42"/>
      <c r="E963" s="3" t="s">
        <v>1101</v>
      </c>
      <c r="F963" s="43" t="b">
        <v>0</v>
      </c>
      <c r="G963" s="43" t="b">
        <v>0</v>
      </c>
      <c r="H963" s="44">
        <v>560</v>
      </c>
    </row>
    <row r="964" spans="1:8" x14ac:dyDescent="0.3">
      <c r="A964" s="42" t="s">
        <v>1640</v>
      </c>
      <c r="B964" s="3" t="s">
        <v>1641</v>
      </c>
      <c r="C964" s="4">
        <f t="shared" ca="1" si="36"/>
        <v>45606</v>
      </c>
      <c r="D964" s="4">
        <f ca="1">TODAY()-419</f>
        <v>45618</v>
      </c>
      <c r="E964" s="3" t="s">
        <v>1029</v>
      </c>
      <c r="F964" s="43" t="b">
        <v>1</v>
      </c>
      <c r="G964" s="43" t="b">
        <v>1</v>
      </c>
      <c r="H964" s="44">
        <v>5250</v>
      </c>
    </row>
    <row r="965" spans="1:8" x14ac:dyDescent="0.3">
      <c r="A965" s="42" t="s">
        <v>1616</v>
      </c>
      <c r="B965" s="3" t="s">
        <v>1617</v>
      </c>
      <c r="C965" s="4">
        <f t="shared" ca="1" si="36"/>
        <v>45606</v>
      </c>
      <c r="D965" s="4">
        <f ca="1">TODAY()-416</f>
        <v>45621</v>
      </c>
      <c r="E965" s="3" t="s">
        <v>1032</v>
      </c>
      <c r="F965" s="43" t="b">
        <v>1</v>
      </c>
      <c r="G965" s="43" t="b">
        <v>0</v>
      </c>
      <c r="H965" s="44">
        <v>1810</v>
      </c>
    </row>
    <row r="966" spans="1:8" x14ac:dyDescent="0.3">
      <c r="A966" s="42" t="s">
        <v>1237</v>
      </c>
      <c r="B966" s="3" t="s">
        <v>1201</v>
      </c>
      <c r="C966" s="4">
        <f t="shared" ca="1" si="36"/>
        <v>45606</v>
      </c>
      <c r="D966" s="4">
        <f ca="1">TODAY()-420</f>
        <v>45617</v>
      </c>
      <c r="E966" s="3" t="s">
        <v>1032</v>
      </c>
      <c r="F966" s="43" t="b">
        <v>1</v>
      </c>
      <c r="G966" s="43" t="b">
        <v>0</v>
      </c>
      <c r="H966" s="44">
        <v>510</v>
      </c>
    </row>
    <row r="967" spans="1:8" x14ac:dyDescent="0.3">
      <c r="A967" s="42" t="s">
        <v>1816</v>
      </c>
      <c r="B967" s="3" t="s">
        <v>1241</v>
      </c>
      <c r="C967" s="4">
        <f t="shared" ca="1" si="36"/>
        <v>45606</v>
      </c>
      <c r="D967" s="4">
        <f ca="1">TODAY()-403</f>
        <v>45634</v>
      </c>
      <c r="E967" s="3" t="s">
        <v>1032</v>
      </c>
      <c r="F967" s="43" t="b">
        <v>1</v>
      </c>
      <c r="G967" s="43" t="b">
        <v>0</v>
      </c>
      <c r="H967" s="44">
        <v>210</v>
      </c>
    </row>
    <row r="968" spans="1:8" x14ac:dyDescent="0.3">
      <c r="A968" s="42" t="s">
        <v>1209</v>
      </c>
      <c r="B968" s="3" t="s">
        <v>1528</v>
      </c>
      <c r="C968" s="4">
        <f t="shared" ca="1" si="36"/>
        <v>45606</v>
      </c>
      <c r="D968" s="4">
        <f ca="1">TODAY()-420</f>
        <v>45617</v>
      </c>
      <c r="E968" s="3" t="s">
        <v>1029</v>
      </c>
      <c r="F968" s="43" t="b">
        <v>1</v>
      </c>
      <c r="G968" s="43" t="b">
        <v>1</v>
      </c>
      <c r="H968" s="44">
        <v>2080</v>
      </c>
    </row>
    <row r="969" spans="1:8" x14ac:dyDescent="0.3">
      <c r="A969" s="42" t="s">
        <v>1354</v>
      </c>
      <c r="B969" s="3" t="s">
        <v>1355</v>
      </c>
      <c r="C969" s="4">
        <f t="shared" ca="1" si="36"/>
        <v>45606</v>
      </c>
      <c r="D969" s="4">
        <f ca="1">TODAY()-404</f>
        <v>45633</v>
      </c>
      <c r="E969" s="3" t="s">
        <v>1029</v>
      </c>
      <c r="F969" s="43" t="b">
        <v>1</v>
      </c>
      <c r="G969" s="43" t="b">
        <v>1</v>
      </c>
      <c r="H969" s="44">
        <v>190</v>
      </c>
    </row>
    <row r="970" spans="1:8" x14ac:dyDescent="0.3">
      <c r="A970" s="42" t="s">
        <v>1035</v>
      </c>
      <c r="B970" s="3" t="s">
        <v>1222</v>
      </c>
      <c r="C970" s="4">
        <f t="shared" ca="1" si="36"/>
        <v>45606</v>
      </c>
      <c r="D970" s="4">
        <f ca="1">TODAY()-411</f>
        <v>45626</v>
      </c>
      <c r="E970" s="3" t="s">
        <v>1029</v>
      </c>
      <c r="F970" s="43" t="b">
        <v>1</v>
      </c>
      <c r="G970" s="43" t="b">
        <v>1</v>
      </c>
      <c r="H970" s="44">
        <v>5400</v>
      </c>
    </row>
    <row r="971" spans="1:8" x14ac:dyDescent="0.3">
      <c r="A971" s="42" t="s">
        <v>1075</v>
      </c>
      <c r="B971" s="3" t="s">
        <v>1425</v>
      </c>
      <c r="C971" s="4">
        <f t="shared" ca="1" si="36"/>
        <v>45606</v>
      </c>
      <c r="D971" s="4">
        <f ca="1">TODAY()-403</f>
        <v>45634</v>
      </c>
      <c r="E971" s="3" t="s">
        <v>1029</v>
      </c>
      <c r="F971" s="43" t="b">
        <v>1</v>
      </c>
      <c r="G971" s="43" t="b">
        <v>1</v>
      </c>
      <c r="H971" s="44">
        <v>2100</v>
      </c>
    </row>
    <row r="972" spans="1:8" x14ac:dyDescent="0.3">
      <c r="A972" s="42" t="s">
        <v>1264</v>
      </c>
      <c r="B972" s="3" t="s">
        <v>1663</v>
      </c>
      <c r="C972" s="4">
        <f t="shared" ca="1" si="36"/>
        <v>45606</v>
      </c>
      <c r="D972" s="4">
        <f ca="1">TODAY()-401</f>
        <v>45636</v>
      </c>
      <c r="E972" s="3" t="s">
        <v>1032</v>
      </c>
      <c r="F972" s="43" t="b">
        <v>1</v>
      </c>
      <c r="G972" s="43" t="b">
        <v>0</v>
      </c>
      <c r="H972" s="44">
        <v>2080</v>
      </c>
    </row>
    <row r="973" spans="1:8" x14ac:dyDescent="0.3">
      <c r="A973" s="42" t="s">
        <v>1262</v>
      </c>
      <c r="B973" s="3" t="s">
        <v>1573</v>
      </c>
      <c r="C973" s="4">
        <f t="shared" ca="1" si="36"/>
        <v>45606</v>
      </c>
      <c r="D973" s="4">
        <f ca="1">TODAY()-408</f>
        <v>45629</v>
      </c>
      <c r="E973" s="3" t="s">
        <v>1029</v>
      </c>
      <c r="F973" s="43" t="b">
        <v>1</v>
      </c>
      <c r="G973" s="43" t="b">
        <v>1</v>
      </c>
      <c r="H973" s="44">
        <v>1120</v>
      </c>
    </row>
    <row r="974" spans="1:8" x14ac:dyDescent="0.3">
      <c r="A974" s="42" t="s">
        <v>1735</v>
      </c>
      <c r="B974" s="3" t="s">
        <v>1736</v>
      </c>
      <c r="C974" s="4">
        <f t="shared" ca="1" si="36"/>
        <v>45606</v>
      </c>
      <c r="D974" s="4">
        <f ca="1">TODAY()-401</f>
        <v>45636</v>
      </c>
      <c r="E974" s="3" t="s">
        <v>1032</v>
      </c>
      <c r="F974" s="43" t="b">
        <v>1</v>
      </c>
      <c r="G974" s="43" t="b">
        <v>0</v>
      </c>
      <c r="H974" s="44">
        <v>1300</v>
      </c>
    </row>
    <row r="975" spans="1:8" x14ac:dyDescent="0.3">
      <c r="A975" s="42" t="s">
        <v>1635</v>
      </c>
      <c r="B975" s="3" t="s">
        <v>1883</v>
      </c>
      <c r="C975" s="4">
        <f t="shared" ca="1" si="36"/>
        <v>45606</v>
      </c>
      <c r="D975" s="4">
        <f ca="1">TODAY()-407</f>
        <v>45630</v>
      </c>
      <c r="E975" s="3" t="s">
        <v>1032</v>
      </c>
      <c r="F975" s="43" t="b">
        <v>1</v>
      </c>
      <c r="G975" s="43" t="b">
        <v>0</v>
      </c>
      <c r="H975" s="44">
        <v>1370</v>
      </c>
    </row>
    <row r="976" spans="1:8" x14ac:dyDescent="0.3">
      <c r="A976" s="42" t="s">
        <v>1332</v>
      </c>
      <c r="B976" s="3" t="s">
        <v>1501</v>
      </c>
      <c r="C976" s="4">
        <f t="shared" ca="1" si="36"/>
        <v>45606</v>
      </c>
      <c r="D976" s="42"/>
      <c r="E976" s="3" t="s">
        <v>1101</v>
      </c>
      <c r="F976" s="43" t="b">
        <v>0</v>
      </c>
      <c r="G976" s="43" t="b">
        <v>0</v>
      </c>
      <c r="H976" s="44">
        <v>550</v>
      </c>
    </row>
    <row r="977" spans="1:8" x14ac:dyDescent="0.3">
      <c r="A977" s="42" t="s">
        <v>1242</v>
      </c>
      <c r="B977" s="3" t="s">
        <v>1243</v>
      </c>
      <c r="C977" s="4">
        <f t="shared" ca="1" si="36"/>
        <v>45606</v>
      </c>
      <c r="D977" s="4">
        <f ca="1">TODAY()-410</f>
        <v>45627</v>
      </c>
      <c r="E977" s="3" t="s">
        <v>1029</v>
      </c>
      <c r="F977" s="43" t="b">
        <v>1</v>
      </c>
      <c r="G977" s="43" t="b">
        <v>1</v>
      </c>
      <c r="H977" s="44">
        <v>1420</v>
      </c>
    </row>
    <row r="978" spans="1:8" x14ac:dyDescent="0.3">
      <c r="A978" s="42" t="s">
        <v>1277</v>
      </c>
      <c r="B978" s="3" t="s">
        <v>1844</v>
      </c>
      <c r="C978" s="4">
        <f t="shared" ca="1" si="36"/>
        <v>45606</v>
      </c>
      <c r="D978" s="42"/>
      <c r="E978" s="3" t="s">
        <v>1037</v>
      </c>
      <c r="F978" s="43" t="b">
        <v>0</v>
      </c>
      <c r="G978" s="43" t="b">
        <v>0</v>
      </c>
      <c r="H978" s="44">
        <v>1710</v>
      </c>
    </row>
    <row r="979" spans="1:8" x14ac:dyDescent="0.3">
      <c r="A979" s="42" t="s">
        <v>1221</v>
      </c>
      <c r="B979" s="3" t="s">
        <v>1514</v>
      </c>
      <c r="C979" s="4">
        <f t="shared" ca="1" si="36"/>
        <v>45606</v>
      </c>
      <c r="D979" s="42"/>
      <c r="E979" s="3" t="s">
        <v>1103</v>
      </c>
      <c r="F979" s="43" t="b">
        <v>0</v>
      </c>
      <c r="G979" s="43" t="b">
        <v>0</v>
      </c>
      <c r="H979" s="44">
        <v>1690</v>
      </c>
    </row>
    <row r="980" spans="1:8" x14ac:dyDescent="0.3">
      <c r="A980" s="42" t="s">
        <v>1300</v>
      </c>
      <c r="B980" s="3" t="s">
        <v>1301</v>
      </c>
      <c r="C980" s="4">
        <f t="shared" ca="1" si="36"/>
        <v>45606</v>
      </c>
      <c r="D980" s="4">
        <f ca="1">TODAY()-404</f>
        <v>45633</v>
      </c>
      <c r="E980" s="3" t="s">
        <v>1029</v>
      </c>
      <c r="F980" s="43" t="b">
        <v>1</v>
      </c>
      <c r="G980" s="43" t="b">
        <v>1</v>
      </c>
      <c r="H980" s="44">
        <v>2040</v>
      </c>
    </row>
    <row r="981" spans="1:8" x14ac:dyDescent="0.3">
      <c r="A981" s="42" t="s">
        <v>1593</v>
      </c>
      <c r="B981" s="3" t="s">
        <v>1293</v>
      </c>
      <c r="C981" s="4">
        <f t="shared" ca="1" si="36"/>
        <v>45606</v>
      </c>
      <c r="D981" s="42"/>
      <c r="E981" s="3" t="s">
        <v>1108</v>
      </c>
      <c r="F981" s="43" t="b">
        <v>0</v>
      </c>
      <c r="G981" s="43" t="b">
        <v>0</v>
      </c>
      <c r="H981" s="44">
        <v>430</v>
      </c>
    </row>
    <row r="982" spans="1:8" x14ac:dyDescent="0.3">
      <c r="A982" s="42" t="s">
        <v>1066</v>
      </c>
      <c r="B982" s="3" t="s">
        <v>1067</v>
      </c>
      <c r="C982" s="4">
        <f t="shared" ca="1" si="36"/>
        <v>45606</v>
      </c>
      <c r="D982" s="4">
        <f ca="1">TODAY()-403</f>
        <v>45634</v>
      </c>
      <c r="E982" s="3" t="s">
        <v>1029</v>
      </c>
      <c r="F982" s="43" t="b">
        <v>1</v>
      </c>
      <c r="G982" s="43" t="b">
        <v>1</v>
      </c>
      <c r="H982" s="44">
        <v>820</v>
      </c>
    </row>
    <row r="983" spans="1:8" x14ac:dyDescent="0.3">
      <c r="A983" s="42" t="s">
        <v>1417</v>
      </c>
      <c r="B983" s="3" t="s">
        <v>1418</v>
      </c>
      <c r="C983" s="4">
        <f t="shared" ca="1" si="36"/>
        <v>45606</v>
      </c>
      <c r="D983" s="42"/>
      <c r="E983" s="3" t="s">
        <v>1077</v>
      </c>
      <c r="F983" s="43" t="b">
        <v>0</v>
      </c>
      <c r="G983" s="43" t="b">
        <v>0</v>
      </c>
      <c r="H983" s="44">
        <v>2270</v>
      </c>
    </row>
    <row r="984" spans="1:8" x14ac:dyDescent="0.3">
      <c r="A984" s="42" t="s">
        <v>1143</v>
      </c>
      <c r="B984" s="3" t="s">
        <v>1413</v>
      </c>
      <c r="C984" s="4">
        <f t="shared" ca="1" si="36"/>
        <v>45606</v>
      </c>
      <c r="D984" s="4">
        <f ca="1">TODAY()-421</f>
        <v>45616</v>
      </c>
      <c r="E984" s="3" t="s">
        <v>1029</v>
      </c>
      <c r="F984" s="43" t="b">
        <v>1</v>
      </c>
      <c r="G984" s="43" t="b">
        <v>1</v>
      </c>
      <c r="H984" s="44">
        <v>1470</v>
      </c>
    </row>
    <row r="985" spans="1:8" x14ac:dyDescent="0.3">
      <c r="A985" s="42" t="s">
        <v>1884</v>
      </c>
      <c r="B985" s="3" t="s">
        <v>1885</v>
      </c>
      <c r="C985" s="4">
        <f t="shared" ca="1" si="36"/>
        <v>45606</v>
      </c>
      <c r="D985" s="4">
        <f ca="1">TODAY()-412</f>
        <v>45625</v>
      </c>
      <c r="E985" s="3" t="s">
        <v>1032</v>
      </c>
      <c r="F985" s="43" t="b">
        <v>1</v>
      </c>
      <c r="G985" s="43" t="b">
        <v>0</v>
      </c>
      <c r="H985" s="44">
        <v>380</v>
      </c>
    </row>
    <row r="986" spans="1:8" x14ac:dyDescent="0.3">
      <c r="A986" s="42" t="s">
        <v>1478</v>
      </c>
      <c r="B986" s="3" t="s">
        <v>1479</v>
      </c>
      <c r="C986" s="4">
        <f t="shared" ca="1" si="36"/>
        <v>45606</v>
      </c>
      <c r="D986" s="4">
        <f ca="1">TODAY()-421</f>
        <v>45616</v>
      </c>
      <c r="E986" s="3" t="s">
        <v>1032</v>
      </c>
      <c r="F986" s="43" t="b">
        <v>1</v>
      </c>
      <c r="G986" s="43" t="b">
        <v>0</v>
      </c>
      <c r="H986" s="44">
        <v>2010</v>
      </c>
    </row>
    <row r="987" spans="1:8" x14ac:dyDescent="0.3">
      <c r="A987" s="42" t="s">
        <v>1304</v>
      </c>
      <c r="B987" s="3" t="s">
        <v>1222</v>
      </c>
      <c r="C987" s="4">
        <f t="shared" ca="1" si="36"/>
        <v>45606</v>
      </c>
      <c r="D987" s="4">
        <f ca="1">TODAY()-419</f>
        <v>45618</v>
      </c>
      <c r="E987" s="3" t="s">
        <v>1029</v>
      </c>
      <c r="F987" s="43" t="b">
        <v>1</v>
      </c>
      <c r="G987" s="43" t="b">
        <v>1</v>
      </c>
      <c r="H987" s="44">
        <v>3370</v>
      </c>
    </row>
    <row r="988" spans="1:8" x14ac:dyDescent="0.3">
      <c r="A988" s="42" t="s">
        <v>1821</v>
      </c>
      <c r="B988" s="3" t="s">
        <v>1881</v>
      </c>
      <c r="C988" s="4">
        <f t="shared" ca="1" si="36"/>
        <v>45606</v>
      </c>
      <c r="D988" s="4">
        <f ca="1">TODAY()-412</f>
        <v>45625</v>
      </c>
      <c r="E988" s="3" t="s">
        <v>1032</v>
      </c>
      <c r="F988" s="43" t="b">
        <v>1</v>
      </c>
      <c r="G988" s="43" t="b">
        <v>0</v>
      </c>
      <c r="H988" s="44">
        <v>1790</v>
      </c>
    </row>
    <row r="989" spans="1:8" x14ac:dyDescent="0.3">
      <c r="A989" s="42" t="s">
        <v>1344</v>
      </c>
      <c r="B989" s="3" t="s">
        <v>1345</v>
      </c>
      <c r="C989" s="4">
        <f t="shared" ca="1" si="36"/>
        <v>45606</v>
      </c>
      <c r="D989" s="4">
        <f ca="1">TODAY()-416</f>
        <v>45621</v>
      </c>
      <c r="E989" s="3" t="s">
        <v>1032</v>
      </c>
      <c r="F989" s="43" t="b">
        <v>1</v>
      </c>
      <c r="G989" s="43" t="b">
        <v>0</v>
      </c>
      <c r="H989" s="44">
        <v>890</v>
      </c>
    </row>
    <row r="990" spans="1:8" x14ac:dyDescent="0.3">
      <c r="A990" s="42" t="s">
        <v>1368</v>
      </c>
      <c r="B990" s="3" t="s">
        <v>1369</v>
      </c>
      <c r="C990" s="4">
        <f t="shared" ca="1" si="36"/>
        <v>45606</v>
      </c>
      <c r="D990" s="42"/>
      <c r="E990" s="3" t="s">
        <v>1070</v>
      </c>
      <c r="F990" s="43" t="b">
        <v>0</v>
      </c>
      <c r="G990" s="43" t="b">
        <v>0</v>
      </c>
      <c r="H990" s="44">
        <v>530</v>
      </c>
    </row>
    <row r="991" spans="1:8" x14ac:dyDescent="0.3">
      <c r="A991" s="42" t="s">
        <v>1342</v>
      </c>
      <c r="B991" s="3" t="s">
        <v>1803</v>
      </c>
      <c r="C991" s="4">
        <f t="shared" ca="1" si="36"/>
        <v>45606</v>
      </c>
      <c r="D991" s="4">
        <f ca="1">TODAY()-405</f>
        <v>45632</v>
      </c>
      <c r="E991" s="3" t="s">
        <v>1029</v>
      </c>
      <c r="F991" s="43" t="b">
        <v>1</v>
      </c>
      <c r="G991" s="43" t="b">
        <v>1</v>
      </c>
      <c r="H991" s="44">
        <v>230</v>
      </c>
    </row>
    <row r="992" spans="1:8" x14ac:dyDescent="0.3">
      <c r="A992" s="42" t="s">
        <v>1350</v>
      </c>
      <c r="B992" s="3" t="s">
        <v>1351</v>
      </c>
      <c r="C992" s="4">
        <f t="shared" ca="1" si="36"/>
        <v>45606</v>
      </c>
      <c r="D992" s="4">
        <f ca="1">TODAY()-406</f>
        <v>45631</v>
      </c>
      <c r="E992" s="3" t="s">
        <v>1029</v>
      </c>
      <c r="F992" s="43" t="b">
        <v>1</v>
      </c>
      <c r="G992" s="43" t="b">
        <v>1</v>
      </c>
      <c r="H992" s="44">
        <v>1030</v>
      </c>
    </row>
    <row r="993" spans="1:8" x14ac:dyDescent="0.3">
      <c r="A993" s="42" t="s">
        <v>1503</v>
      </c>
      <c r="B993" s="3" t="s">
        <v>1684</v>
      </c>
      <c r="C993" s="4">
        <f t="shared" ca="1" si="36"/>
        <v>45606</v>
      </c>
      <c r="D993" s="4">
        <f ca="1">TODAY()-401</f>
        <v>45636</v>
      </c>
      <c r="E993" s="3" t="s">
        <v>1032</v>
      </c>
      <c r="F993" s="43" t="b">
        <v>1</v>
      </c>
      <c r="G993" s="43" t="b">
        <v>0</v>
      </c>
      <c r="H993" s="44">
        <v>1470</v>
      </c>
    </row>
    <row r="994" spans="1:8" x14ac:dyDescent="0.3">
      <c r="A994" s="42" t="s">
        <v>1821</v>
      </c>
      <c r="B994" s="3" t="s">
        <v>1363</v>
      </c>
      <c r="C994" s="4">
        <f t="shared" ca="1" si="36"/>
        <v>45606</v>
      </c>
      <c r="D994" s="4">
        <f ca="1">TODAY()-403</f>
        <v>45634</v>
      </c>
      <c r="E994" s="3" t="s">
        <v>1032</v>
      </c>
      <c r="F994" s="43" t="b">
        <v>1</v>
      </c>
      <c r="G994" s="43" t="b">
        <v>0</v>
      </c>
      <c r="H994" s="44">
        <v>1010</v>
      </c>
    </row>
    <row r="995" spans="1:8" x14ac:dyDescent="0.3">
      <c r="A995" s="42" t="s">
        <v>1227</v>
      </c>
      <c r="B995" s="3" t="s">
        <v>1275</v>
      </c>
      <c r="C995" s="4">
        <f t="shared" ca="1" si="36"/>
        <v>45606</v>
      </c>
      <c r="D995" s="4">
        <f ca="1">TODAY()-418</f>
        <v>45619</v>
      </c>
      <c r="E995" s="3" t="s">
        <v>1032</v>
      </c>
      <c r="F995" s="43" t="b">
        <v>1</v>
      </c>
      <c r="G995" s="43" t="b">
        <v>0</v>
      </c>
      <c r="H995" s="44">
        <v>970</v>
      </c>
    </row>
    <row r="996" spans="1:8" x14ac:dyDescent="0.3">
      <c r="A996" s="42" t="s">
        <v>1439</v>
      </c>
      <c r="B996" s="3" t="s">
        <v>1440</v>
      </c>
      <c r="C996" s="4">
        <f t="shared" ca="1" si="36"/>
        <v>45606</v>
      </c>
      <c r="D996" s="4">
        <f ca="1">TODAY()-413</f>
        <v>45624</v>
      </c>
      <c r="E996" s="3" t="s">
        <v>1029</v>
      </c>
      <c r="F996" s="43" t="b">
        <v>1</v>
      </c>
      <c r="G996" s="43" t="b">
        <v>1</v>
      </c>
      <c r="H996" s="44">
        <v>930</v>
      </c>
    </row>
    <row r="997" spans="1:8" x14ac:dyDescent="0.3">
      <c r="A997" s="42" t="s">
        <v>1186</v>
      </c>
      <c r="B997" s="3" t="s">
        <v>1886</v>
      </c>
      <c r="C997" s="4">
        <f t="shared" ca="1" si="36"/>
        <v>45606</v>
      </c>
      <c r="D997" s="42"/>
      <c r="E997" s="3" t="s">
        <v>1101</v>
      </c>
      <c r="F997" s="43" t="b">
        <v>0</v>
      </c>
      <c r="G997" s="43" t="b">
        <v>0</v>
      </c>
      <c r="H997" s="44">
        <v>250</v>
      </c>
    </row>
    <row r="998" spans="1:8" x14ac:dyDescent="0.3">
      <c r="A998" s="42" t="s">
        <v>1642</v>
      </c>
      <c r="B998" s="3" t="s">
        <v>1887</v>
      </c>
      <c r="C998" s="4">
        <f t="shared" ca="1" si="36"/>
        <v>45606</v>
      </c>
      <c r="D998" s="4">
        <f ca="1">TODAY()-408</f>
        <v>45629</v>
      </c>
      <c r="E998" s="3" t="s">
        <v>1032</v>
      </c>
      <c r="F998" s="43" t="b">
        <v>1</v>
      </c>
      <c r="G998" s="43" t="b">
        <v>0</v>
      </c>
      <c r="H998" s="44">
        <v>1610</v>
      </c>
    </row>
    <row r="999" spans="1:8" x14ac:dyDescent="0.3">
      <c r="A999" s="42" t="s">
        <v>1315</v>
      </c>
      <c r="B999" s="3" t="s">
        <v>1316</v>
      </c>
      <c r="C999" s="4">
        <f t="shared" ca="1" si="36"/>
        <v>45606</v>
      </c>
      <c r="D999" s="4">
        <f ca="1">TODAY()-411</f>
        <v>45626</v>
      </c>
      <c r="E999" s="3" t="s">
        <v>1029</v>
      </c>
      <c r="F999" s="43" t="b">
        <v>1</v>
      </c>
      <c r="G999" s="43" t="b">
        <v>1</v>
      </c>
      <c r="H999" s="44">
        <v>1910</v>
      </c>
    </row>
    <row r="1000" spans="1:8" x14ac:dyDescent="0.3">
      <c r="A1000" s="42" t="s">
        <v>1281</v>
      </c>
      <c r="B1000" s="3" t="s">
        <v>1282</v>
      </c>
      <c r="C1000" s="4">
        <f t="shared" ca="1" si="36"/>
        <v>45606</v>
      </c>
      <c r="D1000" s="4">
        <f ca="1">TODAY()-419</f>
        <v>45618</v>
      </c>
      <c r="E1000" s="3" t="s">
        <v>1029</v>
      </c>
      <c r="F1000" s="43" t="b">
        <v>1</v>
      </c>
      <c r="G1000" s="43" t="b">
        <v>1</v>
      </c>
      <c r="H1000" s="44">
        <v>2350</v>
      </c>
    </row>
    <row r="1001" spans="1:8" x14ac:dyDescent="0.3">
      <c r="A1001" s="42" t="s">
        <v>1869</v>
      </c>
      <c r="B1001" s="3" t="s">
        <v>1870</v>
      </c>
      <c r="C1001" s="4">
        <f t="shared" ca="1" si="36"/>
        <v>45606</v>
      </c>
      <c r="D1001" s="4">
        <f ca="1">TODAY()-401</f>
        <v>45636</v>
      </c>
      <c r="E1001" s="3" t="s">
        <v>1032</v>
      </c>
      <c r="F1001" s="43" t="b">
        <v>1</v>
      </c>
      <c r="G1001" s="43" t="b">
        <v>0</v>
      </c>
      <c r="H1001" s="44">
        <v>190</v>
      </c>
    </row>
    <row r="1002" spans="1:8" x14ac:dyDescent="0.3">
      <c r="A1002" s="42" t="s">
        <v>1437</v>
      </c>
      <c r="B1002" s="3" t="s">
        <v>1438</v>
      </c>
      <c r="C1002" s="4">
        <f t="shared" ca="1" si="36"/>
        <v>45606</v>
      </c>
      <c r="D1002" s="4">
        <f ca="1">TODAY()-411</f>
        <v>45626</v>
      </c>
      <c r="E1002" s="3" t="s">
        <v>1029</v>
      </c>
      <c r="F1002" s="43" t="b">
        <v>1</v>
      </c>
      <c r="G1002" s="43" t="b">
        <v>1</v>
      </c>
      <c r="H1002" s="44">
        <v>560</v>
      </c>
    </row>
    <row r="1003" spans="1:8" x14ac:dyDescent="0.3">
      <c r="A1003" s="42" t="s">
        <v>1581</v>
      </c>
      <c r="B1003" s="3" t="s">
        <v>1888</v>
      </c>
      <c r="C1003" s="4">
        <f t="shared" ca="1" si="36"/>
        <v>45606</v>
      </c>
      <c r="D1003" s="4">
        <f ca="1">TODAY()-419</f>
        <v>45618</v>
      </c>
      <c r="E1003" s="3" t="s">
        <v>1029</v>
      </c>
      <c r="F1003" s="43" t="b">
        <v>1</v>
      </c>
      <c r="G1003" s="43" t="b">
        <v>1</v>
      </c>
      <c r="H1003" s="44">
        <v>1880</v>
      </c>
    </row>
    <row r="1004" spans="1:8" x14ac:dyDescent="0.3">
      <c r="A1004" s="42" t="s">
        <v>1366</v>
      </c>
      <c r="B1004" s="3" t="s">
        <v>1367</v>
      </c>
      <c r="C1004" s="4">
        <f t="shared" ca="1" si="36"/>
        <v>45606</v>
      </c>
      <c r="D1004" s="42"/>
      <c r="E1004" s="3" t="s">
        <v>1037</v>
      </c>
      <c r="F1004" s="43" t="b">
        <v>0</v>
      </c>
      <c r="G1004" s="43" t="b">
        <v>0</v>
      </c>
      <c r="H1004" s="44">
        <v>2450</v>
      </c>
    </row>
    <row r="1005" spans="1:8" x14ac:dyDescent="0.3">
      <c r="A1005" s="42" t="s">
        <v>1642</v>
      </c>
      <c r="B1005" s="3" t="s">
        <v>1643</v>
      </c>
      <c r="C1005" s="4">
        <f t="shared" ref="C1005:C1111" ca="1" si="39">TODAY()-402</f>
        <v>45635</v>
      </c>
      <c r="D1005" s="4">
        <f ca="1">TODAY()-379</f>
        <v>45658</v>
      </c>
      <c r="E1005" s="3" t="s">
        <v>1032</v>
      </c>
      <c r="F1005" s="43" t="b">
        <v>1</v>
      </c>
      <c r="G1005" s="43" t="b">
        <v>0</v>
      </c>
      <c r="H1005" s="44">
        <v>970</v>
      </c>
    </row>
    <row r="1006" spans="1:8" x14ac:dyDescent="0.3">
      <c r="A1006" s="42" t="s">
        <v>1044</v>
      </c>
      <c r="B1006" s="3" t="s">
        <v>1572</v>
      </c>
      <c r="C1006" s="4">
        <f t="shared" ca="1" si="39"/>
        <v>45635</v>
      </c>
      <c r="D1006" s="4">
        <f ca="1">TODAY()-392</f>
        <v>45645</v>
      </c>
      <c r="E1006" s="3" t="s">
        <v>1029</v>
      </c>
      <c r="F1006" s="43" t="b">
        <v>1</v>
      </c>
      <c r="G1006" s="43" t="b">
        <v>1</v>
      </c>
      <c r="H1006" s="44">
        <v>360</v>
      </c>
    </row>
    <row r="1007" spans="1:8" x14ac:dyDescent="0.3">
      <c r="A1007" s="42" t="s">
        <v>1799</v>
      </c>
      <c r="B1007" s="3" t="s">
        <v>1889</v>
      </c>
      <c r="C1007" s="4">
        <f t="shared" ca="1" si="39"/>
        <v>45635</v>
      </c>
      <c r="D1007" s="4">
        <f ca="1">TODAY()-383</f>
        <v>45654</v>
      </c>
      <c r="E1007" s="3" t="s">
        <v>1032</v>
      </c>
      <c r="F1007" s="43" t="b">
        <v>1</v>
      </c>
      <c r="G1007" s="43" t="b">
        <v>0</v>
      </c>
      <c r="H1007" s="44">
        <v>1340</v>
      </c>
    </row>
    <row r="1008" spans="1:8" x14ac:dyDescent="0.3">
      <c r="A1008" s="42" t="s">
        <v>1718</v>
      </c>
      <c r="B1008" s="3" t="s">
        <v>1719</v>
      </c>
      <c r="C1008" s="4">
        <f t="shared" ca="1" si="39"/>
        <v>45635</v>
      </c>
      <c r="D1008" s="42"/>
      <c r="E1008" s="3" t="s">
        <v>1101</v>
      </c>
      <c r="F1008" s="43" t="b">
        <v>0</v>
      </c>
      <c r="G1008" s="43" t="b">
        <v>0</v>
      </c>
      <c r="H1008" s="44">
        <v>550</v>
      </c>
    </row>
    <row r="1009" spans="1:8" x14ac:dyDescent="0.3">
      <c r="A1009" s="42" t="s">
        <v>1127</v>
      </c>
      <c r="B1009" s="3" t="s">
        <v>1890</v>
      </c>
      <c r="C1009" s="4">
        <f t="shared" ca="1" si="39"/>
        <v>45635</v>
      </c>
      <c r="D1009" s="4">
        <f ca="1">TODAY()-382</f>
        <v>45655</v>
      </c>
      <c r="E1009" s="3" t="s">
        <v>1032</v>
      </c>
      <c r="F1009" s="43" t="b">
        <v>1</v>
      </c>
      <c r="G1009" s="43" t="b">
        <v>0</v>
      </c>
      <c r="H1009" s="44">
        <v>2410</v>
      </c>
    </row>
    <row r="1010" spans="1:8" x14ac:dyDescent="0.3">
      <c r="A1010" s="42" t="s">
        <v>1310</v>
      </c>
      <c r="B1010" s="3" t="s">
        <v>1818</v>
      </c>
      <c r="C1010" s="4">
        <f t="shared" ca="1" si="39"/>
        <v>45635</v>
      </c>
      <c r="D1010" s="4">
        <f t="shared" ref="D1010:D1011" ca="1" si="40">TODAY()-389</f>
        <v>45648</v>
      </c>
      <c r="E1010" s="3" t="s">
        <v>1029</v>
      </c>
      <c r="F1010" s="43" t="b">
        <v>1</v>
      </c>
      <c r="G1010" s="43" t="b">
        <v>1</v>
      </c>
      <c r="H1010" s="44">
        <v>2140</v>
      </c>
    </row>
    <row r="1011" spans="1:8" x14ac:dyDescent="0.3">
      <c r="A1011" s="42" t="s">
        <v>1064</v>
      </c>
      <c r="B1011" s="3" t="s">
        <v>1065</v>
      </c>
      <c r="C1011" s="4">
        <f t="shared" ca="1" si="39"/>
        <v>45635</v>
      </c>
      <c r="D1011" s="4">
        <f t="shared" ca="1" si="40"/>
        <v>45648</v>
      </c>
      <c r="E1011" s="3" t="s">
        <v>1029</v>
      </c>
      <c r="F1011" s="43" t="b">
        <v>1</v>
      </c>
      <c r="G1011" s="43" t="b">
        <v>1</v>
      </c>
      <c r="H1011" s="44">
        <v>1210</v>
      </c>
    </row>
    <row r="1012" spans="1:8" x14ac:dyDescent="0.3">
      <c r="A1012" s="42" t="s">
        <v>1141</v>
      </c>
      <c r="B1012" s="3" t="s">
        <v>1183</v>
      </c>
      <c r="C1012" s="4">
        <f t="shared" ca="1" si="39"/>
        <v>45635</v>
      </c>
      <c r="D1012" s="42"/>
      <c r="E1012" s="3" t="s">
        <v>1101</v>
      </c>
      <c r="F1012" s="43" t="b">
        <v>0</v>
      </c>
      <c r="G1012" s="43" t="b">
        <v>0</v>
      </c>
      <c r="H1012" s="44">
        <v>130</v>
      </c>
    </row>
    <row r="1013" spans="1:8" x14ac:dyDescent="0.3">
      <c r="A1013" s="42" t="s">
        <v>1288</v>
      </c>
      <c r="B1013" s="3" t="s">
        <v>1116</v>
      </c>
      <c r="C1013" s="4">
        <f t="shared" ca="1" si="39"/>
        <v>45635</v>
      </c>
      <c r="D1013" s="4">
        <f ca="1">TODAY()-383</f>
        <v>45654</v>
      </c>
      <c r="E1013" s="3" t="s">
        <v>1029</v>
      </c>
      <c r="F1013" s="43" t="b">
        <v>1</v>
      </c>
      <c r="G1013" s="43" t="b">
        <v>1</v>
      </c>
      <c r="H1013" s="44">
        <v>1800</v>
      </c>
    </row>
    <row r="1014" spans="1:8" x14ac:dyDescent="0.3">
      <c r="A1014" s="42" t="s">
        <v>1256</v>
      </c>
      <c r="B1014" s="3" t="s">
        <v>1257</v>
      </c>
      <c r="C1014" s="4">
        <f t="shared" ca="1" si="39"/>
        <v>45635</v>
      </c>
      <c r="D1014" s="4">
        <f ca="1">TODAY()-385</f>
        <v>45652</v>
      </c>
      <c r="E1014" s="3" t="s">
        <v>1032</v>
      </c>
      <c r="F1014" s="43" t="b">
        <v>1</v>
      </c>
      <c r="G1014" s="43" t="b">
        <v>0</v>
      </c>
      <c r="H1014" s="44">
        <v>590</v>
      </c>
    </row>
    <row r="1015" spans="1:8" x14ac:dyDescent="0.3">
      <c r="A1015" s="42" t="s">
        <v>1464</v>
      </c>
      <c r="B1015" s="3" t="s">
        <v>1465</v>
      </c>
      <c r="C1015" s="4">
        <f t="shared" ca="1" si="39"/>
        <v>45635</v>
      </c>
      <c r="D1015" s="42"/>
      <c r="E1015" s="3" t="s">
        <v>1037</v>
      </c>
      <c r="F1015" s="43" t="b">
        <v>0</v>
      </c>
      <c r="G1015" s="43" t="b">
        <v>0</v>
      </c>
      <c r="H1015" s="44">
        <v>920</v>
      </c>
    </row>
    <row r="1016" spans="1:8" x14ac:dyDescent="0.3">
      <c r="A1016" s="42" t="s">
        <v>1256</v>
      </c>
      <c r="B1016" s="3" t="s">
        <v>1639</v>
      </c>
      <c r="C1016" s="4">
        <f t="shared" ca="1" si="39"/>
        <v>45635</v>
      </c>
      <c r="D1016" s="4">
        <f ca="1">TODAY()-388</f>
        <v>45649</v>
      </c>
      <c r="E1016" s="3" t="s">
        <v>1029</v>
      </c>
      <c r="F1016" s="43" t="b">
        <v>1</v>
      </c>
      <c r="G1016" s="43" t="b">
        <v>1</v>
      </c>
      <c r="H1016" s="44">
        <v>2000</v>
      </c>
    </row>
    <row r="1017" spans="1:8" x14ac:dyDescent="0.3">
      <c r="A1017" s="42" t="s">
        <v>1192</v>
      </c>
      <c r="B1017" s="3" t="s">
        <v>1193</v>
      </c>
      <c r="C1017" s="4">
        <f t="shared" ca="1" si="39"/>
        <v>45635</v>
      </c>
      <c r="D1017" s="4">
        <f ca="1">TODAY()-372</f>
        <v>45665</v>
      </c>
      <c r="E1017" s="3" t="s">
        <v>1032</v>
      </c>
      <c r="F1017" s="43" t="b">
        <v>1</v>
      </c>
      <c r="G1017" s="43" t="b">
        <v>0</v>
      </c>
      <c r="H1017" s="44">
        <v>1690</v>
      </c>
    </row>
    <row r="1018" spans="1:8" x14ac:dyDescent="0.3">
      <c r="A1018" s="42" t="s">
        <v>1800</v>
      </c>
      <c r="B1018" s="3" t="s">
        <v>1275</v>
      </c>
      <c r="C1018" s="4">
        <f t="shared" ca="1" si="39"/>
        <v>45635</v>
      </c>
      <c r="D1018" s="4">
        <f t="shared" ref="D1018:D1019" ca="1" si="41">TODAY()-386</f>
        <v>45651</v>
      </c>
      <c r="E1018" s="3" t="s">
        <v>1029</v>
      </c>
      <c r="F1018" s="43" t="b">
        <v>1</v>
      </c>
      <c r="G1018" s="43" t="b">
        <v>1</v>
      </c>
      <c r="H1018" s="44">
        <v>1290</v>
      </c>
    </row>
    <row r="1019" spans="1:8" x14ac:dyDescent="0.3">
      <c r="A1019" s="42" t="s">
        <v>1444</v>
      </c>
      <c r="B1019" s="3" t="s">
        <v>1585</v>
      </c>
      <c r="C1019" s="4">
        <f t="shared" ca="1" si="39"/>
        <v>45635</v>
      </c>
      <c r="D1019" s="4">
        <f t="shared" ca="1" si="41"/>
        <v>45651</v>
      </c>
      <c r="E1019" s="3" t="s">
        <v>1029</v>
      </c>
      <c r="F1019" s="43" t="b">
        <v>1</v>
      </c>
      <c r="G1019" s="43" t="b">
        <v>1</v>
      </c>
      <c r="H1019" s="44">
        <v>1340</v>
      </c>
    </row>
    <row r="1020" spans="1:8" x14ac:dyDescent="0.3">
      <c r="A1020" s="42" t="s">
        <v>1356</v>
      </c>
      <c r="B1020" s="3" t="s">
        <v>1871</v>
      </c>
      <c r="C1020" s="4">
        <f t="shared" ca="1" si="39"/>
        <v>45635</v>
      </c>
      <c r="D1020" s="4">
        <f ca="1">TODAY()-387</f>
        <v>45650</v>
      </c>
      <c r="E1020" s="3" t="s">
        <v>1029</v>
      </c>
      <c r="F1020" s="43" t="b">
        <v>1</v>
      </c>
      <c r="G1020" s="43" t="b">
        <v>1</v>
      </c>
      <c r="H1020" s="44">
        <v>2200</v>
      </c>
    </row>
    <row r="1021" spans="1:8" x14ac:dyDescent="0.3">
      <c r="A1021" s="42" t="s">
        <v>1298</v>
      </c>
      <c r="B1021" s="3" t="s">
        <v>1299</v>
      </c>
      <c r="C1021" s="4">
        <f t="shared" ca="1" si="39"/>
        <v>45635</v>
      </c>
      <c r="D1021" s="4">
        <f ca="1">TODAY()-377</f>
        <v>45660</v>
      </c>
      <c r="E1021" s="3" t="s">
        <v>1032</v>
      </c>
      <c r="F1021" s="43" t="b">
        <v>1</v>
      </c>
      <c r="G1021" s="43" t="b">
        <v>0</v>
      </c>
      <c r="H1021" s="44">
        <v>260</v>
      </c>
    </row>
    <row r="1022" spans="1:8" x14ac:dyDescent="0.3">
      <c r="A1022" s="42" t="s">
        <v>1624</v>
      </c>
      <c r="B1022" s="3" t="s">
        <v>1849</v>
      </c>
      <c r="C1022" s="4">
        <f t="shared" ca="1" si="39"/>
        <v>45635</v>
      </c>
      <c r="D1022" s="4">
        <f ca="1">TODAY()-380</f>
        <v>45657</v>
      </c>
      <c r="E1022" s="3" t="s">
        <v>1032</v>
      </c>
      <c r="F1022" s="43" t="b">
        <v>1</v>
      </c>
      <c r="G1022" s="43" t="b">
        <v>0</v>
      </c>
      <c r="H1022" s="44">
        <v>1250</v>
      </c>
    </row>
    <row r="1023" spans="1:8" x14ac:dyDescent="0.3">
      <c r="A1023" s="42" t="s">
        <v>1814</v>
      </c>
      <c r="B1023" s="3" t="s">
        <v>1891</v>
      </c>
      <c r="C1023" s="4">
        <f t="shared" ca="1" si="39"/>
        <v>45635</v>
      </c>
      <c r="D1023" s="4">
        <f ca="1">TODAY()-379</f>
        <v>45658</v>
      </c>
      <c r="E1023" s="3" t="s">
        <v>1032</v>
      </c>
      <c r="F1023" s="43" t="b">
        <v>1</v>
      </c>
      <c r="G1023" s="43" t="b">
        <v>0</v>
      </c>
      <c r="H1023" s="44">
        <v>1000</v>
      </c>
    </row>
    <row r="1024" spans="1:8" x14ac:dyDescent="0.3">
      <c r="A1024" s="42" t="s">
        <v>1671</v>
      </c>
      <c r="B1024" s="3" t="s">
        <v>1824</v>
      </c>
      <c r="C1024" s="4">
        <f t="shared" ca="1" si="39"/>
        <v>45635</v>
      </c>
      <c r="D1024" s="4">
        <f ca="1">TODAY()-373</f>
        <v>45664</v>
      </c>
      <c r="E1024" s="3" t="s">
        <v>1029</v>
      </c>
      <c r="F1024" s="43" t="b">
        <v>1</v>
      </c>
      <c r="G1024" s="43" t="b">
        <v>1</v>
      </c>
      <c r="H1024" s="44">
        <v>2010</v>
      </c>
    </row>
    <row r="1025" spans="1:8" x14ac:dyDescent="0.3">
      <c r="A1025" s="42" t="s">
        <v>1892</v>
      </c>
      <c r="B1025" s="3" t="s">
        <v>1643</v>
      </c>
      <c r="C1025" s="4">
        <f t="shared" ca="1" si="39"/>
        <v>45635</v>
      </c>
      <c r="D1025" s="4">
        <f ca="1">TODAY()-386</f>
        <v>45651</v>
      </c>
      <c r="E1025" s="3" t="s">
        <v>1029</v>
      </c>
      <c r="F1025" s="43" t="b">
        <v>1</v>
      </c>
      <c r="G1025" s="43" t="b">
        <v>1</v>
      </c>
      <c r="H1025" s="44">
        <v>370</v>
      </c>
    </row>
    <row r="1026" spans="1:8" x14ac:dyDescent="0.3">
      <c r="A1026" s="42" t="s">
        <v>1743</v>
      </c>
      <c r="B1026" s="3" t="s">
        <v>1744</v>
      </c>
      <c r="C1026" s="4">
        <f t="shared" ca="1" si="39"/>
        <v>45635</v>
      </c>
      <c r="D1026" s="4">
        <f ca="1">TODAY()-377</f>
        <v>45660</v>
      </c>
      <c r="E1026" s="3" t="s">
        <v>1029</v>
      </c>
      <c r="F1026" s="43" t="b">
        <v>1</v>
      </c>
      <c r="G1026" s="43" t="b">
        <v>1</v>
      </c>
      <c r="H1026" s="44">
        <v>890</v>
      </c>
    </row>
    <row r="1027" spans="1:8" x14ac:dyDescent="0.3">
      <c r="A1027" s="42" t="s">
        <v>1472</v>
      </c>
      <c r="B1027" s="3" t="s">
        <v>1400</v>
      </c>
      <c r="C1027" s="4">
        <f t="shared" ca="1" si="39"/>
        <v>45635</v>
      </c>
      <c r="D1027" s="42"/>
      <c r="E1027" s="3" t="s">
        <v>1108</v>
      </c>
      <c r="F1027" s="43" t="b">
        <v>0</v>
      </c>
      <c r="G1027" s="43" t="b">
        <v>0</v>
      </c>
      <c r="H1027" s="44">
        <v>1530</v>
      </c>
    </row>
    <row r="1028" spans="1:8" x14ac:dyDescent="0.3">
      <c r="A1028" s="42" t="s">
        <v>1786</v>
      </c>
      <c r="B1028" s="3" t="s">
        <v>1787</v>
      </c>
      <c r="C1028" s="4">
        <f t="shared" ca="1" si="39"/>
        <v>45635</v>
      </c>
      <c r="D1028" s="4">
        <f ca="1">TODAY()-380</f>
        <v>45657</v>
      </c>
      <c r="E1028" s="3" t="s">
        <v>1032</v>
      </c>
      <c r="F1028" s="43" t="b">
        <v>1</v>
      </c>
      <c r="G1028" s="43" t="b">
        <v>0</v>
      </c>
      <c r="H1028" s="44">
        <v>2370</v>
      </c>
    </row>
    <row r="1029" spans="1:8" x14ac:dyDescent="0.3">
      <c r="A1029" s="42" t="s">
        <v>1357</v>
      </c>
      <c r="B1029" s="3" t="s">
        <v>1561</v>
      </c>
      <c r="C1029" s="4">
        <f t="shared" ca="1" si="39"/>
        <v>45635</v>
      </c>
      <c r="D1029" s="42"/>
      <c r="E1029" s="3" t="s">
        <v>1103</v>
      </c>
      <c r="F1029" s="43" t="b">
        <v>0</v>
      </c>
      <c r="G1029" s="43" t="b">
        <v>0</v>
      </c>
      <c r="H1029" s="44">
        <v>1690</v>
      </c>
    </row>
    <row r="1030" spans="1:8" x14ac:dyDescent="0.3">
      <c r="A1030" s="42" t="s">
        <v>1354</v>
      </c>
      <c r="B1030" s="3" t="s">
        <v>1537</v>
      </c>
      <c r="C1030" s="4">
        <f t="shared" ca="1" si="39"/>
        <v>45635</v>
      </c>
      <c r="D1030" s="4">
        <f ca="1">TODAY()-390</f>
        <v>45647</v>
      </c>
      <c r="E1030" s="3" t="s">
        <v>1029</v>
      </c>
      <c r="F1030" s="43" t="b">
        <v>1</v>
      </c>
      <c r="G1030" s="43" t="b">
        <v>1</v>
      </c>
      <c r="H1030" s="44">
        <v>680</v>
      </c>
    </row>
    <row r="1031" spans="1:8" x14ac:dyDescent="0.3">
      <c r="A1031" s="42" t="s">
        <v>1599</v>
      </c>
      <c r="B1031" s="3" t="s">
        <v>1600</v>
      </c>
      <c r="C1031" s="4">
        <f t="shared" ca="1" si="39"/>
        <v>45635</v>
      </c>
      <c r="D1031" s="42"/>
      <c r="E1031" s="3" t="s">
        <v>1037</v>
      </c>
      <c r="F1031" s="43" t="b">
        <v>0</v>
      </c>
      <c r="G1031" s="43" t="b">
        <v>0</v>
      </c>
      <c r="H1031" s="44">
        <v>170</v>
      </c>
    </row>
    <row r="1032" spans="1:8" x14ac:dyDescent="0.3">
      <c r="A1032" s="42" t="s">
        <v>1237</v>
      </c>
      <c r="B1032" s="3" t="s">
        <v>1854</v>
      </c>
      <c r="C1032" s="4">
        <f t="shared" ca="1" si="39"/>
        <v>45635</v>
      </c>
      <c r="D1032" s="4">
        <f ca="1">TODAY()-387</f>
        <v>45650</v>
      </c>
      <c r="E1032" s="3" t="s">
        <v>1032</v>
      </c>
      <c r="F1032" s="43" t="b">
        <v>1</v>
      </c>
      <c r="G1032" s="43" t="b">
        <v>0</v>
      </c>
      <c r="H1032" s="44">
        <v>1940</v>
      </c>
    </row>
    <row r="1033" spans="1:8" x14ac:dyDescent="0.3">
      <c r="A1033" s="42" t="s">
        <v>1403</v>
      </c>
      <c r="B1033" s="3" t="s">
        <v>1404</v>
      </c>
      <c r="C1033" s="4">
        <f t="shared" ca="1" si="39"/>
        <v>45635</v>
      </c>
      <c r="D1033" s="4">
        <f ca="1">TODAY()-386</f>
        <v>45651</v>
      </c>
      <c r="E1033" s="3" t="s">
        <v>1029</v>
      </c>
      <c r="F1033" s="43" t="b">
        <v>1</v>
      </c>
      <c r="G1033" s="43" t="b">
        <v>1</v>
      </c>
      <c r="H1033" s="44">
        <v>2360</v>
      </c>
    </row>
    <row r="1034" spans="1:8" x14ac:dyDescent="0.3">
      <c r="A1034" s="42" t="s">
        <v>1068</v>
      </c>
      <c r="B1034" s="3" t="s">
        <v>1441</v>
      </c>
      <c r="C1034" s="4">
        <f t="shared" ca="1" si="39"/>
        <v>45635</v>
      </c>
      <c r="D1034" s="4">
        <f ca="1">TODAY()-378</f>
        <v>45659</v>
      </c>
      <c r="E1034" s="3" t="s">
        <v>1032</v>
      </c>
      <c r="F1034" s="43" t="b">
        <v>1</v>
      </c>
      <c r="G1034" s="43" t="b">
        <v>0</v>
      </c>
      <c r="H1034" s="44">
        <v>660</v>
      </c>
    </row>
    <row r="1035" spans="1:8" x14ac:dyDescent="0.3">
      <c r="A1035" s="42" t="s">
        <v>1175</v>
      </c>
      <c r="B1035" s="3" t="s">
        <v>1893</v>
      </c>
      <c r="C1035" s="4">
        <f t="shared" ca="1" si="39"/>
        <v>45635</v>
      </c>
      <c r="D1035" s="4">
        <f ca="1">TODAY()-374</f>
        <v>45663</v>
      </c>
      <c r="E1035" s="3" t="s">
        <v>1029</v>
      </c>
      <c r="F1035" s="43" t="b">
        <v>1</v>
      </c>
      <c r="G1035" s="43" t="b">
        <v>1</v>
      </c>
      <c r="H1035" s="44">
        <v>690</v>
      </c>
    </row>
    <row r="1036" spans="1:8" x14ac:dyDescent="0.3">
      <c r="A1036" s="42" t="s">
        <v>1498</v>
      </c>
      <c r="B1036" s="3" t="s">
        <v>1521</v>
      </c>
      <c r="C1036" s="4">
        <f t="shared" ca="1" si="39"/>
        <v>45635</v>
      </c>
      <c r="D1036" s="42"/>
      <c r="E1036" s="3" t="s">
        <v>1077</v>
      </c>
      <c r="F1036" s="43" t="b">
        <v>0</v>
      </c>
      <c r="G1036" s="43" t="b">
        <v>0</v>
      </c>
      <c r="H1036" s="44">
        <v>420</v>
      </c>
    </row>
    <row r="1037" spans="1:8" x14ac:dyDescent="0.3">
      <c r="A1037" s="42" t="s">
        <v>1462</v>
      </c>
      <c r="B1037" s="3" t="s">
        <v>1251</v>
      </c>
      <c r="C1037" s="4">
        <f t="shared" ca="1" si="39"/>
        <v>45635</v>
      </c>
      <c r="D1037" s="42"/>
      <c r="E1037" s="3" t="s">
        <v>1108</v>
      </c>
      <c r="F1037" s="43" t="b">
        <v>0</v>
      </c>
      <c r="G1037" s="43" t="b">
        <v>0</v>
      </c>
      <c r="H1037" s="44">
        <v>1800</v>
      </c>
    </row>
    <row r="1038" spans="1:8" x14ac:dyDescent="0.3">
      <c r="A1038" s="42" t="s">
        <v>1556</v>
      </c>
      <c r="B1038" s="3" t="s">
        <v>1568</v>
      </c>
      <c r="C1038" s="4">
        <f t="shared" ca="1" si="39"/>
        <v>45635</v>
      </c>
      <c r="D1038" s="4">
        <f ca="1">TODAY()-372</f>
        <v>45665</v>
      </c>
      <c r="E1038" s="3" t="s">
        <v>1032</v>
      </c>
      <c r="F1038" s="43" t="b">
        <v>1</v>
      </c>
      <c r="G1038" s="43" t="b">
        <v>0</v>
      </c>
      <c r="H1038" s="44">
        <v>1450</v>
      </c>
    </row>
    <row r="1039" spans="1:8" x14ac:dyDescent="0.3">
      <c r="A1039" s="42" t="s">
        <v>1334</v>
      </c>
      <c r="B1039" s="3" t="s">
        <v>1222</v>
      </c>
      <c r="C1039" s="4">
        <f t="shared" ca="1" si="39"/>
        <v>45635</v>
      </c>
      <c r="D1039" s="42"/>
      <c r="E1039" s="3" t="s">
        <v>1108</v>
      </c>
      <c r="F1039" s="43" t="b">
        <v>0</v>
      </c>
      <c r="G1039" s="43" t="b">
        <v>0</v>
      </c>
      <c r="H1039" s="44">
        <v>2230</v>
      </c>
    </row>
    <row r="1040" spans="1:8" x14ac:dyDescent="0.3">
      <c r="A1040" s="42" t="s">
        <v>1272</v>
      </c>
      <c r="B1040" s="3" t="s">
        <v>1273</v>
      </c>
      <c r="C1040" s="4">
        <f t="shared" ca="1" si="39"/>
        <v>45635</v>
      </c>
      <c r="D1040" s="4">
        <f ca="1">TODAY()-383</f>
        <v>45654</v>
      </c>
      <c r="E1040" s="3" t="s">
        <v>1029</v>
      </c>
      <c r="F1040" s="43" t="b">
        <v>1</v>
      </c>
      <c r="G1040" s="43" t="b">
        <v>1</v>
      </c>
      <c r="H1040" s="44">
        <v>880</v>
      </c>
    </row>
    <row r="1041" spans="1:8" x14ac:dyDescent="0.3">
      <c r="A1041" s="42" t="s">
        <v>1894</v>
      </c>
      <c r="B1041" s="3" t="s">
        <v>1895</v>
      </c>
      <c r="C1041" s="4">
        <f t="shared" ca="1" si="39"/>
        <v>45635</v>
      </c>
      <c r="D1041" s="4">
        <f ca="1">TODAY()-380</f>
        <v>45657</v>
      </c>
      <c r="E1041" s="3" t="s">
        <v>1029</v>
      </c>
      <c r="F1041" s="43" t="b">
        <v>1</v>
      </c>
      <c r="G1041" s="43" t="b">
        <v>1</v>
      </c>
      <c r="H1041" s="44">
        <v>1490</v>
      </c>
    </row>
    <row r="1042" spans="1:8" x14ac:dyDescent="0.3">
      <c r="A1042" s="42" t="s">
        <v>1674</v>
      </c>
      <c r="B1042" s="3" t="s">
        <v>1675</v>
      </c>
      <c r="C1042" s="4">
        <f t="shared" ca="1" si="39"/>
        <v>45635</v>
      </c>
      <c r="D1042" s="4">
        <f ca="1">TODAY()-392</f>
        <v>45645</v>
      </c>
      <c r="E1042" s="3" t="s">
        <v>1029</v>
      </c>
      <c r="F1042" s="43" t="b">
        <v>1</v>
      </c>
      <c r="G1042" s="43" t="b">
        <v>1</v>
      </c>
      <c r="H1042" s="44">
        <v>1290</v>
      </c>
    </row>
    <row r="1043" spans="1:8" x14ac:dyDescent="0.3">
      <c r="A1043" s="42" t="s">
        <v>1867</v>
      </c>
      <c r="B1043" s="3" t="s">
        <v>1868</v>
      </c>
      <c r="C1043" s="4">
        <f t="shared" ca="1" si="39"/>
        <v>45635</v>
      </c>
      <c r="D1043" s="4">
        <f ca="1">TODAY()-373</f>
        <v>45664</v>
      </c>
      <c r="E1043" s="3" t="s">
        <v>1032</v>
      </c>
      <c r="F1043" s="43" t="b">
        <v>1</v>
      </c>
      <c r="G1043" s="43" t="b">
        <v>0</v>
      </c>
      <c r="H1043" s="44">
        <v>390</v>
      </c>
    </row>
    <row r="1044" spans="1:8" x14ac:dyDescent="0.3">
      <c r="A1044" s="42" t="s">
        <v>1544</v>
      </c>
      <c r="B1044" s="3" t="s">
        <v>1545</v>
      </c>
      <c r="C1044" s="4">
        <f t="shared" ca="1" si="39"/>
        <v>45635</v>
      </c>
      <c r="D1044" s="4">
        <f ca="1">TODAY()-379</f>
        <v>45658</v>
      </c>
      <c r="E1044" s="3" t="s">
        <v>1029</v>
      </c>
      <c r="F1044" s="43" t="b">
        <v>1</v>
      </c>
      <c r="G1044" s="43" t="b">
        <v>1</v>
      </c>
      <c r="H1044" s="44">
        <v>250</v>
      </c>
    </row>
    <row r="1045" spans="1:8" x14ac:dyDescent="0.3">
      <c r="A1045" s="42" t="s">
        <v>1205</v>
      </c>
      <c r="B1045" s="3" t="s">
        <v>1206</v>
      </c>
      <c r="C1045" s="4">
        <f t="shared" ca="1" si="39"/>
        <v>45635</v>
      </c>
      <c r="D1045" s="4">
        <f ca="1">TODAY()-385</f>
        <v>45652</v>
      </c>
      <c r="E1045" s="3" t="s">
        <v>1029</v>
      </c>
      <c r="F1045" s="43" t="b">
        <v>1</v>
      </c>
      <c r="G1045" s="43" t="b">
        <v>1</v>
      </c>
      <c r="H1045" s="44">
        <v>200</v>
      </c>
    </row>
    <row r="1046" spans="1:8" x14ac:dyDescent="0.3">
      <c r="A1046" s="42" t="s">
        <v>1741</v>
      </c>
      <c r="B1046" s="3" t="s">
        <v>1742</v>
      </c>
      <c r="C1046" s="4">
        <f t="shared" ca="1" si="39"/>
        <v>45635</v>
      </c>
      <c r="D1046" s="4">
        <f ca="1">TODAY()-380</f>
        <v>45657</v>
      </c>
      <c r="E1046" s="3" t="s">
        <v>1032</v>
      </c>
      <c r="F1046" s="43" t="b">
        <v>1</v>
      </c>
      <c r="G1046" s="43" t="b">
        <v>0</v>
      </c>
      <c r="H1046" s="44">
        <v>690</v>
      </c>
    </row>
    <row r="1047" spans="1:8" x14ac:dyDescent="0.3">
      <c r="A1047" s="42" t="s">
        <v>1482</v>
      </c>
      <c r="B1047" s="3" t="s">
        <v>1274</v>
      </c>
      <c r="C1047" s="4">
        <f t="shared" ca="1" si="39"/>
        <v>45635</v>
      </c>
      <c r="D1047" s="4">
        <f ca="1">TODAY()-385</f>
        <v>45652</v>
      </c>
      <c r="E1047" s="3" t="s">
        <v>1029</v>
      </c>
      <c r="F1047" s="43" t="b">
        <v>1</v>
      </c>
      <c r="G1047" s="43" t="b">
        <v>1</v>
      </c>
      <c r="H1047" s="44">
        <v>1020</v>
      </c>
    </row>
    <row r="1048" spans="1:8" x14ac:dyDescent="0.3">
      <c r="A1048" s="42" t="s">
        <v>1896</v>
      </c>
      <c r="B1048" s="3" t="s">
        <v>1897</v>
      </c>
      <c r="C1048" s="4">
        <f t="shared" ca="1" si="39"/>
        <v>45635</v>
      </c>
      <c r="D1048" s="42"/>
      <c r="E1048" s="3" t="s">
        <v>1108</v>
      </c>
      <c r="F1048" s="43" t="b">
        <v>0</v>
      </c>
      <c r="G1048" s="43" t="b">
        <v>0</v>
      </c>
      <c r="H1048" s="44">
        <v>1040</v>
      </c>
    </row>
    <row r="1049" spans="1:8" x14ac:dyDescent="0.3">
      <c r="A1049" s="42" t="s">
        <v>1205</v>
      </c>
      <c r="B1049" s="3" t="s">
        <v>1580</v>
      </c>
      <c r="C1049" s="4">
        <f t="shared" ca="1" si="39"/>
        <v>45635</v>
      </c>
      <c r="D1049" s="4">
        <f ca="1">TODAY()-387</f>
        <v>45650</v>
      </c>
      <c r="E1049" s="3" t="s">
        <v>1032</v>
      </c>
      <c r="F1049" s="43" t="b">
        <v>1</v>
      </c>
      <c r="G1049" s="43" t="b">
        <v>0</v>
      </c>
      <c r="H1049" s="44">
        <v>1190</v>
      </c>
    </row>
    <row r="1050" spans="1:8" x14ac:dyDescent="0.3">
      <c r="A1050" s="42" t="s">
        <v>1312</v>
      </c>
      <c r="B1050" s="3" t="s">
        <v>1707</v>
      </c>
      <c r="C1050" s="4">
        <f t="shared" ca="1" si="39"/>
        <v>45635</v>
      </c>
      <c r="D1050" s="42"/>
      <c r="E1050" s="3" t="s">
        <v>1101</v>
      </c>
      <c r="F1050" s="43" t="b">
        <v>0</v>
      </c>
      <c r="G1050" s="43" t="b">
        <v>0</v>
      </c>
      <c r="H1050" s="44">
        <v>770</v>
      </c>
    </row>
    <row r="1051" spans="1:8" x14ac:dyDescent="0.3">
      <c r="A1051" s="42" t="s">
        <v>1095</v>
      </c>
      <c r="B1051" s="3" t="s">
        <v>1096</v>
      </c>
      <c r="C1051" s="4">
        <f t="shared" ca="1" si="39"/>
        <v>45635</v>
      </c>
      <c r="D1051" s="42"/>
      <c r="E1051" s="3" t="s">
        <v>1037</v>
      </c>
      <c r="F1051" s="43" t="b">
        <v>0</v>
      </c>
      <c r="G1051" s="43" t="b">
        <v>0</v>
      </c>
      <c r="H1051" s="44">
        <v>1170</v>
      </c>
    </row>
    <row r="1052" spans="1:8" x14ac:dyDescent="0.3">
      <c r="A1052" s="42" t="s">
        <v>1549</v>
      </c>
      <c r="B1052" s="3" t="s">
        <v>1898</v>
      </c>
      <c r="C1052" s="4">
        <f t="shared" ca="1" si="39"/>
        <v>45635</v>
      </c>
      <c r="D1052" s="4">
        <f ca="1">TODAY()-387</f>
        <v>45650</v>
      </c>
      <c r="E1052" s="3" t="s">
        <v>1029</v>
      </c>
      <c r="F1052" s="43" t="b">
        <v>1</v>
      </c>
      <c r="G1052" s="43" t="b">
        <v>1</v>
      </c>
      <c r="H1052" s="44">
        <v>770</v>
      </c>
    </row>
    <row r="1053" spans="1:8" x14ac:dyDescent="0.3">
      <c r="A1053" s="42" t="s">
        <v>1899</v>
      </c>
      <c r="B1053" s="3" t="s">
        <v>1900</v>
      </c>
      <c r="C1053" s="4">
        <f t="shared" ca="1" si="39"/>
        <v>45635</v>
      </c>
      <c r="D1053" s="4">
        <f ca="1">TODAY()-389</f>
        <v>45648</v>
      </c>
      <c r="E1053" s="3" t="s">
        <v>1029</v>
      </c>
      <c r="F1053" s="43" t="b">
        <v>1</v>
      </c>
      <c r="G1053" s="43" t="b">
        <v>1</v>
      </c>
      <c r="H1053" s="44">
        <v>410</v>
      </c>
    </row>
    <row r="1054" spans="1:8" x14ac:dyDescent="0.3">
      <c r="A1054" s="42" t="s">
        <v>1753</v>
      </c>
      <c r="B1054" s="3" t="s">
        <v>1754</v>
      </c>
      <c r="C1054" s="4">
        <f t="shared" ca="1" si="39"/>
        <v>45635</v>
      </c>
      <c r="D1054" s="4">
        <f ca="1">TODAY()-377</f>
        <v>45660</v>
      </c>
      <c r="E1054" s="3" t="s">
        <v>1029</v>
      </c>
      <c r="F1054" s="43" t="b">
        <v>1</v>
      </c>
      <c r="G1054" s="43" t="b">
        <v>1</v>
      </c>
      <c r="H1054" s="44">
        <v>880</v>
      </c>
    </row>
    <row r="1055" spans="1:8" x14ac:dyDescent="0.3">
      <c r="A1055" s="42" t="s">
        <v>1240</v>
      </c>
      <c r="B1055" s="3" t="s">
        <v>1716</v>
      </c>
      <c r="C1055" s="4">
        <f t="shared" ca="1" si="39"/>
        <v>45635</v>
      </c>
      <c r="D1055" s="4">
        <f ca="1">TODAY()-387</f>
        <v>45650</v>
      </c>
      <c r="E1055" s="3" t="s">
        <v>1032</v>
      </c>
      <c r="F1055" s="43" t="b">
        <v>1</v>
      </c>
      <c r="G1055" s="43" t="b">
        <v>0</v>
      </c>
      <c r="H1055" s="44">
        <v>1090</v>
      </c>
    </row>
    <row r="1056" spans="1:8" x14ac:dyDescent="0.3">
      <c r="A1056" s="42" t="s">
        <v>1720</v>
      </c>
      <c r="B1056" s="3" t="s">
        <v>1721</v>
      </c>
      <c r="C1056" s="4">
        <f t="shared" ca="1" si="39"/>
        <v>45635</v>
      </c>
      <c r="D1056" s="42"/>
      <c r="E1056" s="3" t="s">
        <v>1037</v>
      </c>
      <c r="F1056" s="43" t="b">
        <v>0</v>
      </c>
      <c r="G1056" s="43" t="b">
        <v>0</v>
      </c>
      <c r="H1056" s="44">
        <v>2250</v>
      </c>
    </row>
    <row r="1057" spans="1:8" x14ac:dyDescent="0.3">
      <c r="A1057" s="42" t="s">
        <v>1449</v>
      </c>
      <c r="B1057" s="3" t="s">
        <v>1450</v>
      </c>
      <c r="C1057" s="4">
        <f t="shared" ca="1" si="39"/>
        <v>45635</v>
      </c>
      <c r="D1057" s="42"/>
      <c r="E1057" s="3" t="s">
        <v>1037</v>
      </c>
      <c r="F1057" s="43" t="b">
        <v>0</v>
      </c>
      <c r="G1057" s="43" t="b">
        <v>0</v>
      </c>
      <c r="H1057" s="44">
        <v>1410</v>
      </c>
    </row>
    <row r="1058" spans="1:8" x14ac:dyDescent="0.3">
      <c r="A1058" s="42" t="s">
        <v>1409</v>
      </c>
      <c r="B1058" s="3" t="s">
        <v>1410</v>
      </c>
      <c r="C1058" s="4">
        <f t="shared" ca="1" si="39"/>
        <v>45635</v>
      </c>
      <c r="D1058" s="4">
        <f ca="1">TODAY()-392</f>
        <v>45645</v>
      </c>
      <c r="E1058" s="3" t="s">
        <v>1032</v>
      </c>
      <c r="F1058" s="43" t="b">
        <v>1</v>
      </c>
      <c r="G1058" s="43" t="b">
        <v>0</v>
      </c>
      <c r="H1058" s="44">
        <v>560</v>
      </c>
    </row>
    <row r="1059" spans="1:8" x14ac:dyDescent="0.3">
      <c r="A1059" s="42" t="s">
        <v>1845</v>
      </c>
      <c r="B1059" s="3" t="s">
        <v>1846</v>
      </c>
      <c r="C1059" s="4">
        <f t="shared" ca="1" si="39"/>
        <v>45635</v>
      </c>
      <c r="D1059" s="4">
        <f ca="1">TODAY()-384</f>
        <v>45653</v>
      </c>
      <c r="E1059" s="3" t="s">
        <v>1032</v>
      </c>
      <c r="F1059" s="43" t="b">
        <v>1</v>
      </c>
      <c r="G1059" s="43" t="b">
        <v>0</v>
      </c>
      <c r="H1059" s="44">
        <v>1300</v>
      </c>
    </row>
    <row r="1060" spans="1:8" x14ac:dyDescent="0.3">
      <c r="A1060" s="42" t="s">
        <v>1901</v>
      </c>
      <c r="B1060" s="3" t="s">
        <v>1902</v>
      </c>
      <c r="C1060" s="4">
        <f t="shared" ca="1" si="39"/>
        <v>45635</v>
      </c>
      <c r="D1060" s="42"/>
      <c r="E1060" s="3" t="s">
        <v>1101</v>
      </c>
      <c r="F1060" s="43" t="b">
        <v>0</v>
      </c>
      <c r="G1060" s="43" t="b">
        <v>0</v>
      </c>
      <c r="H1060" s="44">
        <v>550</v>
      </c>
    </row>
    <row r="1061" spans="1:8" x14ac:dyDescent="0.3">
      <c r="A1061" s="42" t="s">
        <v>1169</v>
      </c>
      <c r="B1061" s="3" t="s">
        <v>1170</v>
      </c>
      <c r="C1061" s="4">
        <f t="shared" ca="1" si="39"/>
        <v>45635</v>
      </c>
      <c r="D1061" s="4">
        <f ca="1">TODAY()-390</f>
        <v>45647</v>
      </c>
      <c r="E1061" s="3" t="s">
        <v>1029</v>
      </c>
      <c r="F1061" s="43" t="b">
        <v>1</v>
      </c>
      <c r="G1061" s="43" t="b">
        <v>1</v>
      </c>
      <c r="H1061" s="44">
        <v>1220</v>
      </c>
    </row>
    <row r="1062" spans="1:8" x14ac:dyDescent="0.3">
      <c r="A1062" s="42" t="s">
        <v>1444</v>
      </c>
      <c r="B1062" s="3" t="s">
        <v>1445</v>
      </c>
      <c r="C1062" s="4">
        <f t="shared" ca="1" si="39"/>
        <v>45635</v>
      </c>
      <c r="D1062" s="42"/>
      <c r="E1062" s="3" t="s">
        <v>1077</v>
      </c>
      <c r="F1062" s="43" t="b">
        <v>0</v>
      </c>
      <c r="G1062" s="43" t="b">
        <v>0</v>
      </c>
      <c r="H1062" s="44">
        <v>550</v>
      </c>
    </row>
    <row r="1063" spans="1:8" x14ac:dyDescent="0.3">
      <c r="A1063" s="42" t="s">
        <v>1264</v>
      </c>
      <c r="B1063" s="3" t="s">
        <v>1265</v>
      </c>
      <c r="C1063" s="4">
        <f t="shared" ca="1" si="39"/>
        <v>45635</v>
      </c>
      <c r="D1063" s="4">
        <f ca="1">TODAY()-392</f>
        <v>45645</v>
      </c>
      <c r="E1063" s="3" t="s">
        <v>1029</v>
      </c>
      <c r="F1063" s="43" t="b">
        <v>1</v>
      </c>
      <c r="G1063" s="43" t="b">
        <v>1</v>
      </c>
      <c r="H1063" s="44">
        <v>1230</v>
      </c>
    </row>
    <row r="1064" spans="1:8" x14ac:dyDescent="0.3">
      <c r="A1064" s="42" t="s">
        <v>1535</v>
      </c>
      <c r="B1064" s="3" t="s">
        <v>1597</v>
      </c>
      <c r="C1064" s="4">
        <f t="shared" ca="1" si="39"/>
        <v>45635</v>
      </c>
      <c r="D1064" s="4">
        <f ca="1">TODAY()-376</f>
        <v>45661</v>
      </c>
      <c r="E1064" s="3" t="s">
        <v>1029</v>
      </c>
      <c r="F1064" s="43" t="b">
        <v>1</v>
      </c>
      <c r="G1064" s="43" t="b">
        <v>1</v>
      </c>
      <c r="H1064" s="44">
        <v>1480</v>
      </c>
    </row>
    <row r="1065" spans="1:8" x14ac:dyDescent="0.3">
      <c r="A1065" s="42" t="s">
        <v>1310</v>
      </c>
      <c r="B1065" s="3" t="s">
        <v>1311</v>
      </c>
      <c r="C1065" s="4">
        <f t="shared" ca="1" si="39"/>
        <v>45635</v>
      </c>
      <c r="D1065" s="4">
        <f ca="1">TODAY()-378</f>
        <v>45659</v>
      </c>
      <c r="E1065" s="3" t="s">
        <v>1029</v>
      </c>
      <c r="F1065" s="43" t="b">
        <v>1</v>
      </c>
      <c r="G1065" s="43" t="b">
        <v>1</v>
      </c>
      <c r="H1065" s="44">
        <v>2070</v>
      </c>
    </row>
    <row r="1066" spans="1:8" x14ac:dyDescent="0.3">
      <c r="A1066" s="42" t="s">
        <v>1679</v>
      </c>
      <c r="B1066" s="3" t="s">
        <v>1717</v>
      </c>
      <c r="C1066" s="4">
        <f t="shared" ca="1" si="39"/>
        <v>45635</v>
      </c>
      <c r="D1066" s="4">
        <f ca="1">TODAY()-389</f>
        <v>45648</v>
      </c>
      <c r="E1066" s="3" t="s">
        <v>1032</v>
      </c>
      <c r="F1066" s="43" t="b">
        <v>1</v>
      </c>
      <c r="G1066" s="43" t="b">
        <v>0</v>
      </c>
      <c r="H1066" s="44">
        <v>1730</v>
      </c>
    </row>
    <row r="1067" spans="1:8" x14ac:dyDescent="0.3">
      <c r="A1067" s="42" t="s">
        <v>1401</v>
      </c>
      <c r="B1067" s="3" t="s">
        <v>1402</v>
      </c>
      <c r="C1067" s="4">
        <f t="shared" ca="1" si="39"/>
        <v>45635</v>
      </c>
      <c r="D1067" s="42"/>
      <c r="E1067" s="3" t="s">
        <v>1101</v>
      </c>
      <c r="F1067" s="43" t="b">
        <v>0</v>
      </c>
      <c r="G1067" s="43" t="b">
        <v>0</v>
      </c>
      <c r="H1067" s="44">
        <v>780</v>
      </c>
    </row>
    <row r="1068" spans="1:8" x14ac:dyDescent="0.3">
      <c r="A1068" s="42" t="s">
        <v>1334</v>
      </c>
      <c r="B1068" s="3" t="s">
        <v>1222</v>
      </c>
      <c r="C1068" s="4">
        <f t="shared" ca="1" si="39"/>
        <v>45635</v>
      </c>
      <c r="D1068" s="42"/>
      <c r="E1068" s="3" t="s">
        <v>1108</v>
      </c>
      <c r="F1068" s="43" t="b">
        <v>0</v>
      </c>
      <c r="G1068" s="43" t="b">
        <v>0</v>
      </c>
      <c r="H1068" s="44">
        <v>2230</v>
      </c>
    </row>
    <row r="1069" spans="1:8" x14ac:dyDescent="0.3">
      <c r="A1069" s="42" t="s">
        <v>1620</v>
      </c>
      <c r="B1069" s="3" t="s">
        <v>1621</v>
      </c>
      <c r="C1069" s="4">
        <f t="shared" ca="1" si="39"/>
        <v>45635</v>
      </c>
      <c r="D1069" s="4">
        <f ca="1">TODAY()-388</f>
        <v>45649</v>
      </c>
      <c r="E1069" s="3" t="s">
        <v>1032</v>
      </c>
      <c r="F1069" s="43" t="b">
        <v>1</v>
      </c>
      <c r="G1069" s="43" t="b">
        <v>0</v>
      </c>
      <c r="H1069" s="44">
        <v>120</v>
      </c>
    </row>
    <row r="1070" spans="1:8" x14ac:dyDescent="0.3">
      <c r="A1070" s="42" t="s">
        <v>1294</v>
      </c>
      <c r="B1070" s="3" t="s">
        <v>1295</v>
      </c>
      <c r="C1070" s="4">
        <f t="shared" ca="1" si="39"/>
        <v>45635</v>
      </c>
      <c r="D1070" s="4">
        <f ca="1">TODAY()-387</f>
        <v>45650</v>
      </c>
      <c r="E1070" s="3" t="s">
        <v>1029</v>
      </c>
      <c r="F1070" s="43" t="b">
        <v>1</v>
      </c>
      <c r="G1070" s="43" t="b">
        <v>1</v>
      </c>
      <c r="H1070" s="44">
        <v>2410</v>
      </c>
    </row>
    <row r="1071" spans="1:8" x14ac:dyDescent="0.3">
      <c r="A1071" s="42" t="s">
        <v>1697</v>
      </c>
      <c r="B1071" s="3" t="s">
        <v>1698</v>
      </c>
      <c r="C1071" s="4">
        <f t="shared" ca="1" si="39"/>
        <v>45635</v>
      </c>
      <c r="D1071" s="4">
        <f ca="1">TODAY()-383</f>
        <v>45654</v>
      </c>
      <c r="E1071" s="3" t="s">
        <v>1029</v>
      </c>
      <c r="F1071" s="43" t="b">
        <v>1</v>
      </c>
      <c r="G1071" s="43" t="b">
        <v>1</v>
      </c>
      <c r="H1071" s="44">
        <v>2160</v>
      </c>
    </row>
    <row r="1072" spans="1:8" x14ac:dyDescent="0.3">
      <c r="A1072" s="42" t="s">
        <v>1033</v>
      </c>
      <c r="B1072" s="3" t="s">
        <v>1034</v>
      </c>
      <c r="C1072" s="4">
        <f t="shared" ca="1" si="39"/>
        <v>45635</v>
      </c>
      <c r="D1072" s="4">
        <f ca="1">TODAY()-391</f>
        <v>45646</v>
      </c>
      <c r="E1072" s="3" t="s">
        <v>1029</v>
      </c>
      <c r="F1072" s="43" t="b">
        <v>1</v>
      </c>
      <c r="G1072" s="43" t="b">
        <v>1</v>
      </c>
      <c r="H1072" s="44">
        <v>2110</v>
      </c>
    </row>
    <row r="1073" spans="1:8" x14ac:dyDescent="0.3">
      <c r="A1073" s="42" t="s">
        <v>1682</v>
      </c>
      <c r="B1073" s="3" t="s">
        <v>1683</v>
      </c>
      <c r="C1073" s="4">
        <f t="shared" ca="1" si="39"/>
        <v>45635</v>
      </c>
      <c r="D1073" s="4">
        <f ca="1">TODAY()-382</f>
        <v>45655</v>
      </c>
      <c r="E1073" s="3" t="s">
        <v>1029</v>
      </c>
      <c r="F1073" s="43" t="b">
        <v>1</v>
      </c>
      <c r="G1073" s="43" t="b">
        <v>1</v>
      </c>
      <c r="H1073" s="44">
        <v>2190</v>
      </c>
    </row>
    <row r="1074" spans="1:8" x14ac:dyDescent="0.3">
      <c r="A1074" s="42" t="s">
        <v>1551</v>
      </c>
      <c r="B1074" s="3" t="s">
        <v>1552</v>
      </c>
      <c r="C1074" s="4">
        <f t="shared" ca="1" si="39"/>
        <v>45635</v>
      </c>
      <c r="D1074" s="4">
        <f ca="1">TODAY()-378</f>
        <v>45659</v>
      </c>
      <c r="E1074" s="3" t="s">
        <v>1029</v>
      </c>
      <c r="F1074" s="43" t="b">
        <v>1</v>
      </c>
      <c r="G1074" s="43" t="b">
        <v>1</v>
      </c>
      <c r="H1074" s="44">
        <v>2230</v>
      </c>
    </row>
    <row r="1075" spans="1:8" x14ac:dyDescent="0.3">
      <c r="A1075" s="42" t="s">
        <v>1298</v>
      </c>
      <c r="B1075" s="3" t="s">
        <v>1299</v>
      </c>
      <c r="C1075" s="4">
        <f t="shared" ca="1" si="39"/>
        <v>45635</v>
      </c>
      <c r="D1075" s="4">
        <f ca="1">TODAY()-388</f>
        <v>45649</v>
      </c>
      <c r="E1075" s="3" t="s">
        <v>1032</v>
      </c>
      <c r="F1075" s="43" t="b">
        <v>1</v>
      </c>
      <c r="G1075" s="43" t="b">
        <v>0</v>
      </c>
      <c r="H1075" s="44">
        <v>260</v>
      </c>
    </row>
    <row r="1076" spans="1:8" x14ac:dyDescent="0.3">
      <c r="A1076" s="42" t="s">
        <v>1200</v>
      </c>
      <c r="B1076" s="3" t="s">
        <v>1201</v>
      </c>
      <c r="C1076" s="4">
        <f t="shared" ca="1" si="39"/>
        <v>45635</v>
      </c>
      <c r="D1076" s="42"/>
      <c r="E1076" s="3" t="s">
        <v>1037</v>
      </c>
      <c r="F1076" s="43" t="b">
        <v>0</v>
      </c>
      <c r="G1076" s="43" t="b">
        <v>0</v>
      </c>
      <c r="H1076" s="44">
        <v>2470</v>
      </c>
    </row>
    <row r="1077" spans="1:8" x14ac:dyDescent="0.3">
      <c r="A1077" s="42" t="s">
        <v>1401</v>
      </c>
      <c r="B1077" s="3" t="s">
        <v>1402</v>
      </c>
      <c r="C1077" s="4">
        <f t="shared" ca="1" si="39"/>
        <v>45635</v>
      </c>
      <c r="D1077" s="42"/>
      <c r="E1077" s="3" t="s">
        <v>1101</v>
      </c>
      <c r="F1077" s="43" t="b">
        <v>0</v>
      </c>
      <c r="G1077" s="43" t="b">
        <v>0</v>
      </c>
      <c r="H1077" s="44">
        <v>780</v>
      </c>
    </row>
    <row r="1078" spans="1:8" x14ac:dyDescent="0.3">
      <c r="A1078" s="42" t="s">
        <v>1758</v>
      </c>
      <c r="B1078" s="3" t="s">
        <v>1903</v>
      </c>
      <c r="C1078" s="4">
        <f t="shared" ca="1" si="39"/>
        <v>45635</v>
      </c>
      <c r="D1078" s="4">
        <f ca="1">TODAY()-380</f>
        <v>45657</v>
      </c>
      <c r="E1078" s="3" t="s">
        <v>1029</v>
      </c>
      <c r="F1078" s="43" t="b">
        <v>1</v>
      </c>
      <c r="G1078" s="43" t="b">
        <v>1</v>
      </c>
      <c r="H1078" s="44">
        <v>1260</v>
      </c>
    </row>
    <row r="1079" spans="1:8" x14ac:dyDescent="0.3">
      <c r="A1079" s="42" t="s">
        <v>1839</v>
      </c>
      <c r="B1079" s="3" t="s">
        <v>1840</v>
      </c>
      <c r="C1079" s="4">
        <f t="shared" ca="1" si="39"/>
        <v>45635</v>
      </c>
      <c r="D1079" s="4">
        <f ca="1">TODAY()-374</f>
        <v>45663</v>
      </c>
      <c r="E1079" s="3" t="s">
        <v>1032</v>
      </c>
      <c r="F1079" s="43" t="b">
        <v>1</v>
      </c>
      <c r="G1079" s="43" t="b">
        <v>0</v>
      </c>
      <c r="H1079" s="44">
        <v>1000</v>
      </c>
    </row>
    <row r="1080" spans="1:8" x14ac:dyDescent="0.3">
      <c r="A1080" s="42" t="s">
        <v>1262</v>
      </c>
      <c r="B1080" s="3" t="s">
        <v>1201</v>
      </c>
      <c r="C1080" s="4">
        <f t="shared" ca="1" si="39"/>
        <v>45635</v>
      </c>
      <c r="D1080" s="42"/>
      <c r="E1080" s="3" t="s">
        <v>1108</v>
      </c>
      <c r="F1080" s="43" t="b">
        <v>0</v>
      </c>
      <c r="G1080" s="43" t="b">
        <v>0</v>
      </c>
      <c r="H1080" s="44">
        <v>240</v>
      </c>
    </row>
    <row r="1081" spans="1:8" x14ac:dyDescent="0.3">
      <c r="A1081" s="42" t="s">
        <v>1062</v>
      </c>
      <c r="B1081" s="3" t="s">
        <v>1904</v>
      </c>
      <c r="C1081" s="4">
        <f t="shared" ca="1" si="39"/>
        <v>45635</v>
      </c>
      <c r="D1081" s="4">
        <f ca="1">TODAY()-375</f>
        <v>45662</v>
      </c>
      <c r="E1081" s="3" t="s">
        <v>1032</v>
      </c>
      <c r="F1081" s="43" t="b">
        <v>1</v>
      </c>
      <c r="G1081" s="43" t="b">
        <v>0</v>
      </c>
      <c r="H1081" s="44">
        <v>900</v>
      </c>
    </row>
    <row r="1082" spans="1:8" x14ac:dyDescent="0.3">
      <c r="A1082" s="42" t="s">
        <v>1366</v>
      </c>
      <c r="B1082" s="3" t="s">
        <v>1367</v>
      </c>
      <c r="C1082" s="4">
        <f t="shared" ca="1" si="39"/>
        <v>45635</v>
      </c>
      <c r="D1082" s="42"/>
      <c r="E1082" s="3" t="s">
        <v>1037</v>
      </c>
      <c r="F1082" s="43" t="b">
        <v>0</v>
      </c>
      <c r="G1082" s="43" t="b">
        <v>0</v>
      </c>
      <c r="H1082" s="44">
        <v>2450</v>
      </c>
    </row>
    <row r="1083" spans="1:8" x14ac:dyDescent="0.3">
      <c r="A1083" s="42" t="s">
        <v>1370</v>
      </c>
      <c r="B1083" s="3" t="s">
        <v>1864</v>
      </c>
      <c r="C1083" s="4">
        <f t="shared" ca="1" si="39"/>
        <v>45635</v>
      </c>
      <c r="D1083" s="4">
        <f ca="1">TODAY()-390</f>
        <v>45647</v>
      </c>
      <c r="E1083" s="3" t="s">
        <v>1029</v>
      </c>
      <c r="F1083" s="43" t="b">
        <v>1</v>
      </c>
      <c r="G1083" s="43" t="b">
        <v>1</v>
      </c>
      <c r="H1083" s="44">
        <v>120</v>
      </c>
    </row>
    <row r="1084" spans="1:8" x14ac:dyDescent="0.3">
      <c r="A1084" s="42" t="s">
        <v>1490</v>
      </c>
      <c r="B1084" s="3" t="s">
        <v>1491</v>
      </c>
      <c r="C1084" s="4">
        <f t="shared" ca="1" si="39"/>
        <v>45635</v>
      </c>
      <c r="D1084" s="42"/>
      <c r="E1084" s="3" t="s">
        <v>1037</v>
      </c>
      <c r="F1084" s="43" t="b">
        <v>0</v>
      </c>
      <c r="G1084" s="43" t="b">
        <v>0</v>
      </c>
      <c r="H1084" s="44">
        <v>980</v>
      </c>
    </row>
    <row r="1085" spans="1:8" x14ac:dyDescent="0.3">
      <c r="A1085" s="42" t="s">
        <v>1198</v>
      </c>
      <c r="B1085" s="3" t="s">
        <v>1199</v>
      </c>
      <c r="C1085" s="4">
        <f t="shared" ca="1" si="39"/>
        <v>45635</v>
      </c>
      <c r="D1085" s="4">
        <f ca="1">TODAY()-380</f>
        <v>45657</v>
      </c>
      <c r="E1085" s="3" t="s">
        <v>1029</v>
      </c>
      <c r="F1085" s="43" t="b">
        <v>1</v>
      </c>
      <c r="G1085" s="43" t="b">
        <v>1</v>
      </c>
      <c r="H1085" s="44">
        <v>190</v>
      </c>
    </row>
    <row r="1086" spans="1:8" x14ac:dyDescent="0.3">
      <c r="A1086" s="42" t="s">
        <v>1743</v>
      </c>
      <c r="B1086" s="3" t="s">
        <v>1744</v>
      </c>
      <c r="C1086" s="4">
        <f t="shared" ca="1" si="39"/>
        <v>45635</v>
      </c>
      <c r="D1086" s="4">
        <f ca="1">TODAY()-383</f>
        <v>45654</v>
      </c>
      <c r="E1086" s="3" t="s">
        <v>1029</v>
      </c>
      <c r="F1086" s="43" t="b">
        <v>1</v>
      </c>
      <c r="G1086" s="43" t="b">
        <v>1</v>
      </c>
      <c r="H1086" s="44">
        <v>890</v>
      </c>
    </row>
    <row r="1087" spans="1:8" x14ac:dyDescent="0.3">
      <c r="A1087" s="42" t="s">
        <v>1541</v>
      </c>
      <c r="B1087" s="3" t="s">
        <v>1905</v>
      </c>
      <c r="C1087" s="4">
        <f t="shared" ca="1" si="39"/>
        <v>45635</v>
      </c>
      <c r="D1087" s="42"/>
      <c r="E1087" s="3" t="s">
        <v>1077</v>
      </c>
      <c r="F1087" s="43" t="b">
        <v>0</v>
      </c>
      <c r="G1087" s="43" t="b">
        <v>0</v>
      </c>
      <c r="H1087" s="44">
        <v>550</v>
      </c>
    </row>
    <row r="1088" spans="1:8" x14ac:dyDescent="0.3">
      <c r="A1088" s="42" t="s">
        <v>1033</v>
      </c>
      <c r="B1088" s="3" t="s">
        <v>1457</v>
      </c>
      <c r="C1088" s="4">
        <f t="shared" ca="1" si="39"/>
        <v>45635</v>
      </c>
      <c r="D1088" s="4">
        <f ca="1">TODAY()-376</f>
        <v>45661</v>
      </c>
      <c r="E1088" s="3" t="s">
        <v>1032</v>
      </c>
      <c r="F1088" s="43" t="b">
        <v>1</v>
      </c>
      <c r="G1088" s="43" t="b">
        <v>0</v>
      </c>
      <c r="H1088" s="44">
        <v>550</v>
      </c>
    </row>
    <row r="1089" spans="1:8" x14ac:dyDescent="0.3">
      <c r="A1089" s="42" t="s">
        <v>1532</v>
      </c>
      <c r="B1089" s="3" t="s">
        <v>1906</v>
      </c>
      <c r="C1089" s="4">
        <f t="shared" ca="1" si="39"/>
        <v>45635</v>
      </c>
      <c r="D1089" s="4">
        <f ca="1">TODAY()-386</f>
        <v>45651</v>
      </c>
      <c r="E1089" s="3" t="s">
        <v>1032</v>
      </c>
      <c r="F1089" s="43" t="b">
        <v>1</v>
      </c>
      <c r="G1089" s="43" t="b">
        <v>0</v>
      </c>
      <c r="H1089" s="44">
        <v>1850</v>
      </c>
    </row>
    <row r="1090" spans="1:8" x14ac:dyDescent="0.3">
      <c r="A1090" s="42" t="s">
        <v>1398</v>
      </c>
      <c r="B1090" s="3" t="s">
        <v>1859</v>
      </c>
      <c r="C1090" s="4">
        <f t="shared" ca="1" si="39"/>
        <v>45635</v>
      </c>
      <c r="D1090" s="4">
        <f ca="1">TODAY()-381</f>
        <v>45656</v>
      </c>
      <c r="E1090" s="3" t="s">
        <v>1029</v>
      </c>
      <c r="F1090" s="43" t="b">
        <v>1</v>
      </c>
      <c r="G1090" s="43" t="b">
        <v>1</v>
      </c>
      <c r="H1090" s="44">
        <v>2360</v>
      </c>
    </row>
    <row r="1091" spans="1:8" x14ac:dyDescent="0.3">
      <c r="A1091" s="42" t="s">
        <v>1133</v>
      </c>
      <c r="B1091" s="3" t="s">
        <v>1134</v>
      </c>
      <c r="C1091" s="4">
        <f t="shared" ca="1" si="39"/>
        <v>45635</v>
      </c>
      <c r="D1091" s="4">
        <f ca="1">TODAY()-382</f>
        <v>45655</v>
      </c>
      <c r="E1091" s="3" t="s">
        <v>1029</v>
      </c>
      <c r="F1091" s="43" t="b">
        <v>1</v>
      </c>
      <c r="G1091" s="43" t="b">
        <v>1</v>
      </c>
      <c r="H1091" s="44">
        <v>120</v>
      </c>
    </row>
    <row r="1092" spans="1:8" x14ac:dyDescent="0.3">
      <c r="A1092" s="42" t="s">
        <v>1739</v>
      </c>
      <c r="B1092" s="3" t="s">
        <v>1178</v>
      </c>
      <c r="C1092" s="4">
        <f t="shared" ca="1" si="39"/>
        <v>45635</v>
      </c>
      <c r="D1092" s="4">
        <f ca="1">TODAY()-391</f>
        <v>45646</v>
      </c>
      <c r="E1092" s="3" t="s">
        <v>1029</v>
      </c>
      <c r="F1092" s="43" t="b">
        <v>1</v>
      </c>
      <c r="G1092" s="43" t="b">
        <v>1</v>
      </c>
      <c r="H1092" s="44">
        <v>1850</v>
      </c>
    </row>
    <row r="1093" spans="1:8" x14ac:dyDescent="0.3">
      <c r="A1093" s="42" t="s">
        <v>1556</v>
      </c>
      <c r="B1093" s="3" t="s">
        <v>1557</v>
      </c>
      <c r="C1093" s="4">
        <f t="shared" ca="1" si="39"/>
        <v>45635</v>
      </c>
      <c r="D1093" s="4">
        <f ca="1">TODAY()-376</f>
        <v>45661</v>
      </c>
      <c r="E1093" s="3" t="s">
        <v>1032</v>
      </c>
      <c r="F1093" s="43" t="b">
        <v>1</v>
      </c>
      <c r="G1093" s="43" t="b">
        <v>0</v>
      </c>
      <c r="H1093" s="44">
        <v>1220</v>
      </c>
    </row>
    <row r="1094" spans="1:8" x14ac:dyDescent="0.3">
      <c r="A1094" s="42" t="s">
        <v>1419</v>
      </c>
      <c r="B1094" s="3" t="s">
        <v>1907</v>
      </c>
      <c r="C1094" s="4">
        <f t="shared" ca="1" si="39"/>
        <v>45635</v>
      </c>
      <c r="D1094" s="42"/>
      <c r="E1094" s="3" t="s">
        <v>1108</v>
      </c>
      <c r="F1094" s="43" t="b">
        <v>0</v>
      </c>
      <c r="G1094" s="43" t="b">
        <v>0</v>
      </c>
      <c r="H1094" s="44">
        <v>1180</v>
      </c>
    </row>
    <row r="1095" spans="1:8" x14ac:dyDescent="0.3">
      <c r="A1095" s="42" t="s">
        <v>1713</v>
      </c>
      <c r="B1095" s="3" t="s">
        <v>1201</v>
      </c>
      <c r="C1095" s="4">
        <f t="shared" ca="1" si="39"/>
        <v>45635</v>
      </c>
      <c r="D1095" s="4">
        <f ca="1">TODAY()-378</f>
        <v>45659</v>
      </c>
      <c r="E1095" s="3" t="s">
        <v>1029</v>
      </c>
      <c r="F1095" s="43" t="b">
        <v>1</v>
      </c>
      <c r="G1095" s="43" t="b">
        <v>1</v>
      </c>
      <c r="H1095" s="44">
        <v>2960</v>
      </c>
    </row>
    <row r="1096" spans="1:8" x14ac:dyDescent="0.3">
      <c r="A1096" s="42" t="s">
        <v>1739</v>
      </c>
      <c r="B1096" s="3" t="s">
        <v>1178</v>
      </c>
      <c r="C1096" s="4">
        <f t="shared" ca="1" si="39"/>
        <v>45635</v>
      </c>
      <c r="D1096" s="4">
        <f ca="1">TODAY()-392</f>
        <v>45645</v>
      </c>
      <c r="E1096" s="3" t="s">
        <v>1029</v>
      </c>
      <c r="F1096" s="43" t="b">
        <v>1</v>
      </c>
      <c r="G1096" s="43" t="b">
        <v>1</v>
      </c>
      <c r="H1096" s="44">
        <v>1850</v>
      </c>
    </row>
    <row r="1097" spans="1:8" x14ac:dyDescent="0.3">
      <c r="A1097" s="42" t="s">
        <v>1908</v>
      </c>
      <c r="B1097" s="3" t="s">
        <v>1909</v>
      </c>
      <c r="C1097" s="4">
        <f t="shared" ca="1" si="39"/>
        <v>45635</v>
      </c>
      <c r="D1097" s="4">
        <f ca="1">TODAY()-391</f>
        <v>45646</v>
      </c>
      <c r="E1097" s="3" t="s">
        <v>1032</v>
      </c>
      <c r="F1097" s="43" t="b">
        <v>1</v>
      </c>
      <c r="G1097" s="43" t="b">
        <v>0</v>
      </c>
      <c r="H1097" s="44">
        <v>1030</v>
      </c>
    </row>
    <row r="1098" spans="1:8" x14ac:dyDescent="0.3">
      <c r="A1098" s="42" t="s">
        <v>1249</v>
      </c>
      <c r="B1098" s="3" t="s">
        <v>1769</v>
      </c>
      <c r="C1098" s="4">
        <f t="shared" ca="1" si="39"/>
        <v>45635</v>
      </c>
      <c r="D1098" s="4">
        <f ca="1">TODAY()-374</f>
        <v>45663</v>
      </c>
      <c r="E1098" s="3" t="s">
        <v>1029</v>
      </c>
      <c r="F1098" s="43" t="b">
        <v>1</v>
      </c>
      <c r="G1098" s="43" t="b">
        <v>1</v>
      </c>
      <c r="H1098" s="44">
        <v>370</v>
      </c>
    </row>
    <row r="1099" spans="1:8" x14ac:dyDescent="0.3">
      <c r="A1099" s="42" t="s">
        <v>1598</v>
      </c>
      <c r="B1099" s="3" t="s">
        <v>1275</v>
      </c>
      <c r="C1099" s="4">
        <f t="shared" ca="1" si="39"/>
        <v>45635</v>
      </c>
      <c r="D1099" s="4">
        <f ca="1">TODAY()-380</f>
        <v>45657</v>
      </c>
      <c r="E1099" s="3" t="s">
        <v>1029</v>
      </c>
      <c r="F1099" s="43" t="b">
        <v>1</v>
      </c>
      <c r="G1099" s="43" t="b">
        <v>1</v>
      </c>
      <c r="H1099" s="44">
        <v>1570</v>
      </c>
    </row>
    <row r="1100" spans="1:8" x14ac:dyDescent="0.3">
      <c r="A1100" s="42" t="s">
        <v>1391</v>
      </c>
      <c r="B1100" s="3" t="s">
        <v>1222</v>
      </c>
      <c r="C1100" s="4">
        <f t="shared" ca="1" si="39"/>
        <v>45635</v>
      </c>
      <c r="D1100" s="42"/>
      <c r="E1100" s="3" t="s">
        <v>1037</v>
      </c>
      <c r="F1100" s="43" t="b">
        <v>0</v>
      </c>
      <c r="G1100" s="43" t="b">
        <v>0</v>
      </c>
      <c r="H1100" s="44">
        <v>1280</v>
      </c>
    </row>
    <row r="1101" spans="1:8" x14ac:dyDescent="0.3">
      <c r="A1101" s="42" t="s">
        <v>1910</v>
      </c>
      <c r="B1101" s="3" t="s">
        <v>1911</v>
      </c>
      <c r="C1101" s="4">
        <f t="shared" ca="1" si="39"/>
        <v>45635</v>
      </c>
      <c r="D1101" s="4">
        <f ca="1">TODAY()-384</f>
        <v>45653</v>
      </c>
      <c r="E1101" s="3" t="s">
        <v>1029</v>
      </c>
      <c r="F1101" s="43" t="b">
        <v>1</v>
      </c>
      <c r="G1101" s="43" t="b">
        <v>1</v>
      </c>
      <c r="H1101" s="44">
        <v>350</v>
      </c>
    </row>
    <row r="1102" spans="1:8" x14ac:dyDescent="0.3">
      <c r="A1102" s="42" t="s">
        <v>1869</v>
      </c>
      <c r="B1102" s="3" t="s">
        <v>1870</v>
      </c>
      <c r="C1102" s="4">
        <f t="shared" ca="1" si="39"/>
        <v>45635</v>
      </c>
      <c r="D1102" s="4">
        <f ca="1">TODAY()-387</f>
        <v>45650</v>
      </c>
      <c r="E1102" s="3" t="s">
        <v>1032</v>
      </c>
      <c r="F1102" s="43" t="b">
        <v>1</v>
      </c>
      <c r="G1102" s="43" t="b">
        <v>0</v>
      </c>
      <c r="H1102" s="44">
        <v>190</v>
      </c>
    </row>
    <row r="1103" spans="1:8" x14ac:dyDescent="0.3">
      <c r="A1103" s="42" t="s">
        <v>1264</v>
      </c>
      <c r="B1103" s="3" t="s">
        <v>1265</v>
      </c>
      <c r="C1103" s="4">
        <f t="shared" ca="1" si="39"/>
        <v>45635</v>
      </c>
      <c r="D1103" s="4">
        <f ca="1">TODAY()-374</f>
        <v>45663</v>
      </c>
      <c r="E1103" s="3" t="s">
        <v>1029</v>
      </c>
      <c r="F1103" s="43" t="b">
        <v>1</v>
      </c>
      <c r="G1103" s="43" t="b">
        <v>1</v>
      </c>
      <c r="H1103" s="44">
        <v>1230</v>
      </c>
    </row>
    <row r="1104" spans="1:8" x14ac:dyDescent="0.3">
      <c r="A1104" s="42" t="s">
        <v>1512</v>
      </c>
      <c r="B1104" s="3" t="s">
        <v>1912</v>
      </c>
      <c r="C1104" s="4">
        <f t="shared" ca="1" si="39"/>
        <v>45635</v>
      </c>
      <c r="D1104" s="4">
        <f ca="1">TODAY()-375</f>
        <v>45662</v>
      </c>
      <c r="E1104" s="3" t="s">
        <v>1032</v>
      </c>
      <c r="F1104" s="43" t="b">
        <v>1</v>
      </c>
      <c r="G1104" s="43" t="b">
        <v>0</v>
      </c>
      <c r="H1104" s="44">
        <v>890</v>
      </c>
    </row>
    <row r="1105" spans="1:8" x14ac:dyDescent="0.3">
      <c r="A1105" s="42" t="s">
        <v>1618</v>
      </c>
      <c r="B1105" s="3" t="s">
        <v>1619</v>
      </c>
      <c r="C1105" s="4">
        <f t="shared" ca="1" si="39"/>
        <v>45635</v>
      </c>
      <c r="D1105" s="4">
        <f ca="1">TODAY()-374</f>
        <v>45663</v>
      </c>
      <c r="E1105" s="3" t="s">
        <v>1029</v>
      </c>
      <c r="F1105" s="43" t="b">
        <v>1</v>
      </c>
      <c r="G1105" s="43" t="b">
        <v>1</v>
      </c>
      <c r="H1105" s="44">
        <v>1210</v>
      </c>
    </row>
    <row r="1106" spans="1:8" x14ac:dyDescent="0.3">
      <c r="A1106" s="42" t="s">
        <v>1322</v>
      </c>
      <c r="B1106" s="3" t="s">
        <v>1802</v>
      </c>
      <c r="C1106" s="4">
        <f t="shared" ca="1" si="39"/>
        <v>45635</v>
      </c>
      <c r="D1106" s="4">
        <f ca="1">TODAY()-379</f>
        <v>45658</v>
      </c>
      <c r="E1106" s="3" t="s">
        <v>1029</v>
      </c>
      <c r="F1106" s="43" t="b">
        <v>1</v>
      </c>
      <c r="G1106" s="43" t="b">
        <v>1</v>
      </c>
      <c r="H1106" s="44">
        <v>2470</v>
      </c>
    </row>
    <row r="1107" spans="1:8" x14ac:dyDescent="0.3">
      <c r="A1107" s="42" t="s">
        <v>1348</v>
      </c>
      <c r="B1107" s="3" t="s">
        <v>1480</v>
      </c>
      <c r="C1107" s="4">
        <f t="shared" ca="1" si="39"/>
        <v>45635</v>
      </c>
      <c r="D1107" s="42"/>
      <c r="E1107" s="3" t="s">
        <v>1108</v>
      </c>
      <c r="F1107" s="43" t="b">
        <v>0</v>
      </c>
      <c r="G1107" s="43" t="b">
        <v>0</v>
      </c>
      <c r="H1107" s="44">
        <v>2330</v>
      </c>
    </row>
    <row r="1108" spans="1:8" x14ac:dyDescent="0.3">
      <c r="A1108" s="42" t="s">
        <v>1264</v>
      </c>
      <c r="B1108" s="3" t="s">
        <v>1663</v>
      </c>
      <c r="C1108" s="4">
        <f t="shared" ca="1" si="39"/>
        <v>45635</v>
      </c>
      <c r="D1108" s="4">
        <f ca="1">TODAY()-391</f>
        <v>45646</v>
      </c>
      <c r="E1108" s="3" t="s">
        <v>1032</v>
      </c>
      <c r="F1108" s="43" t="b">
        <v>1</v>
      </c>
      <c r="G1108" s="43" t="b">
        <v>0</v>
      </c>
      <c r="H1108" s="44">
        <v>2080</v>
      </c>
    </row>
    <row r="1109" spans="1:8" x14ac:dyDescent="0.3">
      <c r="A1109" s="42" t="s">
        <v>1448</v>
      </c>
      <c r="B1109" s="3" t="s">
        <v>1222</v>
      </c>
      <c r="C1109" s="4">
        <f t="shared" ca="1" si="39"/>
        <v>45635</v>
      </c>
      <c r="D1109" s="4">
        <f ca="1">TODAY()-384</f>
        <v>45653</v>
      </c>
      <c r="E1109" s="3" t="s">
        <v>1029</v>
      </c>
      <c r="F1109" s="43" t="b">
        <v>1</v>
      </c>
      <c r="G1109" s="43" t="b">
        <v>1</v>
      </c>
      <c r="H1109" s="44">
        <v>720</v>
      </c>
    </row>
    <row r="1110" spans="1:8" x14ac:dyDescent="0.3">
      <c r="A1110" s="42" t="s">
        <v>1399</v>
      </c>
      <c r="B1110" s="3" t="s">
        <v>1400</v>
      </c>
      <c r="C1110" s="4">
        <f t="shared" ca="1" si="39"/>
        <v>45635</v>
      </c>
      <c r="D1110" s="4">
        <f ca="1">TODAY()-386</f>
        <v>45651</v>
      </c>
      <c r="E1110" s="3" t="s">
        <v>1032</v>
      </c>
      <c r="F1110" s="43" t="b">
        <v>1</v>
      </c>
      <c r="G1110" s="43" t="b">
        <v>0</v>
      </c>
      <c r="H1110" s="44">
        <v>1460</v>
      </c>
    </row>
    <row r="1111" spans="1:8" x14ac:dyDescent="0.3">
      <c r="A1111" s="42" t="s">
        <v>1252</v>
      </c>
      <c r="B1111" s="3" t="s">
        <v>1253</v>
      </c>
      <c r="C1111" s="4">
        <f t="shared" ca="1" si="39"/>
        <v>45635</v>
      </c>
      <c r="D1111" s="4">
        <f ca="1">TODAY()-389</f>
        <v>45648</v>
      </c>
      <c r="E1111" s="3" t="s">
        <v>1032</v>
      </c>
      <c r="F1111" s="43" t="b">
        <v>1</v>
      </c>
      <c r="G1111" s="43" t="b">
        <v>0</v>
      </c>
      <c r="H1111" s="44">
        <v>1790</v>
      </c>
    </row>
    <row r="1112" spans="1:8" x14ac:dyDescent="0.3">
      <c r="A1112" s="42" t="s">
        <v>1566</v>
      </c>
      <c r="B1112" s="3" t="s">
        <v>1567</v>
      </c>
      <c r="C1112" s="4">
        <f t="shared" ref="C1112:C1222" ca="1" si="42">TODAY()-371</f>
        <v>45666</v>
      </c>
      <c r="D1112" s="4">
        <f ca="1">TODAY()-350</f>
        <v>45687</v>
      </c>
      <c r="E1112" s="3" t="s">
        <v>1029</v>
      </c>
      <c r="F1112" s="43" t="b">
        <v>1</v>
      </c>
      <c r="G1112" s="43" t="b">
        <v>1</v>
      </c>
      <c r="H1112" s="44">
        <v>650</v>
      </c>
    </row>
    <row r="1113" spans="1:8" x14ac:dyDescent="0.3">
      <c r="A1113" s="42" t="s">
        <v>1258</v>
      </c>
      <c r="B1113" s="3" t="s">
        <v>1259</v>
      </c>
      <c r="C1113" s="4">
        <f t="shared" ca="1" si="42"/>
        <v>45666</v>
      </c>
      <c r="D1113" s="4">
        <f ca="1">TODAY()-342</f>
        <v>45695</v>
      </c>
      <c r="E1113" s="3" t="s">
        <v>1032</v>
      </c>
      <c r="F1113" s="43" t="b">
        <v>1</v>
      </c>
      <c r="G1113" s="43" t="b">
        <v>0</v>
      </c>
      <c r="H1113" s="44">
        <v>1510</v>
      </c>
    </row>
    <row r="1114" spans="1:8" x14ac:dyDescent="0.3">
      <c r="A1114" s="42" t="s">
        <v>1203</v>
      </c>
      <c r="B1114" s="3" t="s">
        <v>1560</v>
      </c>
      <c r="C1114" s="4">
        <f t="shared" ca="1" si="42"/>
        <v>45666</v>
      </c>
      <c r="D1114" s="42"/>
      <c r="E1114" s="3" t="s">
        <v>1070</v>
      </c>
      <c r="F1114" s="43" t="b">
        <v>0</v>
      </c>
      <c r="G1114" s="43" t="b">
        <v>0</v>
      </c>
      <c r="H1114" s="44">
        <v>1250</v>
      </c>
    </row>
    <row r="1115" spans="1:8" x14ac:dyDescent="0.3">
      <c r="A1115" s="42" t="s">
        <v>1702</v>
      </c>
      <c r="B1115" s="3" t="s">
        <v>1703</v>
      </c>
      <c r="C1115" s="4">
        <f t="shared" ca="1" si="42"/>
        <v>45666</v>
      </c>
      <c r="D1115" s="4">
        <f ca="1">TODAY()-355</f>
        <v>45682</v>
      </c>
      <c r="E1115" s="3" t="s">
        <v>1029</v>
      </c>
      <c r="F1115" s="43" t="b">
        <v>1</v>
      </c>
      <c r="G1115" s="43" t="b">
        <v>1</v>
      </c>
      <c r="H1115" s="44">
        <v>2350</v>
      </c>
    </row>
    <row r="1116" spans="1:8" x14ac:dyDescent="0.3">
      <c r="A1116" s="42" t="s">
        <v>1913</v>
      </c>
      <c r="B1116" s="3" t="s">
        <v>1914</v>
      </c>
      <c r="C1116" s="4">
        <f t="shared" ca="1" si="42"/>
        <v>45666</v>
      </c>
      <c r="D1116" s="4">
        <f ca="1">TODAY()-360</f>
        <v>45677</v>
      </c>
      <c r="E1116" s="3" t="s">
        <v>1029</v>
      </c>
      <c r="F1116" s="43" t="b">
        <v>1</v>
      </c>
      <c r="G1116" s="43" t="b">
        <v>1</v>
      </c>
      <c r="H1116" s="44">
        <v>2320</v>
      </c>
    </row>
    <row r="1117" spans="1:8" x14ac:dyDescent="0.3">
      <c r="A1117" s="42" t="s">
        <v>1915</v>
      </c>
      <c r="B1117" s="3" t="s">
        <v>1831</v>
      </c>
      <c r="C1117" s="4">
        <f t="shared" ca="1" si="42"/>
        <v>45666</v>
      </c>
      <c r="D1117" s="4">
        <f t="shared" ref="D1117:D1118" ca="1" si="43">TODAY()-351</f>
        <v>45686</v>
      </c>
      <c r="E1117" s="3" t="s">
        <v>1032</v>
      </c>
      <c r="F1117" s="43" t="b">
        <v>1</v>
      </c>
      <c r="G1117" s="43" t="b">
        <v>0</v>
      </c>
      <c r="H1117" s="44">
        <v>250</v>
      </c>
    </row>
    <row r="1118" spans="1:8" x14ac:dyDescent="0.3">
      <c r="A1118" s="42" t="s">
        <v>1083</v>
      </c>
      <c r="B1118" s="3" t="s">
        <v>1084</v>
      </c>
      <c r="C1118" s="4">
        <f t="shared" ca="1" si="42"/>
        <v>45666</v>
      </c>
      <c r="D1118" s="4">
        <f t="shared" ca="1" si="43"/>
        <v>45686</v>
      </c>
      <c r="E1118" s="3" t="s">
        <v>1029</v>
      </c>
      <c r="F1118" s="43" t="b">
        <v>1</v>
      </c>
      <c r="G1118" s="43" t="b">
        <v>1</v>
      </c>
      <c r="H1118" s="44">
        <v>730</v>
      </c>
    </row>
    <row r="1119" spans="1:8" x14ac:dyDescent="0.3">
      <c r="A1119" s="42" t="s">
        <v>1171</v>
      </c>
      <c r="B1119" s="3" t="s">
        <v>1587</v>
      </c>
      <c r="C1119" s="4">
        <f t="shared" ca="1" si="42"/>
        <v>45666</v>
      </c>
      <c r="D1119" s="42"/>
      <c r="E1119" s="3" t="s">
        <v>1070</v>
      </c>
      <c r="F1119" s="43" t="b">
        <v>0</v>
      </c>
      <c r="G1119" s="43" t="b">
        <v>0</v>
      </c>
      <c r="H1119" s="44">
        <v>400</v>
      </c>
    </row>
    <row r="1120" spans="1:8" x14ac:dyDescent="0.3">
      <c r="A1120" s="42" t="s">
        <v>1654</v>
      </c>
      <c r="B1120" s="3" t="s">
        <v>1655</v>
      </c>
      <c r="C1120" s="4">
        <f t="shared" ca="1" si="42"/>
        <v>45666</v>
      </c>
      <c r="D1120" s="4">
        <f ca="1">TODAY()-344</f>
        <v>45693</v>
      </c>
      <c r="E1120" s="3" t="s">
        <v>1029</v>
      </c>
      <c r="F1120" s="43" t="b">
        <v>1</v>
      </c>
      <c r="G1120" s="43" t="b">
        <v>1</v>
      </c>
      <c r="H1120" s="44">
        <v>2780</v>
      </c>
    </row>
    <row r="1121" spans="1:8" x14ac:dyDescent="0.3">
      <c r="A1121" s="42" t="s">
        <v>1219</v>
      </c>
      <c r="B1121" s="3" t="s">
        <v>1220</v>
      </c>
      <c r="C1121" s="4">
        <f t="shared" ca="1" si="42"/>
        <v>45666</v>
      </c>
      <c r="D1121" s="4">
        <f ca="1">TODAY()-341</f>
        <v>45696</v>
      </c>
      <c r="E1121" s="3" t="s">
        <v>1032</v>
      </c>
      <c r="F1121" s="43" t="b">
        <v>1</v>
      </c>
      <c r="G1121" s="43" t="b">
        <v>0</v>
      </c>
      <c r="H1121" s="44">
        <v>730</v>
      </c>
    </row>
    <row r="1122" spans="1:8" x14ac:dyDescent="0.3">
      <c r="A1122" s="42" t="s">
        <v>1173</v>
      </c>
      <c r="B1122" s="3" t="s">
        <v>1706</v>
      </c>
      <c r="C1122" s="4">
        <f t="shared" ca="1" si="42"/>
        <v>45666</v>
      </c>
      <c r="D1122" s="42"/>
      <c r="E1122" s="3" t="s">
        <v>1070</v>
      </c>
      <c r="F1122" s="43" t="b">
        <v>0</v>
      </c>
      <c r="G1122" s="43" t="b">
        <v>0</v>
      </c>
      <c r="H1122" s="44">
        <v>130</v>
      </c>
    </row>
    <row r="1123" spans="1:8" x14ac:dyDescent="0.3">
      <c r="A1123" s="42" t="s">
        <v>1800</v>
      </c>
      <c r="B1123" s="3" t="s">
        <v>1801</v>
      </c>
      <c r="C1123" s="4">
        <f t="shared" ca="1" si="42"/>
        <v>45666</v>
      </c>
      <c r="D1123" s="4">
        <f ca="1">TODAY()-352</f>
        <v>45685</v>
      </c>
      <c r="E1123" s="3" t="s">
        <v>1029</v>
      </c>
      <c r="F1123" s="43" t="b">
        <v>1</v>
      </c>
      <c r="G1123" s="43" t="b">
        <v>1</v>
      </c>
      <c r="H1123" s="44">
        <v>1120</v>
      </c>
    </row>
    <row r="1124" spans="1:8" x14ac:dyDescent="0.3">
      <c r="A1124" s="42" t="s">
        <v>1860</v>
      </c>
      <c r="B1124" s="3" t="s">
        <v>1861</v>
      </c>
      <c r="C1124" s="4">
        <f t="shared" ca="1" si="42"/>
        <v>45666</v>
      </c>
      <c r="D1124" s="4">
        <f ca="1">TODAY()-358</f>
        <v>45679</v>
      </c>
      <c r="E1124" s="3" t="s">
        <v>1032</v>
      </c>
      <c r="F1124" s="43" t="b">
        <v>1</v>
      </c>
      <c r="G1124" s="43" t="b">
        <v>0</v>
      </c>
      <c r="H1124" s="44">
        <v>1000</v>
      </c>
    </row>
    <row r="1125" spans="1:8" x14ac:dyDescent="0.3">
      <c r="A1125" s="42" t="s">
        <v>1437</v>
      </c>
      <c r="B1125" s="3" t="s">
        <v>1608</v>
      </c>
      <c r="C1125" s="4">
        <f t="shared" ca="1" si="42"/>
        <v>45666</v>
      </c>
      <c r="D1125" s="4">
        <f ca="1">TODAY()-354</f>
        <v>45683</v>
      </c>
      <c r="E1125" s="3" t="s">
        <v>1029</v>
      </c>
      <c r="F1125" s="43" t="b">
        <v>1</v>
      </c>
      <c r="G1125" s="43" t="b">
        <v>1</v>
      </c>
      <c r="H1125" s="44">
        <v>310</v>
      </c>
    </row>
    <row r="1126" spans="1:8" x14ac:dyDescent="0.3">
      <c r="A1126" s="42" t="s">
        <v>1149</v>
      </c>
      <c r="B1126" s="3" t="s">
        <v>1150</v>
      </c>
      <c r="C1126" s="4">
        <f t="shared" ca="1" si="42"/>
        <v>45666</v>
      </c>
      <c r="D1126" s="4">
        <f ca="1">TODAY()-343</f>
        <v>45694</v>
      </c>
      <c r="E1126" s="3" t="s">
        <v>1029</v>
      </c>
      <c r="F1126" s="43" t="b">
        <v>1</v>
      </c>
      <c r="G1126" s="43" t="b">
        <v>1</v>
      </c>
      <c r="H1126" s="44">
        <v>2330</v>
      </c>
    </row>
    <row r="1127" spans="1:8" x14ac:dyDescent="0.3">
      <c r="A1127" s="42" t="s">
        <v>1277</v>
      </c>
      <c r="B1127" s="3" t="s">
        <v>1844</v>
      </c>
      <c r="C1127" s="4">
        <f t="shared" ca="1" si="42"/>
        <v>45666</v>
      </c>
      <c r="D1127" s="42"/>
      <c r="E1127" s="3" t="s">
        <v>1037</v>
      </c>
      <c r="F1127" s="43" t="b">
        <v>0</v>
      </c>
      <c r="G1127" s="43" t="b">
        <v>0</v>
      </c>
      <c r="H1127" s="44">
        <v>1710</v>
      </c>
    </row>
    <row r="1128" spans="1:8" x14ac:dyDescent="0.3">
      <c r="A1128" s="42" t="s">
        <v>1419</v>
      </c>
      <c r="B1128" s="3" t="s">
        <v>1907</v>
      </c>
      <c r="C1128" s="4">
        <f t="shared" ca="1" si="42"/>
        <v>45666</v>
      </c>
      <c r="D1128" s="42"/>
      <c r="E1128" s="3" t="s">
        <v>1108</v>
      </c>
      <c r="F1128" s="43" t="b">
        <v>0</v>
      </c>
      <c r="G1128" s="43" t="b">
        <v>0</v>
      </c>
      <c r="H1128" s="44">
        <v>1180</v>
      </c>
    </row>
    <row r="1129" spans="1:8" x14ac:dyDescent="0.3">
      <c r="A1129" s="42" t="s">
        <v>1547</v>
      </c>
      <c r="B1129" s="3" t="s">
        <v>1548</v>
      </c>
      <c r="C1129" s="4">
        <f t="shared" ca="1" si="42"/>
        <v>45666</v>
      </c>
      <c r="D1129" s="4">
        <f ca="1">TODAY()-355</f>
        <v>45682</v>
      </c>
      <c r="E1129" s="3" t="s">
        <v>1032</v>
      </c>
      <c r="F1129" s="43" t="b">
        <v>1</v>
      </c>
      <c r="G1129" s="43" t="b">
        <v>0</v>
      </c>
      <c r="H1129" s="44">
        <v>1680</v>
      </c>
    </row>
    <row r="1130" spans="1:8" x14ac:dyDescent="0.3">
      <c r="A1130" s="42" t="s">
        <v>1342</v>
      </c>
      <c r="B1130" s="3" t="s">
        <v>1803</v>
      </c>
      <c r="C1130" s="4">
        <f t="shared" ca="1" si="42"/>
        <v>45666</v>
      </c>
      <c r="D1130" s="4">
        <f ca="1">TODAY()-358</f>
        <v>45679</v>
      </c>
      <c r="E1130" s="3" t="s">
        <v>1029</v>
      </c>
      <c r="F1130" s="43" t="b">
        <v>1</v>
      </c>
      <c r="G1130" s="43" t="b">
        <v>1</v>
      </c>
      <c r="H1130" s="44">
        <v>230</v>
      </c>
    </row>
    <row r="1131" spans="1:8" x14ac:dyDescent="0.3">
      <c r="A1131" s="42" t="s">
        <v>1916</v>
      </c>
      <c r="B1131" s="3" t="s">
        <v>1917</v>
      </c>
      <c r="C1131" s="4">
        <f t="shared" ca="1" si="42"/>
        <v>45666</v>
      </c>
      <c r="D1131" s="42"/>
      <c r="E1131" s="3" t="s">
        <v>1103</v>
      </c>
      <c r="F1131" s="43" t="b">
        <v>0</v>
      </c>
      <c r="G1131" s="43" t="b">
        <v>0</v>
      </c>
      <c r="H1131" s="44">
        <v>1760</v>
      </c>
    </row>
    <row r="1132" spans="1:8" x14ac:dyDescent="0.3">
      <c r="A1132" s="42" t="s">
        <v>1104</v>
      </c>
      <c r="B1132" s="3" t="s">
        <v>1105</v>
      </c>
      <c r="C1132" s="4">
        <f t="shared" ca="1" si="42"/>
        <v>45666</v>
      </c>
      <c r="D1132" s="4">
        <f ca="1">TODAY()-350</f>
        <v>45687</v>
      </c>
      <c r="E1132" s="3" t="s">
        <v>1032</v>
      </c>
      <c r="F1132" s="43" t="b">
        <v>1</v>
      </c>
      <c r="G1132" s="43" t="b">
        <v>0</v>
      </c>
      <c r="H1132" s="44">
        <v>150</v>
      </c>
    </row>
    <row r="1133" spans="1:8" x14ac:dyDescent="0.3">
      <c r="A1133" s="42" t="s">
        <v>1396</v>
      </c>
      <c r="B1133" s="3" t="s">
        <v>1397</v>
      </c>
      <c r="C1133" s="4">
        <f t="shared" ca="1" si="42"/>
        <v>45666</v>
      </c>
      <c r="D1133" s="4">
        <f ca="1">TODAY()-358</f>
        <v>45679</v>
      </c>
      <c r="E1133" s="3" t="s">
        <v>1029</v>
      </c>
      <c r="F1133" s="43" t="b">
        <v>1</v>
      </c>
      <c r="G1133" s="43" t="b">
        <v>1</v>
      </c>
      <c r="H1133" s="44">
        <v>1710</v>
      </c>
    </row>
    <row r="1134" spans="1:8" x14ac:dyDescent="0.3">
      <c r="A1134" s="42" t="s">
        <v>1087</v>
      </c>
      <c r="B1134" s="3" t="s">
        <v>1088</v>
      </c>
      <c r="C1134" s="4">
        <f t="shared" ca="1" si="42"/>
        <v>45666</v>
      </c>
      <c r="D1134" s="4">
        <f t="shared" ref="D1134:D1135" ca="1" si="44">TODAY()-357</f>
        <v>45680</v>
      </c>
      <c r="E1134" s="3" t="s">
        <v>1032</v>
      </c>
      <c r="F1134" s="43" t="b">
        <v>1</v>
      </c>
      <c r="G1134" s="43" t="b">
        <v>0</v>
      </c>
      <c r="H1134" s="44">
        <v>850</v>
      </c>
    </row>
    <row r="1135" spans="1:8" x14ac:dyDescent="0.3">
      <c r="A1135" s="42" t="s">
        <v>1283</v>
      </c>
      <c r="B1135" s="3" t="s">
        <v>1284</v>
      </c>
      <c r="C1135" s="4">
        <f t="shared" ca="1" si="42"/>
        <v>45666</v>
      </c>
      <c r="D1135" s="4">
        <f t="shared" ca="1" si="44"/>
        <v>45680</v>
      </c>
      <c r="E1135" s="3" t="s">
        <v>1029</v>
      </c>
      <c r="F1135" s="43" t="b">
        <v>1</v>
      </c>
      <c r="G1135" s="43" t="b">
        <v>1</v>
      </c>
      <c r="H1135" s="44">
        <v>690</v>
      </c>
    </row>
    <row r="1136" spans="1:8" x14ac:dyDescent="0.3">
      <c r="A1136" s="42" t="s">
        <v>1918</v>
      </c>
      <c r="B1136" s="3" t="s">
        <v>1919</v>
      </c>
      <c r="C1136" s="4">
        <f t="shared" ca="1" si="42"/>
        <v>45666</v>
      </c>
      <c r="D1136" s="4">
        <f ca="1">TODAY()-343</f>
        <v>45694</v>
      </c>
      <c r="E1136" s="3" t="s">
        <v>1032</v>
      </c>
      <c r="F1136" s="43" t="b">
        <v>1</v>
      </c>
      <c r="G1136" s="43" t="b">
        <v>0</v>
      </c>
      <c r="H1136" s="44">
        <v>1820</v>
      </c>
    </row>
    <row r="1137" spans="1:8" x14ac:dyDescent="0.3">
      <c r="A1137" s="42" t="s">
        <v>1324</v>
      </c>
      <c r="B1137" s="3" t="s">
        <v>1363</v>
      </c>
      <c r="C1137" s="4">
        <f t="shared" ca="1" si="42"/>
        <v>45666</v>
      </c>
      <c r="D1137" s="4">
        <f ca="1">TODAY()-353</f>
        <v>45684</v>
      </c>
      <c r="E1137" s="3" t="s">
        <v>1029</v>
      </c>
      <c r="F1137" s="43" t="b">
        <v>1</v>
      </c>
      <c r="G1137" s="43" t="b">
        <v>1</v>
      </c>
      <c r="H1137" s="44">
        <v>1250</v>
      </c>
    </row>
    <row r="1138" spans="1:8" x14ac:dyDescent="0.3">
      <c r="A1138" s="42" t="s">
        <v>1661</v>
      </c>
      <c r="B1138" s="3" t="s">
        <v>1662</v>
      </c>
      <c r="C1138" s="4">
        <f t="shared" ca="1" si="42"/>
        <v>45666</v>
      </c>
      <c r="D1138" s="4">
        <f ca="1">TODAY()-347</f>
        <v>45690</v>
      </c>
      <c r="E1138" s="3" t="s">
        <v>1029</v>
      </c>
      <c r="F1138" s="43" t="b">
        <v>1</v>
      </c>
      <c r="G1138" s="43" t="b">
        <v>1</v>
      </c>
      <c r="H1138" s="44">
        <v>330</v>
      </c>
    </row>
    <row r="1139" spans="1:8" x14ac:dyDescent="0.3">
      <c r="A1139" s="42" t="s">
        <v>1272</v>
      </c>
      <c r="B1139" s="3" t="s">
        <v>1273</v>
      </c>
      <c r="C1139" s="4">
        <f t="shared" ca="1" si="42"/>
        <v>45666</v>
      </c>
      <c r="D1139" s="4">
        <f ca="1">TODAY()-349</f>
        <v>45688</v>
      </c>
      <c r="E1139" s="3" t="s">
        <v>1029</v>
      </c>
      <c r="F1139" s="43" t="b">
        <v>1</v>
      </c>
      <c r="G1139" s="43" t="b">
        <v>1</v>
      </c>
      <c r="H1139" s="44">
        <v>880</v>
      </c>
    </row>
    <row r="1140" spans="1:8" x14ac:dyDescent="0.3">
      <c r="A1140" s="42" t="s">
        <v>1674</v>
      </c>
      <c r="B1140" s="3" t="s">
        <v>1675</v>
      </c>
      <c r="C1140" s="4">
        <f t="shared" ca="1" si="42"/>
        <v>45666</v>
      </c>
      <c r="D1140" s="4">
        <f ca="1">TODAY()-355</f>
        <v>45682</v>
      </c>
      <c r="E1140" s="3" t="s">
        <v>1029</v>
      </c>
      <c r="F1140" s="43" t="b">
        <v>1</v>
      </c>
      <c r="G1140" s="43" t="b">
        <v>1</v>
      </c>
      <c r="H1140" s="44">
        <v>1290</v>
      </c>
    </row>
    <row r="1141" spans="1:8" x14ac:dyDescent="0.3">
      <c r="A1141" s="42" t="s">
        <v>1330</v>
      </c>
      <c r="B1141" s="3" t="s">
        <v>1114</v>
      </c>
      <c r="C1141" s="4">
        <f t="shared" ca="1" si="42"/>
        <v>45666</v>
      </c>
      <c r="D1141" s="4">
        <f ca="1">TODAY()-352</f>
        <v>45685</v>
      </c>
      <c r="E1141" s="3" t="s">
        <v>1029</v>
      </c>
      <c r="F1141" s="43" t="b">
        <v>1</v>
      </c>
      <c r="G1141" s="43" t="b">
        <v>1</v>
      </c>
      <c r="H1141" s="44">
        <v>1950</v>
      </c>
    </row>
    <row r="1142" spans="1:8" x14ac:dyDescent="0.3">
      <c r="A1142" s="42" t="s">
        <v>1354</v>
      </c>
      <c r="B1142" s="3" t="s">
        <v>1537</v>
      </c>
      <c r="C1142" s="4">
        <f t="shared" ca="1" si="42"/>
        <v>45666</v>
      </c>
      <c r="D1142" s="4">
        <f ca="1">TODAY()-359</f>
        <v>45678</v>
      </c>
      <c r="E1142" s="3" t="s">
        <v>1029</v>
      </c>
      <c r="F1142" s="43" t="b">
        <v>1</v>
      </c>
      <c r="G1142" s="43" t="b">
        <v>1</v>
      </c>
      <c r="H1142" s="44">
        <v>680</v>
      </c>
    </row>
    <row r="1143" spans="1:8" x14ac:dyDescent="0.3">
      <c r="A1143" s="42" t="s">
        <v>1814</v>
      </c>
      <c r="B1143" s="3" t="s">
        <v>1063</v>
      </c>
      <c r="C1143" s="4">
        <f t="shared" ca="1" si="42"/>
        <v>45666</v>
      </c>
      <c r="D1143" s="4">
        <f ca="1">TODAY()-349</f>
        <v>45688</v>
      </c>
      <c r="E1143" s="3" t="s">
        <v>1032</v>
      </c>
      <c r="F1143" s="43" t="b">
        <v>1</v>
      </c>
      <c r="G1143" s="43" t="b">
        <v>0</v>
      </c>
      <c r="H1143" s="44">
        <v>1760</v>
      </c>
    </row>
    <row r="1144" spans="1:8" x14ac:dyDescent="0.3">
      <c r="A1144" s="42" t="s">
        <v>1081</v>
      </c>
      <c r="B1144" s="3" t="s">
        <v>1837</v>
      </c>
      <c r="C1144" s="4">
        <f t="shared" ca="1" si="42"/>
        <v>45666</v>
      </c>
      <c r="D1144" s="4">
        <f ca="1">TODAY()-357</f>
        <v>45680</v>
      </c>
      <c r="E1144" s="3" t="s">
        <v>1029</v>
      </c>
      <c r="F1144" s="43" t="b">
        <v>1</v>
      </c>
      <c r="G1144" s="43" t="b">
        <v>1</v>
      </c>
      <c r="H1144" s="44">
        <v>1510</v>
      </c>
    </row>
    <row r="1145" spans="1:8" x14ac:dyDescent="0.3">
      <c r="A1145" s="42" t="s">
        <v>1095</v>
      </c>
      <c r="B1145" s="3" t="s">
        <v>1395</v>
      </c>
      <c r="C1145" s="4">
        <f t="shared" ca="1" si="42"/>
        <v>45666</v>
      </c>
      <c r="D1145" s="4">
        <f ca="1">TODAY()-350</f>
        <v>45687</v>
      </c>
      <c r="E1145" s="3" t="s">
        <v>1029</v>
      </c>
      <c r="F1145" s="43" t="b">
        <v>1</v>
      </c>
      <c r="G1145" s="43" t="b">
        <v>1</v>
      </c>
      <c r="H1145" s="44">
        <v>440</v>
      </c>
    </row>
    <row r="1146" spans="1:8" x14ac:dyDescent="0.3">
      <c r="A1146" s="42" t="s">
        <v>1782</v>
      </c>
      <c r="B1146" s="3" t="s">
        <v>1275</v>
      </c>
      <c r="C1146" s="4">
        <f t="shared" ca="1" si="42"/>
        <v>45666</v>
      </c>
      <c r="D1146" s="4">
        <f ca="1">TODAY()-352</f>
        <v>45685</v>
      </c>
      <c r="E1146" s="3" t="s">
        <v>1029</v>
      </c>
      <c r="F1146" s="43" t="b">
        <v>1</v>
      </c>
      <c r="G1146" s="43" t="b">
        <v>1</v>
      </c>
      <c r="H1146" s="44">
        <v>1670</v>
      </c>
    </row>
    <row r="1147" spans="1:8" x14ac:dyDescent="0.3">
      <c r="A1147" s="42" t="s">
        <v>1558</v>
      </c>
      <c r="B1147" s="3" t="s">
        <v>1559</v>
      </c>
      <c r="C1147" s="4">
        <f t="shared" ca="1" si="42"/>
        <v>45666</v>
      </c>
      <c r="D1147" s="4">
        <f ca="1">TODAY()-357</f>
        <v>45680</v>
      </c>
      <c r="E1147" s="3" t="s">
        <v>1029</v>
      </c>
      <c r="F1147" s="43" t="b">
        <v>1</v>
      </c>
      <c r="G1147" s="43" t="b">
        <v>1</v>
      </c>
      <c r="H1147" s="44">
        <v>1670</v>
      </c>
    </row>
    <row r="1148" spans="1:8" x14ac:dyDescent="0.3">
      <c r="A1148" s="42" t="s">
        <v>1357</v>
      </c>
      <c r="B1148" s="3" t="s">
        <v>1358</v>
      </c>
      <c r="C1148" s="4">
        <f t="shared" ca="1" si="42"/>
        <v>45666</v>
      </c>
      <c r="D1148" s="4">
        <f ca="1">TODAY()-349</f>
        <v>45688</v>
      </c>
      <c r="E1148" s="3" t="s">
        <v>1032</v>
      </c>
      <c r="F1148" s="43" t="b">
        <v>1</v>
      </c>
      <c r="G1148" s="43" t="b">
        <v>0</v>
      </c>
      <c r="H1148" s="44">
        <v>1680</v>
      </c>
    </row>
    <row r="1149" spans="1:8" x14ac:dyDescent="0.3">
      <c r="A1149" s="42" t="s">
        <v>1346</v>
      </c>
      <c r="B1149" s="3" t="s">
        <v>1347</v>
      </c>
      <c r="C1149" s="4">
        <f t="shared" ca="1" si="42"/>
        <v>45666</v>
      </c>
      <c r="D1149" s="4">
        <f ca="1">TODAY()-345</f>
        <v>45692</v>
      </c>
      <c r="E1149" s="3" t="s">
        <v>1032</v>
      </c>
      <c r="F1149" s="43" t="b">
        <v>1</v>
      </c>
      <c r="G1149" s="43" t="b">
        <v>0</v>
      </c>
      <c r="H1149" s="44">
        <v>2020</v>
      </c>
    </row>
    <row r="1150" spans="1:8" x14ac:dyDescent="0.3">
      <c r="A1150" s="42" t="s">
        <v>1782</v>
      </c>
      <c r="B1150" s="3" t="s">
        <v>1920</v>
      </c>
      <c r="C1150" s="4">
        <f t="shared" ca="1" si="42"/>
        <v>45666</v>
      </c>
      <c r="D1150" s="42"/>
      <c r="E1150" s="3" t="s">
        <v>1070</v>
      </c>
      <c r="F1150" s="43" t="b">
        <v>0</v>
      </c>
      <c r="G1150" s="43" t="b">
        <v>0</v>
      </c>
      <c r="H1150" s="44">
        <v>290</v>
      </c>
    </row>
    <row r="1151" spans="1:8" x14ac:dyDescent="0.3">
      <c r="A1151" s="42" t="s">
        <v>1566</v>
      </c>
      <c r="B1151" s="3" t="s">
        <v>1751</v>
      </c>
      <c r="C1151" s="4">
        <f t="shared" ca="1" si="42"/>
        <v>45666</v>
      </c>
      <c r="D1151" s="4">
        <f t="shared" ref="D1151:D1152" ca="1" si="45">TODAY()-356</f>
        <v>45681</v>
      </c>
      <c r="E1151" s="3" t="s">
        <v>1032</v>
      </c>
      <c r="F1151" s="43" t="b">
        <v>1</v>
      </c>
      <c r="G1151" s="43" t="b">
        <v>0</v>
      </c>
      <c r="H1151" s="44">
        <v>290</v>
      </c>
    </row>
    <row r="1152" spans="1:8" x14ac:dyDescent="0.3">
      <c r="A1152" s="42" t="s">
        <v>1143</v>
      </c>
      <c r="B1152" s="3" t="s">
        <v>1413</v>
      </c>
      <c r="C1152" s="4">
        <f t="shared" ca="1" si="42"/>
        <v>45666</v>
      </c>
      <c r="D1152" s="4">
        <f t="shared" ca="1" si="45"/>
        <v>45681</v>
      </c>
      <c r="E1152" s="3" t="s">
        <v>1029</v>
      </c>
      <c r="F1152" s="43" t="b">
        <v>1</v>
      </c>
      <c r="G1152" s="43" t="b">
        <v>1</v>
      </c>
      <c r="H1152" s="44">
        <v>1470</v>
      </c>
    </row>
    <row r="1153" spans="1:8" x14ac:dyDescent="0.3">
      <c r="A1153" s="42" t="s">
        <v>1515</v>
      </c>
      <c r="B1153" s="3" t="s">
        <v>1516</v>
      </c>
      <c r="C1153" s="4">
        <f t="shared" ca="1" si="42"/>
        <v>45666</v>
      </c>
      <c r="D1153" s="4">
        <f ca="1">TODAY()-354</f>
        <v>45683</v>
      </c>
      <c r="E1153" s="3" t="s">
        <v>1032</v>
      </c>
      <c r="F1153" s="43" t="b">
        <v>1</v>
      </c>
      <c r="G1153" s="43" t="b">
        <v>0</v>
      </c>
      <c r="H1153" s="44">
        <v>980</v>
      </c>
    </row>
    <row r="1154" spans="1:8" x14ac:dyDescent="0.3">
      <c r="A1154" s="42" t="s">
        <v>1547</v>
      </c>
      <c r="B1154" s="3" t="s">
        <v>1548</v>
      </c>
      <c r="C1154" s="4">
        <f t="shared" ca="1" si="42"/>
        <v>45666</v>
      </c>
      <c r="D1154" s="4">
        <f ca="1">TODAY()-352</f>
        <v>45685</v>
      </c>
      <c r="E1154" s="3" t="s">
        <v>1032</v>
      </c>
      <c r="F1154" s="43" t="b">
        <v>1</v>
      </c>
      <c r="G1154" s="43" t="b">
        <v>0</v>
      </c>
      <c r="H1154" s="44">
        <v>1680</v>
      </c>
    </row>
    <row r="1155" spans="1:8" x14ac:dyDescent="0.3">
      <c r="A1155" s="42" t="s">
        <v>1062</v>
      </c>
      <c r="B1155" s="3" t="s">
        <v>1904</v>
      </c>
      <c r="C1155" s="4">
        <f t="shared" ca="1" si="42"/>
        <v>45666</v>
      </c>
      <c r="D1155" s="4">
        <f ca="1">TODAY()-350</f>
        <v>45687</v>
      </c>
      <c r="E1155" s="3" t="s">
        <v>1032</v>
      </c>
      <c r="F1155" s="43" t="b">
        <v>1</v>
      </c>
      <c r="G1155" s="43" t="b">
        <v>0</v>
      </c>
      <c r="H1155" s="44">
        <v>900</v>
      </c>
    </row>
    <row r="1156" spans="1:8" x14ac:dyDescent="0.3">
      <c r="A1156" s="42" t="s">
        <v>1203</v>
      </c>
      <c r="B1156" s="3" t="s">
        <v>1560</v>
      </c>
      <c r="C1156" s="4">
        <f t="shared" ca="1" si="42"/>
        <v>45666</v>
      </c>
      <c r="D1156" s="42"/>
      <c r="E1156" s="3" t="s">
        <v>1070</v>
      </c>
      <c r="F1156" s="43" t="b">
        <v>0</v>
      </c>
      <c r="G1156" s="43" t="b">
        <v>0</v>
      </c>
      <c r="H1156" s="44">
        <v>1250</v>
      </c>
    </row>
    <row r="1157" spans="1:8" x14ac:dyDescent="0.3">
      <c r="A1157" s="42" t="s">
        <v>1763</v>
      </c>
      <c r="B1157" s="3" t="s">
        <v>1764</v>
      </c>
      <c r="C1157" s="4">
        <f t="shared" ca="1" si="42"/>
        <v>45666</v>
      </c>
      <c r="D1157" s="4">
        <f ca="1">TODAY()-345</f>
        <v>45692</v>
      </c>
      <c r="E1157" s="3" t="s">
        <v>1029</v>
      </c>
      <c r="F1157" s="43" t="b">
        <v>1</v>
      </c>
      <c r="G1157" s="43" t="b">
        <v>1</v>
      </c>
      <c r="H1157" s="44">
        <v>2130</v>
      </c>
    </row>
    <row r="1158" spans="1:8" x14ac:dyDescent="0.3">
      <c r="A1158" s="42" t="s">
        <v>1713</v>
      </c>
      <c r="B1158" s="3" t="s">
        <v>1714</v>
      </c>
      <c r="C1158" s="4">
        <f t="shared" ca="1" si="42"/>
        <v>45666</v>
      </c>
      <c r="D1158" s="4">
        <f ca="1">TODAY()-343</f>
        <v>45694</v>
      </c>
      <c r="E1158" s="3" t="s">
        <v>1029</v>
      </c>
      <c r="F1158" s="43" t="b">
        <v>1</v>
      </c>
      <c r="G1158" s="43" t="b">
        <v>1</v>
      </c>
      <c r="H1158" s="44">
        <v>1460</v>
      </c>
    </row>
    <row r="1159" spans="1:8" x14ac:dyDescent="0.3">
      <c r="A1159" s="42" t="s">
        <v>1612</v>
      </c>
      <c r="B1159" s="3" t="s">
        <v>1613</v>
      </c>
      <c r="C1159" s="4">
        <f t="shared" ca="1" si="42"/>
        <v>45666</v>
      </c>
      <c r="D1159" s="42"/>
      <c r="E1159" s="3" t="s">
        <v>1101</v>
      </c>
      <c r="F1159" s="43" t="b">
        <v>0</v>
      </c>
      <c r="G1159" s="43" t="b">
        <v>0</v>
      </c>
      <c r="H1159" s="44">
        <v>590</v>
      </c>
    </row>
    <row r="1160" spans="1:8" x14ac:dyDescent="0.3">
      <c r="A1160" s="42" t="s">
        <v>1622</v>
      </c>
      <c r="B1160" s="3" t="s">
        <v>1613</v>
      </c>
      <c r="C1160" s="4">
        <f t="shared" ca="1" si="42"/>
        <v>45666</v>
      </c>
      <c r="D1160" s="4">
        <f ca="1">TODAY()-350</f>
        <v>45687</v>
      </c>
      <c r="E1160" s="3" t="s">
        <v>1029</v>
      </c>
      <c r="F1160" s="43" t="b">
        <v>1</v>
      </c>
      <c r="G1160" s="43" t="b">
        <v>1</v>
      </c>
      <c r="H1160" s="44">
        <v>1900</v>
      </c>
    </row>
    <row r="1161" spans="1:8" x14ac:dyDescent="0.3">
      <c r="A1161" s="42" t="s">
        <v>1073</v>
      </c>
      <c r="B1161" s="3" t="s">
        <v>1502</v>
      </c>
      <c r="C1161" s="4">
        <f t="shared" ca="1" si="42"/>
        <v>45666</v>
      </c>
      <c r="D1161" s="4">
        <f ca="1">TODAY()-348</f>
        <v>45689</v>
      </c>
      <c r="E1161" s="3" t="s">
        <v>1032</v>
      </c>
      <c r="F1161" s="43" t="b">
        <v>1</v>
      </c>
      <c r="G1161" s="43" t="b">
        <v>0</v>
      </c>
      <c r="H1161" s="44">
        <v>2040</v>
      </c>
    </row>
    <row r="1162" spans="1:8" x14ac:dyDescent="0.3">
      <c r="A1162" s="42" t="s">
        <v>1601</v>
      </c>
      <c r="B1162" s="3" t="s">
        <v>1114</v>
      </c>
      <c r="C1162" s="4">
        <f t="shared" ca="1" si="42"/>
        <v>45666</v>
      </c>
      <c r="D1162" s="42"/>
      <c r="E1162" s="3" t="s">
        <v>1070</v>
      </c>
      <c r="F1162" s="43" t="b">
        <v>0</v>
      </c>
      <c r="G1162" s="43" t="b">
        <v>0</v>
      </c>
      <c r="H1162" s="44">
        <v>1330</v>
      </c>
    </row>
    <row r="1163" spans="1:8" x14ac:dyDescent="0.3">
      <c r="A1163" s="42" t="s">
        <v>1654</v>
      </c>
      <c r="B1163" s="3" t="s">
        <v>1921</v>
      </c>
      <c r="C1163" s="4">
        <f t="shared" ca="1" si="42"/>
        <v>45666</v>
      </c>
      <c r="D1163" s="4">
        <f ca="1">TODAY()-353</f>
        <v>45684</v>
      </c>
      <c r="E1163" s="3" t="s">
        <v>1032</v>
      </c>
      <c r="F1163" s="43" t="b">
        <v>1</v>
      </c>
      <c r="G1163" s="43" t="b">
        <v>0</v>
      </c>
      <c r="H1163" s="44">
        <v>1330</v>
      </c>
    </row>
    <row r="1164" spans="1:8" x14ac:dyDescent="0.3">
      <c r="A1164" s="42" t="s">
        <v>1856</v>
      </c>
      <c r="B1164" s="3" t="s">
        <v>1857</v>
      </c>
      <c r="C1164" s="4">
        <f t="shared" ca="1" si="42"/>
        <v>45666</v>
      </c>
      <c r="D1164" s="42"/>
      <c r="E1164" s="3" t="s">
        <v>1103</v>
      </c>
      <c r="F1164" s="43" t="b">
        <v>0</v>
      </c>
      <c r="G1164" s="43" t="b">
        <v>0</v>
      </c>
      <c r="H1164" s="44">
        <v>730</v>
      </c>
    </row>
    <row r="1165" spans="1:8" x14ac:dyDescent="0.3">
      <c r="A1165" s="42" t="s">
        <v>1306</v>
      </c>
      <c r="B1165" s="3" t="s">
        <v>1307</v>
      </c>
      <c r="C1165" s="4">
        <f t="shared" ca="1" si="42"/>
        <v>45666</v>
      </c>
      <c r="D1165" s="4">
        <f ca="1">TODAY()-358</f>
        <v>45679</v>
      </c>
      <c r="E1165" s="3" t="s">
        <v>1032</v>
      </c>
      <c r="F1165" s="43" t="b">
        <v>1</v>
      </c>
      <c r="G1165" s="43" t="b">
        <v>0</v>
      </c>
      <c r="H1165" s="44">
        <v>1420</v>
      </c>
    </row>
    <row r="1166" spans="1:8" x14ac:dyDescent="0.3">
      <c r="A1166" s="42" t="s">
        <v>1850</v>
      </c>
      <c r="B1166" s="3" t="s">
        <v>1851</v>
      </c>
      <c r="C1166" s="4">
        <f t="shared" ca="1" si="42"/>
        <v>45666</v>
      </c>
      <c r="D1166" s="42"/>
      <c r="E1166" s="3" t="s">
        <v>1101</v>
      </c>
      <c r="F1166" s="43" t="b">
        <v>0</v>
      </c>
      <c r="G1166" s="43" t="b">
        <v>0</v>
      </c>
      <c r="H1166" s="44">
        <v>510</v>
      </c>
    </row>
    <row r="1167" spans="1:8" x14ac:dyDescent="0.3">
      <c r="A1167" s="42" t="s">
        <v>1442</v>
      </c>
      <c r="B1167" s="3" t="s">
        <v>1443</v>
      </c>
      <c r="C1167" s="4">
        <f t="shared" ca="1" si="42"/>
        <v>45666</v>
      </c>
      <c r="D1167" s="4">
        <f ca="1">TODAY()-355</f>
        <v>45682</v>
      </c>
      <c r="E1167" s="3" t="s">
        <v>1029</v>
      </c>
      <c r="F1167" s="43" t="b">
        <v>1</v>
      </c>
      <c r="G1167" s="43" t="b">
        <v>1</v>
      </c>
      <c r="H1167" s="44">
        <v>1120</v>
      </c>
    </row>
    <row r="1168" spans="1:8" x14ac:dyDescent="0.3">
      <c r="A1168" s="42" t="s">
        <v>1426</v>
      </c>
      <c r="B1168" s="3" t="s">
        <v>1793</v>
      </c>
      <c r="C1168" s="4">
        <f t="shared" ca="1" si="42"/>
        <v>45666</v>
      </c>
      <c r="D1168" s="4">
        <f ca="1">TODAY()-347</f>
        <v>45690</v>
      </c>
      <c r="E1168" s="3" t="s">
        <v>1029</v>
      </c>
      <c r="F1168" s="43" t="b">
        <v>1</v>
      </c>
      <c r="G1168" s="43" t="b">
        <v>1</v>
      </c>
      <c r="H1168" s="44">
        <v>1190</v>
      </c>
    </row>
    <row r="1169" spans="1:8" x14ac:dyDescent="0.3">
      <c r="A1169" s="42" t="s">
        <v>1192</v>
      </c>
      <c r="B1169" s="3" t="s">
        <v>1193</v>
      </c>
      <c r="C1169" s="4">
        <f t="shared" ca="1" si="42"/>
        <v>45666</v>
      </c>
      <c r="D1169" s="4">
        <f t="shared" ref="D1169:D1170" ca="1" si="46">TODAY()-345</f>
        <v>45692</v>
      </c>
      <c r="E1169" s="3" t="s">
        <v>1032</v>
      </c>
      <c r="F1169" s="43" t="b">
        <v>1</v>
      </c>
      <c r="G1169" s="43" t="b">
        <v>0</v>
      </c>
      <c r="H1169" s="44">
        <v>1690</v>
      </c>
    </row>
    <row r="1170" spans="1:8" x14ac:dyDescent="0.3">
      <c r="A1170" s="42" t="s">
        <v>1149</v>
      </c>
      <c r="B1170" s="3" t="s">
        <v>1907</v>
      </c>
      <c r="C1170" s="4">
        <f t="shared" ca="1" si="42"/>
        <v>45666</v>
      </c>
      <c r="D1170" s="4">
        <f t="shared" ca="1" si="46"/>
        <v>45692</v>
      </c>
      <c r="E1170" s="3" t="s">
        <v>1032</v>
      </c>
      <c r="F1170" s="43" t="b">
        <v>1</v>
      </c>
      <c r="G1170" s="43" t="b">
        <v>0</v>
      </c>
      <c r="H1170" s="44">
        <v>2290</v>
      </c>
    </row>
    <row r="1171" spans="1:8" x14ac:dyDescent="0.3">
      <c r="A1171" s="42" t="s">
        <v>1387</v>
      </c>
      <c r="B1171" s="3" t="s">
        <v>1486</v>
      </c>
      <c r="C1171" s="4">
        <f t="shared" ca="1" si="42"/>
        <v>45666</v>
      </c>
      <c r="D1171" s="42"/>
      <c r="E1171" s="3" t="s">
        <v>1108</v>
      </c>
      <c r="F1171" s="43" t="b">
        <v>0</v>
      </c>
      <c r="G1171" s="43" t="b">
        <v>0</v>
      </c>
      <c r="H1171" s="44">
        <v>2480</v>
      </c>
    </row>
    <row r="1172" spans="1:8" x14ac:dyDescent="0.3">
      <c r="A1172" s="42" t="s">
        <v>1476</v>
      </c>
      <c r="B1172" s="3" t="s">
        <v>1114</v>
      </c>
      <c r="C1172" s="4">
        <f t="shared" ca="1" si="42"/>
        <v>45666</v>
      </c>
      <c r="D1172" s="4">
        <f ca="1">TODAY()-358</f>
        <v>45679</v>
      </c>
      <c r="E1172" s="3" t="s">
        <v>1029</v>
      </c>
      <c r="F1172" s="43" t="b">
        <v>1</v>
      </c>
      <c r="G1172" s="43" t="b">
        <v>1</v>
      </c>
      <c r="H1172" s="44">
        <v>740</v>
      </c>
    </row>
    <row r="1173" spans="1:8" x14ac:dyDescent="0.3">
      <c r="A1173" s="42" t="s">
        <v>1396</v>
      </c>
      <c r="B1173" s="3" t="s">
        <v>1732</v>
      </c>
      <c r="C1173" s="4">
        <f t="shared" ca="1" si="42"/>
        <v>45666</v>
      </c>
      <c r="D1173" s="4">
        <f ca="1">TODAY()-347</f>
        <v>45690</v>
      </c>
      <c r="E1173" s="3" t="s">
        <v>1032</v>
      </c>
      <c r="F1173" s="43" t="b">
        <v>1</v>
      </c>
      <c r="G1173" s="43" t="b">
        <v>0</v>
      </c>
      <c r="H1173" s="44">
        <v>1850</v>
      </c>
    </row>
    <row r="1174" spans="1:8" x14ac:dyDescent="0.3">
      <c r="A1174" s="42" t="s">
        <v>1050</v>
      </c>
      <c r="B1174" s="3" t="s">
        <v>1051</v>
      </c>
      <c r="C1174" s="4">
        <f t="shared" ca="1" si="42"/>
        <v>45666</v>
      </c>
      <c r="D1174" s="4">
        <f ca="1">TODAY()-345</f>
        <v>45692</v>
      </c>
      <c r="E1174" s="3" t="s">
        <v>1029</v>
      </c>
      <c r="F1174" s="43" t="b">
        <v>1</v>
      </c>
      <c r="G1174" s="43" t="b">
        <v>1</v>
      </c>
      <c r="H1174" s="44">
        <v>2330</v>
      </c>
    </row>
    <row r="1175" spans="1:8" x14ac:dyDescent="0.3">
      <c r="A1175" s="42" t="s">
        <v>1922</v>
      </c>
      <c r="B1175" s="3" t="s">
        <v>1545</v>
      </c>
      <c r="C1175" s="4">
        <f t="shared" ca="1" si="42"/>
        <v>45666</v>
      </c>
      <c r="D1175" s="42"/>
      <c r="E1175" s="3" t="s">
        <v>1037</v>
      </c>
      <c r="F1175" s="43" t="b">
        <v>0</v>
      </c>
      <c r="G1175" s="43" t="b">
        <v>0</v>
      </c>
      <c r="H1175" s="44">
        <v>2360</v>
      </c>
    </row>
    <row r="1176" spans="1:8" x14ac:dyDescent="0.3">
      <c r="A1176" s="42" t="s">
        <v>1694</v>
      </c>
      <c r="B1176" s="3" t="s">
        <v>1923</v>
      </c>
      <c r="C1176" s="4">
        <f t="shared" ca="1" si="42"/>
        <v>45666</v>
      </c>
      <c r="D1176" s="4">
        <f ca="1">TODAY()-357</f>
        <v>45680</v>
      </c>
      <c r="E1176" s="3" t="s">
        <v>1029</v>
      </c>
      <c r="F1176" s="43" t="b">
        <v>1</v>
      </c>
      <c r="G1176" s="43" t="b">
        <v>1</v>
      </c>
      <c r="H1176" s="44">
        <v>720</v>
      </c>
    </row>
    <row r="1177" spans="1:8" x14ac:dyDescent="0.3">
      <c r="A1177" s="42" t="s">
        <v>1167</v>
      </c>
      <c r="B1177" s="3" t="s">
        <v>1168</v>
      </c>
      <c r="C1177" s="4">
        <f t="shared" ca="1" si="42"/>
        <v>45666</v>
      </c>
      <c r="D1177" s="42"/>
      <c r="E1177" s="3" t="s">
        <v>1101</v>
      </c>
      <c r="F1177" s="43" t="b">
        <v>0</v>
      </c>
      <c r="G1177" s="43" t="b">
        <v>0</v>
      </c>
      <c r="H1177" s="44">
        <v>250</v>
      </c>
    </row>
    <row r="1178" spans="1:8" x14ac:dyDescent="0.3">
      <c r="A1178" s="42" t="s">
        <v>1044</v>
      </c>
      <c r="B1178" s="3" t="s">
        <v>1045</v>
      </c>
      <c r="C1178" s="4">
        <f t="shared" ca="1" si="42"/>
        <v>45666</v>
      </c>
      <c r="D1178" s="4">
        <f ca="1">TODAY()-344</f>
        <v>45693</v>
      </c>
      <c r="E1178" s="3" t="s">
        <v>1029</v>
      </c>
      <c r="F1178" s="43" t="b">
        <v>1</v>
      </c>
      <c r="G1178" s="43" t="b">
        <v>1</v>
      </c>
      <c r="H1178" s="44">
        <v>1310</v>
      </c>
    </row>
    <row r="1179" spans="1:8" x14ac:dyDescent="0.3">
      <c r="A1179" s="42" t="s">
        <v>1830</v>
      </c>
      <c r="B1179" s="3" t="s">
        <v>1475</v>
      </c>
      <c r="C1179" s="4">
        <f t="shared" ca="1" si="42"/>
        <v>45666</v>
      </c>
      <c r="D1179" s="4">
        <f ca="1">TODAY()-361</f>
        <v>45676</v>
      </c>
      <c r="E1179" s="3" t="s">
        <v>1029</v>
      </c>
      <c r="F1179" s="43" t="b">
        <v>1</v>
      </c>
      <c r="G1179" s="43" t="b">
        <v>1</v>
      </c>
      <c r="H1179" s="44">
        <v>1880</v>
      </c>
    </row>
    <row r="1180" spans="1:8" x14ac:dyDescent="0.3">
      <c r="A1180" s="42" t="s">
        <v>1512</v>
      </c>
      <c r="B1180" s="3" t="s">
        <v>1912</v>
      </c>
      <c r="C1180" s="4">
        <f t="shared" ca="1" si="42"/>
        <v>45666</v>
      </c>
      <c r="D1180" s="4">
        <f ca="1">TODAY()-359</f>
        <v>45678</v>
      </c>
      <c r="E1180" s="3" t="s">
        <v>1032</v>
      </c>
      <c r="F1180" s="43" t="b">
        <v>1</v>
      </c>
      <c r="G1180" s="43" t="b">
        <v>0</v>
      </c>
      <c r="H1180" s="44">
        <v>890</v>
      </c>
    </row>
    <row r="1181" spans="1:8" x14ac:dyDescent="0.3">
      <c r="A1181" s="42" t="s">
        <v>1910</v>
      </c>
      <c r="B1181" s="3" t="s">
        <v>1911</v>
      </c>
      <c r="C1181" s="4">
        <f t="shared" ca="1" si="42"/>
        <v>45666</v>
      </c>
      <c r="D1181" s="4">
        <f ca="1">TODAY()-342</f>
        <v>45695</v>
      </c>
      <c r="E1181" s="3" t="s">
        <v>1029</v>
      </c>
      <c r="F1181" s="43" t="b">
        <v>1</v>
      </c>
      <c r="G1181" s="43" t="b">
        <v>1</v>
      </c>
      <c r="H1181" s="44">
        <v>350</v>
      </c>
    </row>
    <row r="1182" spans="1:8" x14ac:dyDescent="0.3">
      <c r="A1182" s="42" t="s">
        <v>1812</v>
      </c>
      <c r="B1182" s="3" t="s">
        <v>1813</v>
      </c>
      <c r="C1182" s="4">
        <f t="shared" ca="1" si="42"/>
        <v>45666</v>
      </c>
      <c r="D1182" s="4">
        <f ca="1">TODAY()-345</f>
        <v>45692</v>
      </c>
      <c r="E1182" s="3" t="s">
        <v>1029</v>
      </c>
      <c r="F1182" s="43" t="b">
        <v>1</v>
      </c>
      <c r="G1182" s="43" t="b">
        <v>1</v>
      </c>
      <c r="H1182" s="44">
        <v>910</v>
      </c>
    </row>
    <row r="1183" spans="1:8" x14ac:dyDescent="0.3">
      <c r="A1183" s="42" t="s">
        <v>1439</v>
      </c>
      <c r="B1183" s="3" t="s">
        <v>1440</v>
      </c>
      <c r="C1183" s="4">
        <f t="shared" ca="1" si="42"/>
        <v>45666</v>
      </c>
      <c r="D1183" s="4">
        <f ca="1">TODAY()-341</f>
        <v>45696</v>
      </c>
      <c r="E1183" s="3" t="s">
        <v>1029</v>
      </c>
      <c r="F1183" s="43" t="b">
        <v>1</v>
      </c>
      <c r="G1183" s="43" t="b">
        <v>1</v>
      </c>
      <c r="H1183" s="44">
        <v>930</v>
      </c>
    </row>
    <row r="1184" spans="1:8" x14ac:dyDescent="0.3">
      <c r="A1184" s="42" t="s">
        <v>1718</v>
      </c>
      <c r="B1184" s="3" t="s">
        <v>1719</v>
      </c>
      <c r="C1184" s="4">
        <f t="shared" ca="1" si="42"/>
        <v>45666</v>
      </c>
      <c r="D1184" s="42"/>
      <c r="E1184" s="3" t="s">
        <v>1101</v>
      </c>
      <c r="F1184" s="43" t="b">
        <v>0</v>
      </c>
      <c r="G1184" s="43" t="b">
        <v>0</v>
      </c>
      <c r="H1184" s="44">
        <v>550</v>
      </c>
    </row>
    <row r="1185" spans="1:8" x14ac:dyDescent="0.3">
      <c r="A1185" s="42" t="s">
        <v>1627</v>
      </c>
      <c r="B1185" s="3" t="s">
        <v>1628</v>
      </c>
      <c r="C1185" s="4">
        <f t="shared" ca="1" si="42"/>
        <v>45666</v>
      </c>
      <c r="D1185" s="4">
        <f ca="1">TODAY()-342</f>
        <v>45695</v>
      </c>
      <c r="E1185" s="3" t="s">
        <v>1029</v>
      </c>
      <c r="F1185" s="43" t="b">
        <v>1</v>
      </c>
      <c r="G1185" s="43" t="b">
        <v>1</v>
      </c>
      <c r="H1185" s="44">
        <v>4210</v>
      </c>
    </row>
    <row r="1186" spans="1:8" x14ac:dyDescent="0.3">
      <c r="A1186" s="42" t="s">
        <v>1079</v>
      </c>
      <c r="B1186" s="3" t="s">
        <v>1080</v>
      </c>
      <c r="C1186" s="4">
        <f t="shared" ca="1" si="42"/>
        <v>45666</v>
      </c>
      <c r="D1186" s="4">
        <f ca="1">TODAY()-349</f>
        <v>45688</v>
      </c>
      <c r="E1186" s="3" t="s">
        <v>1029</v>
      </c>
      <c r="F1186" s="43" t="b">
        <v>1</v>
      </c>
      <c r="G1186" s="43" t="b">
        <v>1</v>
      </c>
      <c r="H1186" s="44">
        <v>640</v>
      </c>
    </row>
    <row r="1187" spans="1:8" x14ac:dyDescent="0.3">
      <c r="A1187" s="42" t="s">
        <v>1782</v>
      </c>
      <c r="B1187" s="3" t="s">
        <v>1275</v>
      </c>
      <c r="C1187" s="4">
        <f t="shared" ca="1" si="42"/>
        <v>45666</v>
      </c>
      <c r="D1187" s="4">
        <f ca="1">TODAY()-344</f>
        <v>45693</v>
      </c>
      <c r="E1187" s="3" t="s">
        <v>1029</v>
      </c>
      <c r="F1187" s="43" t="b">
        <v>1</v>
      </c>
      <c r="G1187" s="43" t="b">
        <v>1</v>
      </c>
      <c r="H1187" s="44">
        <v>1670</v>
      </c>
    </row>
    <row r="1188" spans="1:8" x14ac:dyDescent="0.3">
      <c r="A1188" s="42" t="s">
        <v>1547</v>
      </c>
      <c r="B1188" s="3" t="s">
        <v>1548</v>
      </c>
      <c r="C1188" s="4">
        <f t="shared" ca="1" si="42"/>
        <v>45666</v>
      </c>
      <c r="D1188" s="4">
        <f ca="1">TODAY()-351</f>
        <v>45686</v>
      </c>
      <c r="E1188" s="3" t="s">
        <v>1032</v>
      </c>
      <c r="F1188" s="43" t="b">
        <v>1</v>
      </c>
      <c r="G1188" s="43" t="b">
        <v>0</v>
      </c>
      <c r="H1188" s="44">
        <v>1680</v>
      </c>
    </row>
    <row r="1189" spans="1:8" x14ac:dyDescent="0.3">
      <c r="A1189" s="42" t="s">
        <v>1338</v>
      </c>
      <c r="B1189" s="3" t="s">
        <v>1339</v>
      </c>
      <c r="C1189" s="4">
        <f t="shared" ca="1" si="42"/>
        <v>45666</v>
      </c>
      <c r="D1189" s="4">
        <f t="shared" ref="D1189:D1190" ca="1" si="47">TODAY()-357</f>
        <v>45680</v>
      </c>
      <c r="E1189" s="3" t="s">
        <v>1032</v>
      </c>
      <c r="F1189" s="43" t="b">
        <v>1</v>
      </c>
      <c r="G1189" s="43" t="b">
        <v>0</v>
      </c>
      <c r="H1189" s="44">
        <v>1800</v>
      </c>
    </row>
    <row r="1190" spans="1:8" x14ac:dyDescent="0.3">
      <c r="A1190" s="42" t="s">
        <v>1474</v>
      </c>
      <c r="B1190" s="3" t="s">
        <v>1475</v>
      </c>
      <c r="C1190" s="4">
        <f t="shared" ca="1" si="42"/>
        <v>45666</v>
      </c>
      <c r="D1190" s="4">
        <f t="shared" ca="1" si="47"/>
        <v>45680</v>
      </c>
      <c r="E1190" s="3" t="s">
        <v>1029</v>
      </c>
      <c r="F1190" s="43" t="b">
        <v>1</v>
      </c>
      <c r="G1190" s="43" t="b">
        <v>1</v>
      </c>
      <c r="H1190" s="44">
        <v>630</v>
      </c>
    </row>
    <row r="1191" spans="1:8" x14ac:dyDescent="0.3">
      <c r="A1191" s="42" t="s">
        <v>1697</v>
      </c>
      <c r="B1191" s="3" t="s">
        <v>1834</v>
      </c>
      <c r="C1191" s="4">
        <f t="shared" ca="1" si="42"/>
        <v>45666</v>
      </c>
      <c r="D1191" s="4">
        <f ca="1">TODAY()-352</f>
        <v>45685</v>
      </c>
      <c r="E1191" s="3" t="s">
        <v>1032</v>
      </c>
      <c r="F1191" s="43" t="b">
        <v>1</v>
      </c>
      <c r="G1191" s="43" t="b">
        <v>0</v>
      </c>
      <c r="H1191" s="44">
        <v>1340</v>
      </c>
    </row>
    <row r="1192" spans="1:8" x14ac:dyDescent="0.3">
      <c r="A1192" s="42" t="s">
        <v>1632</v>
      </c>
      <c r="B1192" s="3" t="s">
        <v>1774</v>
      </c>
      <c r="C1192" s="4">
        <f t="shared" ca="1" si="42"/>
        <v>45666</v>
      </c>
      <c r="D1192" s="4">
        <f ca="1">TODAY()-358</f>
        <v>45679</v>
      </c>
      <c r="E1192" s="3" t="s">
        <v>1029</v>
      </c>
      <c r="F1192" s="43" t="b">
        <v>1</v>
      </c>
      <c r="G1192" s="43" t="b">
        <v>1</v>
      </c>
      <c r="H1192" s="44">
        <v>2360</v>
      </c>
    </row>
    <row r="1193" spans="1:8" x14ac:dyDescent="0.3">
      <c r="A1193" s="42" t="s">
        <v>1671</v>
      </c>
      <c r="B1193" s="3" t="s">
        <v>1824</v>
      </c>
      <c r="C1193" s="4">
        <f t="shared" ca="1" si="42"/>
        <v>45666</v>
      </c>
      <c r="D1193" s="4">
        <f ca="1">TODAY()-357</f>
        <v>45680</v>
      </c>
      <c r="E1193" s="3" t="s">
        <v>1029</v>
      </c>
      <c r="F1193" s="43" t="b">
        <v>1</v>
      </c>
      <c r="G1193" s="43" t="b">
        <v>1</v>
      </c>
      <c r="H1193" s="44">
        <v>2010</v>
      </c>
    </row>
    <row r="1194" spans="1:8" x14ac:dyDescent="0.3">
      <c r="A1194" s="42" t="s">
        <v>1058</v>
      </c>
      <c r="B1194" s="3" t="s">
        <v>1078</v>
      </c>
      <c r="C1194" s="4">
        <f t="shared" ca="1" si="42"/>
        <v>45666</v>
      </c>
      <c r="D1194" s="4">
        <f ca="1">TODAY()-349</f>
        <v>45688</v>
      </c>
      <c r="E1194" s="3" t="s">
        <v>1029</v>
      </c>
      <c r="F1194" s="43" t="b">
        <v>1</v>
      </c>
      <c r="G1194" s="43" t="b">
        <v>1</v>
      </c>
      <c r="H1194" s="44">
        <v>2060</v>
      </c>
    </row>
    <row r="1195" spans="1:8" x14ac:dyDescent="0.3">
      <c r="A1195" s="42" t="s">
        <v>1797</v>
      </c>
      <c r="B1195" s="3" t="s">
        <v>1798</v>
      </c>
      <c r="C1195" s="4">
        <f t="shared" ca="1" si="42"/>
        <v>45666</v>
      </c>
      <c r="D1195" s="4">
        <f ca="1">TODAY()-343</f>
        <v>45694</v>
      </c>
      <c r="E1195" s="3" t="s">
        <v>1029</v>
      </c>
      <c r="F1195" s="43" t="b">
        <v>1</v>
      </c>
      <c r="G1195" s="43" t="b">
        <v>1</v>
      </c>
      <c r="H1195" s="44">
        <v>1640</v>
      </c>
    </row>
    <row r="1196" spans="1:8" x14ac:dyDescent="0.3">
      <c r="A1196" s="42" t="s">
        <v>1627</v>
      </c>
      <c r="B1196" s="3" t="s">
        <v>1796</v>
      </c>
      <c r="C1196" s="4">
        <f t="shared" ca="1" si="42"/>
        <v>45666</v>
      </c>
      <c r="D1196" s="42"/>
      <c r="E1196" s="3" t="s">
        <v>1037</v>
      </c>
      <c r="F1196" s="43" t="b">
        <v>0</v>
      </c>
      <c r="G1196" s="43" t="b">
        <v>0</v>
      </c>
      <c r="H1196" s="44">
        <v>2070</v>
      </c>
    </row>
    <row r="1197" spans="1:8" x14ac:dyDescent="0.3">
      <c r="A1197" s="42" t="s">
        <v>1737</v>
      </c>
      <c r="B1197" s="3" t="s">
        <v>1738</v>
      </c>
      <c r="C1197" s="4">
        <f t="shared" ca="1" si="42"/>
        <v>45666</v>
      </c>
      <c r="D1197" s="4">
        <f ca="1">TODAY()-350</f>
        <v>45687</v>
      </c>
      <c r="E1197" s="3" t="s">
        <v>1029</v>
      </c>
      <c r="F1197" s="43" t="b">
        <v>1</v>
      </c>
      <c r="G1197" s="43" t="b">
        <v>1</v>
      </c>
      <c r="H1197" s="44">
        <v>2210</v>
      </c>
    </row>
    <row r="1198" spans="1:8" x14ac:dyDescent="0.3">
      <c r="A1198" s="42" t="s">
        <v>1558</v>
      </c>
      <c r="B1198" s="3" t="s">
        <v>1924</v>
      </c>
      <c r="C1198" s="4">
        <f t="shared" ca="1" si="42"/>
        <v>45666</v>
      </c>
      <c r="D1198" s="4">
        <f ca="1">TODAY()-342</f>
        <v>45695</v>
      </c>
      <c r="E1198" s="3" t="s">
        <v>1029</v>
      </c>
      <c r="F1198" s="43" t="b">
        <v>1</v>
      </c>
      <c r="G1198" s="43" t="b">
        <v>1</v>
      </c>
      <c r="H1198" s="44">
        <v>350</v>
      </c>
    </row>
    <row r="1199" spans="1:8" x14ac:dyDescent="0.3">
      <c r="A1199" s="42" t="s">
        <v>1746</v>
      </c>
      <c r="B1199" s="3" t="s">
        <v>1747</v>
      </c>
      <c r="C1199" s="4">
        <f t="shared" ca="1" si="42"/>
        <v>45666</v>
      </c>
      <c r="D1199" s="4">
        <f t="shared" ref="D1199:D1200" ca="1" si="48">TODAY()-354</f>
        <v>45683</v>
      </c>
      <c r="E1199" s="3" t="s">
        <v>1029</v>
      </c>
      <c r="F1199" s="43" t="b">
        <v>1</v>
      </c>
      <c r="G1199" s="43" t="b">
        <v>1</v>
      </c>
      <c r="H1199" s="44">
        <v>1680</v>
      </c>
    </row>
    <row r="1200" spans="1:8" x14ac:dyDescent="0.3">
      <c r="A1200" s="42" t="s">
        <v>1209</v>
      </c>
      <c r="B1200" s="3" t="s">
        <v>1528</v>
      </c>
      <c r="C1200" s="4">
        <f t="shared" ca="1" si="42"/>
        <v>45666</v>
      </c>
      <c r="D1200" s="4">
        <f t="shared" ca="1" si="48"/>
        <v>45683</v>
      </c>
      <c r="E1200" s="3" t="s">
        <v>1029</v>
      </c>
      <c r="F1200" s="43" t="b">
        <v>1</v>
      </c>
      <c r="G1200" s="43" t="b">
        <v>1</v>
      </c>
      <c r="H1200" s="44">
        <v>2080</v>
      </c>
    </row>
    <row r="1201" spans="1:8" x14ac:dyDescent="0.3">
      <c r="A1201" s="42" t="s">
        <v>1482</v>
      </c>
      <c r="B1201" s="3" t="s">
        <v>1483</v>
      </c>
      <c r="C1201" s="4">
        <f t="shared" ca="1" si="42"/>
        <v>45666</v>
      </c>
      <c r="D1201" s="4">
        <f ca="1">TODAY()-346</f>
        <v>45691</v>
      </c>
      <c r="E1201" s="3" t="s">
        <v>1032</v>
      </c>
      <c r="F1201" s="43" t="b">
        <v>1</v>
      </c>
      <c r="G1201" s="43" t="b">
        <v>0</v>
      </c>
      <c r="H1201" s="44">
        <v>1150</v>
      </c>
    </row>
    <row r="1202" spans="1:8" x14ac:dyDescent="0.3">
      <c r="A1202" s="42" t="s">
        <v>1867</v>
      </c>
      <c r="B1202" s="3" t="s">
        <v>1868</v>
      </c>
      <c r="C1202" s="4">
        <f t="shared" ca="1" si="42"/>
        <v>45666</v>
      </c>
      <c r="D1202" s="4">
        <f ca="1">TODAY()-342</f>
        <v>45695</v>
      </c>
      <c r="E1202" s="3" t="s">
        <v>1032</v>
      </c>
      <c r="F1202" s="43" t="b">
        <v>1</v>
      </c>
      <c r="G1202" s="43" t="b">
        <v>0</v>
      </c>
      <c r="H1202" s="44">
        <v>390</v>
      </c>
    </row>
    <row r="1203" spans="1:8" x14ac:dyDescent="0.3">
      <c r="A1203" s="42" t="s">
        <v>1925</v>
      </c>
      <c r="B1203" s="3" t="s">
        <v>1926</v>
      </c>
      <c r="C1203" s="4">
        <f t="shared" ca="1" si="42"/>
        <v>45666</v>
      </c>
      <c r="D1203" s="4">
        <f ca="1">TODAY()-346</f>
        <v>45691</v>
      </c>
      <c r="E1203" s="3" t="s">
        <v>1032</v>
      </c>
      <c r="F1203" s="43" t="b">
        <v>1</v>
      </c>
      <c r="G1203" s="43" t="b">
        <v>0</v>
      </c>
      <c r="H1203" s="44">
        <v>2440</v>
      </c>
    </row>
    <row r="1204" spans="1:8" x14ac:dyDescent="0.3">
      <c r="A1204" s="42" t="s">
        <v>1782</v>
      </c>
      <c r="B1204" s="3" t="s">
        <v>1920</v>
      </c>
      <c r="C1204" s="4">
        <f t="shared" ca="1" si="42"/>
        <v>45666</v>
      </c>
      <c r="D1204" s="42"/>
      <c r="E1204" s="3" t="s">
        <v>1070</v>
      </c>
      <c r="F1204" s="43" t="b">
        <v>0</v>
      </c>
      <c r="G1204" s="43" t="b">
        <v>0</v>
      </c>
      <c r="H1204" s="44">
        <v>290</v>
      </c>
    </row>
    <row r="1205" spans="1:8" x14ac:dyDescent="0.3">
      <c r="A1205" s="42" t="s">
        <v>1476</v>
      </c>
      <c r="B1205" s="3" t="s">
        <v>1114</v>
      </c>
      <c r="C1205" s="4">
        <f t="shared" ca="1" si="42"/>
        <v>45666</v>
      </c>
      <c r="D1205" s="4">
        <f ca="1">TODAY()-352</f>
        <v>45685</v>
      </c>
      <c r="E1205" s="3" t="s">
        <v>1029</v>
      </c>
      <c r="F1205" s="43" t="b">
        <v>1</v>
      </c>
      <c r="G1205" s="43" t="b">
        <v>1</v>
      </c>
      <c r="H1205" s="44">
        <v>740</v>
      </c>
    </row>
    <row r="1206" spans="1:8" x14ac:dyDescent="0.3">
      <c r="A1206" s="42" t="s">
        <v>1852</v>
      </c>
      <c r="B1206" s="3" t="s">
        <v>1853</v>
      </c>
      <c r="C1206" s="4">
        <f t="shared" ca="1" si="42"/>
        <v>45666</v>
      </c>
      <c r="D1206" s="4">
        <f ca="1">TODAY()-344</f>
        <v>45693</v>
      </c>
      <c r="E1206" s="3" t="s">
        <v>1032</v>
      </c>
      <c r="F1206" s="43" t="b">
        <v>1</v>
      </c>
      <c r="G1206" s="43" t="b">
        <v>0</v>
      </c>
      <c r="H1206" s="44">
        <v>1450</v>
      </c>
    </row>
    <row r="1207" spans="1:8" x14ac:dyDescent="0.3">
      <c r="A1207" s="42" t="s">
        <v>1808</v>
      </c>
      <c r="B1207" s="3" t="s">
        <v>1809</v>
      </c>
      <c r="C1207" s="4">
        <f t="shared" ca="1" si="42"/>
        <v>45666</v>
      </c>
      <c r="D1207" s="42"/>
      <c r="E1207" s="3" t="s">
        <v>1070</v>
      </c>
      <c r="F1207" s="43" t="b">
        <v>0</v>
      </c>
      <c r="G1207" s="43" t="b">
        <v>0</v>
      </c>
      <c r="H1207" s="44">
        <v>740</v>
      </c>
    </row>
    <row r="1208" spans="1:8" x14ac:dyDescent="0.3">
      <c r="A1208" s="42" t="s">
        <v>1918</v>
      </c>
      <c r="B1208" s="3" t="s">
        <v>1927</v>
      </c>
      <c r="C1208" s="4">
        <f t="shared" ca="1" si="42"/>
        <v>45666</v>
      </c>
      <c r="D1208" s="4">
        <f ca="1">TODAY()-342</f>
        <v>45695</v>
      </c>
      <c r="E1208" s="3" t="s">
        <v>1029</v>
      </c>
      <c r="F1208" s="43" t="b">
        <v>1</v>
      </c>
      <c r="G1208" s="43" t="b">
        <v>1</v>
      </c>
      <c r="H1208" s="44">
        <v>680</v>
      </c>
    </row>
    <row r="1209" spans="1:8" x14ac:dyDescent="0.3">
      <c r="A1209" s="42" t="s">
        <v>1722</v>
      </c>
      <c r="B1209" s="3" t="s">
        <v>1723</v>
      </c>
      <c r="C1209" s="4">
        <f t="shared" ca="1" si="42"/>
        <v>45666</v>
      </c>
      <c r="D1209" s="4">
        <f ca="1">TODAY()-354</f>
        <v>45683</v>
      </c>
      <c r="E1209" s="3" t="s">
        <v>1032</v>
      </c>
      <c r="F1209" s="43" t="b">
        <v>1</v>
      </c>
      <c r="G1209" s="43" t="b">
        <v>0</v>
      </c>
      <c r="H1209" s="44">
        <v>1550</v>
      </c>
    </row>
    <row r="1210" spans="1:8" x14ac:dyDescent="0.3">
      <c r="A1210" s="42" t="s">
        <v>1340</v>
      </c>
      <c r="B1210" s="3" t="s">
        <v>1658</v>
      </c>
      <c r="C1210" s="4">
        <f t="shared" ca="1" si="42"/>
        <v>45666</v>
      </c>
      <c r="D1210" s="4">
        <f ca="1">TODAY()-359</f>
        <v>45678</v>
      </c>
      <c r="E1210" s="3" t="s">
        <v>1032</v>
      </c>
      <c r="F1210" s="43" t="b">
        <v>1</v>
      </c>
      <c r="G1210" s="43" t="b">
        <v>0</v>
      </c>
      <c r="H1210" s="44">
        <v>1840</v>
      </c>
    </row>
    <row r="1211" spans="1:8" x14ac:dyDescent="0.3">
      <c r="A1211" s="42" t="s">
        <v>1928</v>
      </c>
      <c r="B1211" s="3" t="s">
        <v>1929</v>
      </c>
      <c r="C1211" s="4">
        <f t="shared" ca="1" si="42"/>
        <v>45666</v>
      </c>
      <c r="D1211" s="4">
        <f ca="1">TODAY()-344</f>
        <v>45693</v>
      </c>
      <c r="E1211" s="3" t="s">
        <v>1032</v>
      </c>
      <c r="F1211" s="43" t="b">
        <v>1</v>
      </c>
      <c r="G1211" s="43" t="b">
        <v>0</v>
      </c>
      <c r="H1211" s="44">
        <v>170</v>
      </c>
    </row>
    <row r="1212" spans="1:8" x14ac:dyDescent="0.3">
      <c r="A1212" s="42" t="s">
        <v>1318</v>
      </c>
      <c r="B1212" s="3" t="s">
        <v>1319</v>
      </c>
      <c r="C1212" s="4">
        <f t="shared" ca="1" si="42"/>
        <v>45666</v>
      </c>
      <c r="D1212" s="4">
        <f ca="1">TODAY()-360</f>
        <v>45677</v>
      </c>
      <c r="E1212" s="3" t="s">
        <v>1029</v>
      </c>
      <c r="F1212" s="43" t="b">
        <v>1</v>
      </c>
      <c r="G1212" s="43" t="b">
        <v>1</v>
      </c>
      <c r="H1212" s="44">
        <v>390</v>
      </c>
    </row>
    <row r="1213" spans="1:8" x14ac:dyDescent="0.3">
      <c r="A1213" s="42" t="s">
        <v>1050</v>
      </c>
      <c r="B1213" s="3" t="s">
        <v>1051</v>
      </c>
      <c r="C1213" s="4">
        <f t="shared" ca="1" si="42"/>
        <v>45666</v>
      </c>
      <c r="D1213" s="4">
        <f ca="1">TODAY()-361</f>
        <v>45676</v>
      </c>
      <c r="E1213" s="3" t="s">
        <v>1029</v>
      </c>
      <c r="F1213" s="43" t="b">
        <v>1</v>
      </c>
      <c r="G1213" s="43" t="b">
        <v>1</v>
      </c>
      <c r="H1213" s="44">
        <v>2330</v>
      </c>
    </row>
    <row r="1214" spans="1:8" x14ac:dyDescent="0.3">
      <c r="A1214" s="42" t="s">
        <v>1186</v>
      </c>
      <c r="B1214" s="3" t="s">
        <v>1187</v>
      </c>
      <c r="C1214" s="4">
        <f t="shared" ca="1" si="42"/>
        <v>45666</v>
      </c>
      <c r="D1214" s="4">
        <f ca="1">TODAY()-348</f>
        <v>45689</v>
      </c>
      <c r="E1214" s="3" t="s">
        <v>1032</v>
      </c>
      <c r="F1214" s="43" t="b">
        <v>1</v>
      </c>
      <c r="G1214" s="43" t="b">
        <v>0</v>
      </c>
      <c r="H1214" s="44">
        <v>2330</v>
      </c>
    </row>
    <row r="1215" spans="1:8" x14ac:dyDescent="0.3">
      <c r="A1215" s="42" t="s">
        <v>1814</v>
      </c>
      <c r="B1215" s="3" t="s">
        <v>1891</v>
      </c>
      <c r="C1215" s="4">
        <f t="shared" ca="1" si="42"/>
        <v>45666</v>
      </c>
      <c r="D1215" s="4">
        <f ca="1">TODAY()-358</f>
        <v>45679</v>
      </c>
      <c r="E1215" s="3" t="s">
        <v>1032</v>
      </c>
      <c r="F1215" s="43" t="b">
        <v>1</v>
      </c>
      <c r="G1215" s="43" t="b">
        <v>0</v>
      </c>
      <c r="H1215" s="44">
        <v>1000</v>
      </c>
    </row>
    <row r="1216" spans="1:8" x14ac:dyDescent="0.3">
      <c r="A1216" s="42" t="s">
        <v>1119</v>
      </c>
      <c r="B1216" s="3" t="s">
        <v>1428</v>
      </c>
      <c r="C1216" s="4">
        <f t="shared" ca="1" si="42"/>
        <v>45666</v>
      </c>
      <c r="D1216" s="42"/>
      <c r="E1216" s="3" t="s">
        <v>1108</v>
      </c>
      <c r="F1216" s="43" t="b">
        <v>0</v>
      </c>
      <c r="G1216" s="43" t="b">
        <v>0</v>
      </c>
      <c r="H1216" s="44">
        <v>2170</v>
      </c>
    </row>
    <row r="1217" spans="1:8" x14ac:dyDescent="0.3">
      <c r="A1217" s="42" t="s">
        <v>1507</v>
      </c>
      <c r="B1217" s="3" t="s">
        <v>1508</v>
      </c>
      <c r="C1217" s="4">
        <f t="shared" ca="1" si="42"/>
        <v>45666</v>
      </c>
      <c r="D1217" s="4">
        <f ca="1">TODAY()-350</f>
        <v>45687</v>
      </c>
      <c r="E1217" s="3" t="s">
        <v>1029</v>
      </c>
      <c r="F1217" s="43" t="b">
        <v>1</v>
      </c>
      <c r="G1217" s="43" t="b">
        <v>1</v>
      </c>
      <c r="H1217" s="44">
        <v>1200</v>
      </c>
    </row>
    <row r="1218" spans="1:8" x14ac:dyDescent="0.3">
      <c r="A1218" s="42" t="s">
        <v>1503</v>
      </c>
      <c r="B1218" s="3" t="s">
        <v>1504</v>
      </c>
      <c r="C1218" s="4">
        <f t="shared" ca="1" si="42"/>
        <v>45666</v>
      </c>
      <c r="D1218" s="42"/>
      <c r="E1218" s="3" t="s">
        <v>1108</v>
      </c>
      <c r="F1218" s="43" t="b">
        <v>0</v>
      </c>
      <c r="G1218" s="43" t="b">
        <v>0</v>
      </c>
      <c r="H1218" s="44">
        <v>2200</v>
      </c>
    </row>
    <row r="1219" spans="1:8" x14ac:dyDescent="0.3">
      <c r="A1219" s="42" t="s">
        <v>1405</v>
      </c>
      <c r="B1219" s="3" t="s">
        <v>1406</v>
      </c>
      <c r="C1219" s="4">
        <f t="shared" ca="1" si="42"/>
        <v>45666</v>
      </c>
      <c r="D1219" s="4">
        <f ca="1">TODAY()-346</f>
        <v>45691</v>
      </c>
      <c r="E1219" s="3" t="s">
        <v>1029</v>
      </c>
      <c r="F1219" s="43" t="b">
        <v>1</v>
      </c>
      <c r="G1219" s="43" t="b">
        <v>1</v>
      </c>
      <c r="H1219" s="44">
        <v>340</v>
      </c>
    </row>
    <row r="1220" spans="1:8" x14ac:dyDescent="0.3">
      <c r="A1220" s="42" t="s">
        <v>1876</v>
      </c>
      <c r="B1220" s="3" t="s">
        <v>1877</v>
      </c>
      <c r="C1220" s="4">
        <f t="shared" ca="1" si="42"/>
        <v>45666</v>
      </c>
      <c r="D1220" s="4">
        <f ca="1">TODAY()-347</f>
        <v>45690</v>
      </c>
      <c r="E1220" s="3" t="s">
        <v>1029</v>
      </c>
      <c r="F1220" s="43" t="b">
        <v>1</v>
      </c>
      <c r="G1220" s="43" t="b">
        <v>1</v>
      </c>
      <c r="H1220" s="44">
        <v>310</v>
      </c>
    </row>
    <row r="1221" spans="1:8" x14ac:dyDescent="0.3">
      <c r="A1221" s="42" t="s">
        <v>1558</v>
      </c>
      <c r="B1221" s="3" t="s">
        <v>1924</v>
      </c>
      <c r="C1221" s="4">
        <f t="shared" ca="1" si="42"/>
        <v>45666</v>
      </c>
      <c r="D1221" s="4">
        <f ca="1">TODAY()-355</f>
        <v>45682</v>
      </c>
      <c r="E1221" s="3" t="s">
        <v>1029</v>
      </c>
      <c r="F1221" s="43" t="b">
        <v>1</v>
      </c>
      <c r="G1221" s="43" t="b">
        <v>1</v>
      </c>
      <c r="H1221" s="44">
        <v>350</v>
      </c>
    </row>
    <row r="1222" spans="1:8" x14ac:dyDescent="0.3">
      <c r="A1222" s="42" t="s">
        <v>1797</v>
      </c>
      <c r="B1222" s="3" t="s">
        <v>1930</v>
      </c>
      <c r="C1222" s="4">
        <f t="shared" ca="1" si="42"/>
        <v>45666</v>
      </c>
      <c r="D1222" s="4">
        <f ca="1">TODAY()-358</f>
        <v>45679</v>
      </c>
      <c r="E1222" s="3" t="s">
        <v>1029</v>
      </c>
      <c r="F1222" s="43" t="b">
        <v>1</v>
      </c>
      <c r="G1222" s="43" t="b">
        <v>1</v>
      </c>
      <c r="H1222" s="44">
        <v>880</v>
      </c>
    </row>
    <row r="1223" spans="1:8" x14ac:dyDescent="0.3">
      <c r="A1223" s="42" t="s">
        <v>1522</v>
      </c>
      <c r="B1223" s="3" t="s">
        <v>1523</v>
      </c>
      <c r="C1223" s="4">
        <f t="shared" ref="C1223:C1336" ca="1" si="49">TODAY()-341</f>
        <v>45696</v>
      </c>
      <c r="D1223" s="4">
        <f ca="1">TODAY()-315</f>
        <v>45722</v>
      </c>
      <c r="E1223" s="3" t="s">
        <v>1029</v>
      </c>
      <c r="F1223" s="43" t="b">
        <v>1</v>
      </c>
      <c r="G1223" s="43" t="b">
        <v>1</v>
      </c>
      <c r="H1223" s="44">
        <v>2180</v>
      </c>
    </row>
    <row r="1224" spans="1:8" x14ac:dyDescent="0.3">
      <c r="A1224" s="42" t="s">
        <v>1145</v>
      </c>
      <c r="B1224" s="3" t="s">
        <v>1931</v>
      </c>
      <c r="C1224" s="4">
        <f t="shared" ca="1" si="49"/>
        <v>45696</v>
      </c>
      <c r="D1224" s="4">
        <f ca="1">TODAY()-324</f>
        <v>45713</v>
      </c>
      <c r="E1224" s="3" t="s">
        <v>1029</v>
      </c>
      <c r="F1224" s="43" t="b">
        <v>1</v>
      </c>
      <c r="G1224" s="43" t="b">
        <v>1</v>
      </c>
      <c r="H1224" s="44">
        <v>920</v>
      </c>
    </row>
    <row r="1225" spans="1:8" x14ac:dyDescent="0.3">
      <c r="A1225" s="42" t="s">
        <v>1476</v>
      </c>
      <c r="B1225" s="3" t="s">
        <v>1477</v>
      </c>
      <c r="C1225" s="4">
        <f t="shared" ca="1" si="49"/>
        <v>45696</v>
      </c>
      <c r="D1225" s="4">
        <f ca="1">TODAY()-325</f>
        <v>45712</v>
      </c>
      <c r="E1225" s="3" t="s">
        <v>1029</v>
      </c>
      <c r="F1225" s="43" t="b">
        <v>1</v>
      </c>
      <c r="G1225" s="43" t="b">
        <v>1</v>
      </c>
      <c r="H1225" s="44">
        <v>1720</v>
      </c>
    </row>
    <row r="1226" spans="1:8" x14ac:dyDescent="0.3">
      <c r="A1226" s="42" t="s">
        <v>1044</v>
      </c>
      <c r="B1226" s="3" t="s">
        <v>1572</v>
      </c>
      <c r="C1226" s="4">
        <f t="shared" ca="1" si="49"/>
        <v>45696</v>
      </c>
      <c r="D1226" s="4">
        <f ca="1">TODAY()-316</f>
        <v>45721</v>
      </c>
      <c r="E1226" s="3" t="s">
        <v>1029</v>
      </c>
      <c r="F1226" s="43" t="b">
        <v>1</v>
      </c>
      <c r="G1226" s="43" t="b">
        <v>1</v>
      </c>
      <c r="H1226" s="44">
        <v>360</v>
      </c>
    </row>
    <row r="1227" spans="1:8" x14ac:dyDescent="0.3">
      <c r="A1227" s="42" t="s">
        <v>1099</v>
      </c>
      <c r="B1227" s="3" t="s">
        <v>1100</v>
      </c>
      <c r="C1227" s="4">
        <f t="shared" ca="1" si="49"/>
        <v>45696</v>
      </c>
      <c r="D1227" s="42"/>
      <c r="E1227" s="3" t="s">
        <v>1101</v>
      </c>
      <c r="F1227" s="43" t="b">
        <v>0</v>
      </c>
      <c r="G1227" s="43" t="b">
        <v>0</v>
      </c>
      <c r="H1227" s="44">
        <v>1040</v>
      </c>
    </row>
    <row r="1228" spans="1:8" x14ac:dyDescent="0.3">
      <c r="A1228" s="42" t="s">
        <v>1223</v>
      </c>
      <c r="B1228" s="3" t="s">
        <v>1224</v>
      </c>
      <c r="C1228" s="4">
        <f t="shared" ca="1" si="49"/>
        <v>45696</v>
      </c>
      <c r="D1228" s="4">
        <f ca="1">TODAY()-329</f>
        <v>45708</v>
      </c>
      <c r="E1228" s="3" t="s">
        <v>1029</v>
      </c>
      <c r="F1228" s="43" t="b">
        <v>1</v>
      </c>
      <c r="G1228" s="43" t="b">
        <v>1</v>
      </c>
      <c r="H1228" s="44">
        <v>670</v>
      </c>
    </row>
    <row r="1229" spans="1:8" x14ac:dyDescent="0.3">
      <c r="A1229" s="42" t="s">
        <v>1547</v>
      </c>
      <c r="B1229" s="45" t="s">
        <v>1815</v>
      </c>
      <c r="C1229" s="4">
        <f t="shared" ca="1" si="49"/>
        <v>45696</v>
      </c>
      <c r="D1229" s="4">
        <f ca="1">TODAY()-311</f>
        <v>45726</v>
      </c>
      <c r="E1229" s="3" t="s">
        <v>1032</v>
      </c>
      <c r="F1229" s="43" t="b">
        <v>1</v>
      </c>
      <c r="G1229" s="43" t="b">
        <v>0</v>
      </c>
      <c r="H1229" s="44">
        <v>2070</v>
      </c>
    </row>
    <row r="1230" spans="1:8" x14ac:dyDescent="0.3">
      <c r="A1230" s="42" t="s">
        <v>1056</v>
      </c>
      <c r="B1230" s="3" t="s">
        <v>1057</v>
      </c>
      <c r="C1230" s="4">
        <f t="shared" ca="1" si="49"/>
        <v>45696</v>
      </c>
      <c r="D1230" s="4">
        <f ca="1">TODAY()-313</f>
        <v>45724</v>
      </c>
      <c r="E1230" s="3" t="s">
        <v>1032</v>
      </c>
      <c r="F1230" s="43" t="b">
        <v>1</v>
      </c>
      <c r="G1230" s="43" t="b">
        <v>0</v>
      </c>
      <c r="H1230" s="44">
        <v>1490</v>
      </c>
    </row>
    <row r="1231" spans="1:8" x14ac:dyDescent="0.3">
      <c r="A1231" s="42" t="s">
        <v>1446</v>
      </c>
      <c r="B1231" s="3" t="s">
        <v>1447</v>
      </c>
      <c r="C1231" s="4">
        <f t="shared" ca="1" si="49"/>
        <v>45696</v>
      </c>
      <c r="D1231" s="4">
        <f ca="1">TODAY()-329</f>
        <v>45708</v>
      </c>
      <c r="E1231" s="3" t="s">
        <v>1029</v>
      </c>
      <c r="F1231" s="43" t="b">
        <v>1</v>
      </c>
      <c r="G1231" s="43" t="b">
        <v>1</v>
      </c>
      <c r="H1231" s="44">
        <v>2460</v>
      </c>
    </row>
    <row r="1232" spans="1:8" x14ac:dyDescent="0.3">
      <c r="A1232" s="42" t="s">
        <v>1219</v>
      </c>
      <c r="B1232" s="3" t="s">
        <v>1220</v>
      </c>
      <c r="C1232" s="4">
        <f t="shared" ca="1" si="49"/>
        <v>45696</v>
      </c>
      <c r="D1232" s="4">
        <f ca="1">TODAY()-311</f>
        <v>45726</v>
      </c>
      <c r="E1232" s="3" t="s">
        <v>1032</v>
      </c>
      <c r="F1232" s="43" t="b">
        <v>1</v>
      </c>
      <c r="G1232" s="43" t="b">
        <v>0</v>
      </c>
      <c r="H1232" s="44">
        <v>730</v>
      </c>
    </row>
    <row r="1233" spans="1:8" x14ac:dyDescent="0.3">
      <c r="A1233" s="42" t="s">
        <v>1346</v>
      </c>
      <c r="B1233" s="3" t="s">
        <v>1347</v>
      </c>
      <c r="C1233" s="4">
        <f t="shared" ca="1" si="49"/>
        <v>45696</v>
      </c>
      <c r="D1233" s="4">
        <f ca="1">TODAY()-312</f>
        <v>45725</v>
      </c>
      <c r="E1233" s="3" t="s">
        <v>1032</v>
      </c>
      <c r="F1233" s="43" t="b">
        <v>1</v>
      </c>
      <c r="G1233" s="43" t="b">
        <v>0</v>
      </c>
      <c r="H1233" s="44">
        <v>2020</v>
      </c>
    </row>
    <row r="1234" spans="1:8" x14ac:dyDescent="0.3">
      <c r="A1234" s="42" t="s">
        <v>1541</v>
      </c>
      <c r="B1234" s="3" t="s">
        <v>1542</v>
      </c>
      <c r="C1234" s="4">
        <f t="shared" ca="1" si="49"/>
        <v>45696</v>
      </c>
      <c r="D1234" s="4">
        <f ca="1">TODAY()-321</f>
        <v>45716</v>
      </c>
      <c r="E1234" s="3" t="s">
        <v>1032</v>
      </c>
      <c r="F1234" s="43" t="b">
        <v>1</v>
      </c>
      <c r="G1234" s="43" t="b">
        <v>0</v>
      </c>
      <c r="H1234" s="44">
        <v>1480</v>
      </c>
    </row>
    <row r="1235" spans="1:8" x14ac:dyDescent="0.3">
      <c r="A1235" s="42" t="s">
        <v>1332</v>
      </c>
      <c r="B1235" s="3" t="s">
        <v>1333</v>
      </c>
      <c r="C1235" s="4">
        <f t="shared" ca="1" si="49"/>
        <v>45696</v>
      </c>
      <c r="D1235" s="4">
        <f ca="1">TODAY()-313</f>
        <v>45724</v>
      </c>
      <c r="E1235" s="3" t="s">
        <v>1029</v>
      </c>
      <c r="F1235" s="43" t="b">
        <v>1</v>
      </c>
      <c r="G1235" s="43" t="b">
        <v>1</v>
      </c>
      <c r="H1235" s="44">
        <v>640</v>
      </c>
    </row>
    <row r="1236" spans="1:8" x14ac:dyDescent="0.3">
      <c r="A1236" s="42" t="s">
        <v>1190</v>
      </c>
      <c r="B1236" s="3" t="s">
        <v>1534</v>
      </c>
      <c r="C1236" s="4">
        <f t="shared" ca="1" si="49"/>
        <v>45696</v>
      </c>
      <c r="D1236" s="4">
        <f ca="1">TODAY()-323</f>
        <v>45714</v>
      </c>
      <c r="E1236" s="3" t="s">
        <v>1029</v>
      </c>
      <c r="F1236" s="43" t="b">
        <v>1</v>
      </c>
      <c r="G1236" s="43" t="b">
        <v>1</v>
      </c>
      <c r="H1236" s="44">
        <v>1880</v>
      </c>
    </row>
    <row r="1237" spans="1:8" x14ac:dyDescent="0.3">
      <c r="A1237" s="42" t="s">
        <v>1918</v>
      </c>
      <c r="B1237" s="3" t="s">
        <v>1927</v>
      </c>
      <c r="C1237" s="4">
        <f t="shared" ca="1" si="49"/>
        <v>45696</v>
      </c>
      <c r="D1237" s="4">
        <f ca="1">TODAY()-319</f>
        <v>45718</v>
      </c>
      <c r="E1237" s="3" t="s">
        <v>1029</v>
      </c>
      <c r="F1237" s="43" t="b">
        <v>1</v>
      </c>
      <c r="G1237" s="43" t="b">
        <v>1</v>
      </c>
      <c r="H1237" s="44">
        <v>680</v>
      </c>
    </row>
    <row r="1238" spans="1:8" x14ac:dyDescent="0.3">
      <c r="A1238" s="42" t="s">
        <v>1517</v>
      </c>
      <c r="B1238" s="3" t="s">
        <v>1518</v>
      </c>
      <c r="C1238" s="4">
        <f t="shared" ca="1" si="49"/>
        <v>45696</v>
      </c>
      <c r="D1238" s="4">
        <f ca="1">TODAY()-321</f>
        <v>45716</v>
      </c>
      <c r="E1238" s="3" t="s">
        <v>1032</v>
      </c>
      <c r="F1238" s="43" t="b">
        <v>1</v>
      </c>
      <c r="G1238" s="43" t="b">
        <v>0</v>
      </c>
      <c r="H1238" s="44">
        <v>1090</v>
      </c>
    </row>
    <row r="1239" spans="1:8" x14ac:dyDescent="0.3">
      <c r="A1239" s="42" t="s">
        <v>1139</v>
      </c>
      <c r="B1239" s="3" t="s">
        <v>1607</v>
      </c>
      <c r="C1239" s="4">
        <f t="shared" ca="1" si="49"/>
        <v>45696</v>
      </c>
      <c r="D1239" s="42"/>
      <c r="E1239" s="3" t="s">
        <v>1108</v>
      </c>
      <c r="F1239" s="43" t="b">
        <v>0</v>
      </c>
      <c r="G1239" s="43" t="b">
        <v>0</v>
      </c>
      <c r="H1239" s="44">
        <v>510</v>
      </c>
    </row>
    <row r="1240" spans="1:8" x14ac:dyDescent="0.3">
      <c r="A1240" s="42" t="s">
        <v>1385</v>
      </c>
      <c r="B1240" s="3" t="s">
        <v>1386</v>
      </c>
      <c r="C1240" s="4">
        <f t="shared" ca="1" si="49"/>
        <v>45696</v>
      </c>
      <c r="D1240" s="4">
        <f ca="1">TODAY()-331</f>
        <v>45706</v>
      </c>
      <c r="E1240" s="3" t="s">
        <v>1032</v>
      </c>
      <c r="F1240" s="43" t="b">
        <v>1</v>
      </c>
      <c r="G1240" s="43" t="b">
        <v>0</v>
      </c>
      <c r="H1240" s="44">
        <v>1700</v>
      </c>
    </row>
    <row r="1241" spans="1:8" x14ac:dyDescent="0.3">
      <c r="A1241" s="42" t="s">
        <v>1046</v>
      </c>
      <c r="B1241" s="3" t="s">
        <v>1047</v>
      </c>
      <c r="C1241" s="4">
        <f t="shared" ca="1" si="49"/>
        <v>45696</v>
      </c>
      <c r="D1241" s="4">
        <f ca="1">TODAY()-326</f>
        <v>45711</v>
      </c>
      <c r="E1241" s="3" t="s">
        <v>1029</v>
      </c>
      <c r="F1241" s="43" t="b">
        <v>1</v>
      </c>
      <c r="G1241" s="43" t="b">
        <v>1</v>
      </c>
      <c r="H1241" s="44">
        <v>2270</v>
      </c>
    </row>
    <row r="1242" spans="1:8" x14ac:dyDescent="0.3">
      <c r="A1242" s="42" t="s">
        <v>1342</v>
      </c>
      <c r="B1242" s="3" t="s">
        <v>1803</v>
      </c>
      <c r="C1242" s="4">
        <f t="shared" ca="1" si="49"/>
        <v>45696</v>
      </c>
      <c r="D1242" s="4">
        <f ca="1">TODAY()-325</f>
        <v>45712</v>
      </c>
      <c r="E1242" s="3" t="s">
        <v>1029</v>
      </c>
      <c r="F1242" s="43" t="b">
        <v>1</v>
      </c>
      <c r="G1242" s="43" t="b">
        <v>1</v>
      </c>
      <c r="H1242" s="44">
        <v>230</v>
      </c>
    </row>
    <row r="1243" spans="1:8" x14ac:dyDescent="0.3">
      <c r="A1243" s="42" t="s">
        <v>1332</v>
      </c>
      <c r="B1243" s="3" t="s">
        <v>1333</v>
      </c>
      <c r="C1243" s="4">
        <f t="shared" ca="1" si="49"/>
        <v>45696</v>
      </c>
      <c r="D1243" s="4">
        <f ca="1">TODAY()-313</f>
        <v>45724</v>
      </c>
      <c r="E1243" s="3" t="s">
        <v>1029</v>
      </c>
      <c r="F1243" s="43" t="b">
        <v>1</v>
      </c>
      <c r="G1243" s="43" t="b">
        <v>1</v>
      </c>
      <c r="H1243" s="44">
        <v>640</v>
      </c>
    </row>
    <row r="1244" spans="1:8" x14ac:dyDescent="0.3">
      <c r="A1244" s="42" t="s">
        <v>1272</v>
      </c>
      <c r="B1244" s="3" t="s">
        <v>1114</v>
      </c>
      <c r="C1244" s="4">
        <f t="shared" ca="1" si="49"/>
        <v>45696</v>
      </c>
      <c r="D1244" s="4">
        <f ca="1">TODAY()-330</f>
        <v>45707</v>
      </c>
      <c r="E1244" s="3" t="s">
        <v>1029</v>
      </c>
      <c r="F1244" s="43" t="b">
        <v>1</v>
      </c>
      <c r="G1244" s="43" t="b">
        <v>1</v>
      </c>
      <c r="H1244" s="44">
        <v>910</v>
      </c>
    </row>
    <row r="1245" spans="1:8" x14ac:dyDescent="0.3">
      <c r="A1245" s="42" t="s">
        <v>1433</v>
      </c>
      <c r="B1245" s="3" t="s">
        <v>1434</v>
      </c>
      <c r="C1245" s="4">
        <f t="shared" ca="1" si="49"/>
        <v>45696</v>
      </c>
      <c r="D1245" s="4">
        <f ca="1">TODAY()-317</f>
        <v>45720</v>
      </c>
      <c r="E1245" s="3" t="s">
        <v>1032</v>
      </c>
      <c r="F1245" s="43" t="b">
        <v>1</v>
      </c>
      <c r="G1245" s="43" t="b">
        <v>0</v>
      </c>
      <c r="H1245" s="44">
        <v>1250</v>
      </c>
    </row>
    <row r="1246" spans="1:8" x14ac:dyDescent="0.3">
      <c r="A1246" s="42" t="s">
        <v>1312</v>
      </c>
      <c r="B1246" s="3" t="s">
        <v>1313</v>
      </c>
      <c r="C1246" s="4">
        <f t="shared" ca="1" si="49"/>
        <v>45696</v>
      </c>
      <c r="D1246" s="4">
        <f ca="1">TODAY()-316</f>
        <v>45721</v>
      </c>
      <c r="E1246" s="3" t="s">
        <v>1029</v>
      </c>
      <c r="F1246" s="43" t="b">
        <v>1</v>
      </c>
      <c r="G1246" s="43" t="b">
        <v>1</v>
      </c>
      <c r="H1246" s="44">
        <v>1350</v>
      </c>
    </row>
    <row r="1247" spans="1:8" x14ac:dyDescent="0.3">
      <c r="A1247" s="42" t="s">
        <v>1071</v>
      </c>
      <c r="B1247" s="3" t="s">
        <v>1072</v>
      </c>
      <c r="C1247" s="4">
        <f t="shared" ca="1" si="49"/>
        <v>45696</v>
      </c>
      <c r="D1247" s="4">
        <f ca="1">TODAY()-325</f>
        <v>45712</v>
      </c>
      <c r="E1247" s="3" t="s">
        <v>1029</v>
      </c>
      <c r="F1247" s="43" t="b">
        <v>1</v>
      </c>
      <c r="G1247" s="43" t="b">
        <v>1</v>
      </c>
      <c r="H1247" s="44">
        <v>760</v>
      </c>
    </row>
    <row r="1248" spans="1:8" x14ac:dyDescent="0.3">
      <c r="A1248" s="42" t="s">
        <v>1423</v>
      </c>
      <c r="B1248" s="3" t="s">
        <v>1424</v>
      </c>
      <c r="C1248" s="4">
        <f t="shared" ca="1" si="49"/>
        <v>45696</v>
      </c>
      <c r="D1248" s="4">
        <f ca="1">TODAY()-311</f>
        <v>45726</v>
      </c>
      <c r="E1248" s="3" t="s">
        <v>1029</v>
      </c>
      <c r="F1248" s="43" t="b">
        <v>1</v>
      </c>
      <c r="G1248" s="43" t="b">
        <v>1</v>
      </c>
      <c r="H1248" s="44">
        <v>1740</v>
      </c>
    </row>
    <row r="1249" spans="1:8" x14ac:dyDescent="0.3">
      <c r="A1249" s="42" t="s">
        <v>1437</v>
      </c>
      <c r="B1249" s="3" t="s">
        <v>1608</v>
      </c>
      <c r="C1249" s="4">
        <f t="shared" ca="1" si="49"/>
        <v>45696</v>
      </c>
      <c r="D1249" s="4">
        <f ca="1">TODAY()-327</f>
        <v>45710</v>
      </c>
      <c r="E1249" s="3" t="s">
        <v>1029</v>
      </c>
      <c r="F1249" s="43" t="b">
        <v>1</v>
      </c>
      <c r="G1249" s="43" t="b">
        <v>1</v>
      </c>
      <c r="H1249" s="44">
        <v>310</v>
      </c>
    </row>
    <row r="1250" spans="1:8" x14ac:dyDescent="0.3">
      <c r="A1250" s="42" t="s">
        <v>1932</v>
      </c>
      <c r="B1250" s="3" t="s">
        <v>1933</v>
      </c>
      <c r="C1250" s="4">
        <f t="shared" ca="1" si="49"/>
        <v>45696</v>
      </c>
      <c r="D1250" s="4">
        <f ca="1">TODAY()-316</f>
        <v>45721</v>
      </c>
      <c r="E1250" s="3" t="s">
        <v>1029</v>
      </c>
      <c r="F1250" s="43" t="b">
        <v>1</v>
      </c>
      <c r="G1250" s="43" t="b">
        <v>1</v>
      </c>
      <c r="H1250" s="44">
        <v>510</v>
      </c>
    </row>
    <row r="1251" spans="1:8" x14ac:dyDescent="0.3">
      <c r="A1251" s="42" t="s">
        <v>1934</v>
      </c>
      <c r="B1251" s="3" t="s">
        <v>1935</v>
      </c>
      <c r="C1251" s="4">
        <f t="shared" ca="1" si="49"/>
        <v>45696</v>
      </c>
      <c r="D1251" s="4">
        <f ca="1">TODAY()-330</f>
        <v>45707</v>
      </c>
      <c r="E1251" s="3" t="s">
        <v>1029</v>
      </c>
      <c r="F1251" s="43" t="b">
        <v>1</v>
      </c>
      <c r="G1251" s="43" t="b">
        <v>1</v>
      </c>
      <c r="H1251" s="44">
        <v>150</v>
      </c>
    </row>
    <row r="1252" spans="1:8" x14ac:dyDescent="0.3">
      <c r="A1252" s="42" t="s">
        <v>1027</v>
      </c>
      <c r="B1252" s="3" t="s">
        <v>1251</v>
      </c>
      <c r="C1252" s="4">
        <f t="shared" ca="1" si="49"/>
        <v>45696</v>
      </c>
      <c r="D1252" s="4">
        <f ca="1">TODAY()-316</f>
        <v>45721</v>
      </c>
      <c r="E1252" s="3" t="s">
        <v>1032</v>
      </c>
      <c r="F1252" s="43" t="b">
        <v>1</v>
      </c>
      <c r="G1252" s="43" t="b">
        <v>0</v>
      </c>
      <c r="H1252" s="44">
        <v>210</v>
      </c>
    </row>
    <row r="1253" spans="1:8" x14ac:dyDescent="0.3">
      <c r="A1253" s="42" t="s">
        <v>1292</v>
      </c>
      <c r="B1253" s="3" t="s">
        <v>1936</v>
      </c>
      <c r="C1253" s="4">
        <f t="shared" ca="1" si="49"/>
        <v>45696</v>
      </c>
      <c r="D1253" s="4">
        <f ca="1">TODAY()-326</f>
        <v>45711</v>
      </c>
      <c r="E1253" s="3" t="s">
        <v>1029</v>
      </c>
      <c r="F1253" s="43" t="b">
        <v>1</v>
      </c>
      <c r="G1253" s="43" t="b">
        <v>1</v>
      </c>
      <c r="H1253" s="44">
        <v>410</v>
      </c>
    </row>
    <row r="1254" spans="1:8" x14ac:dyDescent="0.3">
      <c r="A1254" s="42" t="s">
        <v>1328</v>
      </c>
      <c r="B1254" s="3" t="s">
        <v>1785</v>
      </c>
      <c r="C1254" s="4">
        <f t="shared" ca="1" si="49"/>
        <v>45696</v>
      </c>
      <c r="D1254" s="4">
        <f ca="1">TODAY()-324</f>
        <v>45713</v>
      </c>
      <c r="E1254" s="3" t="s">
        <v>1029</v>
      </c>
      <c r="F1254" s="43" t="b">
        <v>1</v>
      </c>
      <c r="G1254" s="43" t="b">
        <v>1</v>
      </c>
      <c r="H1254" s="44">
        <v>2970</v>
      </c>
    </row>
    <row r="1255" spans="1:8" x14ac:dyDescent="0.3">
      <c r="A1255" s="42" t="s">
        <v>1403</v>
      </c>
      <c r="B1255" s="3" t="s">
        <v>1404</v>
      </c>
      <c r="C1255" s="4">
        <f t="shared" ca="1" si="49"/>
        <v>45696</v>
      </c>
      <c r="D1255" s="4">
        <f ca="1">TODAY()-330</f>
        <v>45707</v>
      </c>
      <c r="E1255" s="3" t="s">
        <v>1029</v>
      </c>
      <c r="F1255" s="43" t="b">
        <v>1</v>
      </c>
      <c r="G1255" s="43" t="b">
        <v>1</v>
      </c>
      <c r="H1255" s="44">
        <v>2360</v>
      </c>
    </row>
    <row r="1256" spans="1:8" x14ac:dyDescent="0.3">
      <c r="A1256" s="42" t="s">
        <v>1601</v>
      </c>
      <c r="B1256" s="3" t="s">
        <v>1114</v>
      </c>
      <c r="C1256" s="4">
        <f t="shared" ca="1" si="49"/>
        <v>45696</v>
      </c>
      <c r="D1256" s="42"/>
      <c r="E1256" s="3" t="s">
        <v>1070</v>
      </c>
      <c r="F1256" s="43" t="b">
        <v>0</v>
      </c>
      <c r="G1256" s="43" t="b">
        <v>0</v>
      </c>
      <c r="H1256" s="44">
        <v>1330</v>
      </c>
    </row>
    <row r="1257" spans="1:8" x14ac:dyDescent="0.3">
      <c r="A1257" s="42" t="s">
        <v>1328</v>
      </c>
      <c r="B1257" s="3" t="s">
        <v>1329</v>
      </c>
      <c r="C1257" s="4">
        <f t="shared" ca="1" si="49"/>
        <v>45696</v>
      </c>
      <c r="D1257" s="4">
        <f ca="1">TODAY()-314</f>
        <v>45723</v>
      </c>
      <c r="E1257" s="3" t="s">
        <v>1029</v>
      </c>
      <c r="F1257" s="43" t="b">
        <v>1</v>
      </c>
      <c r="G1257" s="43" t="b">
        <v>1</v>
      </c>
      <c r="H1257" s="44">
        <v>1940</v>
      </c>
    </row>
    <row r="1258" spans="1:8" x14ac:dyDescent="0.3">
      <c r="A1258" s="42" t="s">
        <v>1776</v>
      </c>
      <c r="B1258" s="3" t="s">
        <v>1777</v>
      </c>
      <c r="C1258" s="4">
        <f t="shared" ca="1" si="49"/>
        <v>45696</v>
      </c>
      <c r="D1258" s="4">
        <f ca="1">TODAY()-330</f>
        <v>45707</v>
      </c>
      <c r="E1258" s="3" t="s">
        <v>1029</v>
      </c>
      <c r="F1258" s="43" t="b">
        <v>1</v>
      </c>
      <c r="G1258" s="43" t="b">
        <v>1</v>
      </c>
      <c r="H1258" s="44">
        <v>1890</v>
      </c>
    </row>
    <row r="1259" spans="1:8" x14ac:dyDescent="0.3">
      <c r="A1259" s="42" t="s">
        <v>1632</v>
      </c>
      <c r="B1259" s="3" t="s">
        <v>1633</v>
      </c>
      <c r="C1259" s="4">
        <f t="shared" ca="1" si="49"/>
        <v>45696</v>
      </c>
      <c r="D1259" s="4">
        <f ca="1">TODAY()-316</f>
        <v>45721</v>
      </c>
      <c r="E1259" s="3" t="s">
        <v>1029</v>
      </c>
      <c r="F1259" s="43" t="b">
        <v>1</v>
      </c>
      <c r="G1259" s="43" t="b">
        <v>1</v>
      </c>
      <c r="H1259" s="44">
        <v>1220</v>
      </c>
    </row>
    <row r="1260" spans="1:8" x14ac:dyDescent="0.3">
      <c r="A1260" s="42" t="s">
        <v>1729</v>
      </c>
      <c r="B1260" s="3" t="s">
        <v>1730</v>
      </c>
      <c r="C1260" s="4">
        <f t="shared" ca="1" si="49"/>
        <v>45696</v>
      </c>
      <c r="D1260" s="4">
        <f ca="1">TODAY()-314</f>
        <v>45723</v>
      </c>
      <c r="E1260" s="3" t="s">
        <v>1029</v>
      </c>
      <c r="F1260" s="43" t="b">
        <v>1</v>
      </c>
      <c r="G1260" s="43" t="b">
        <v>1</v>
      </c>
      <c r="H1260" s="44">
        <v>950</v>
      </c>
    </row>
    <row r="1261" spans="1:8" x14ac:dyDescent="0.3">
      <c r="A1261" s="42" t="s">
        <v>1937</v>
      </c>
      <c r="B1261" s="3" t="s">
        <v>1938</v>
      </c>
      <c r="C1261" s="4">
        <f t="shared" ca="1" si="49"/>
        <v>45696</v>
      </c>
      <c r="D1261" s="42"/>
      <c r="E1261" s="3" t="s">
        <v>1108</v>
      </c>
      <c r="F1261" s="43" t="b">
        <v>0</v>
      </c>
      <c r="G1261" s="43" t="b">
        <v>0</v>
      </c>
      <c r="H1261" s="44">
        <v>2500</v>
      </c>
    </row>
    <row r="1262" spans="1:8" x14ac:dyDescent="0.3">
      <c r="A1262" s="42" t="s">
        <v>1235</v>
      </c>
      <c r="B1262" s="3" t="s">
        <v>1939</v>
      </c>
      <c r="C1262" s="4">
        <f t="shared" ca="1" si="49"/>
        <v>45696</v>
      </c>
      <c r="D1262" s="4">
        <f ca="1">TODAY()-321</f>
        <v>45716</v>
      </c>
      <c r="E1262" s="3" t="s">
        <v>1029</v>
      </c>
      <c r="F1262" s="43" t="b">
        <v>1</v>
      </c>
      <c r="G1262" s="43" t="b">
        <v>1</v>
      </c>
      <c r="H1262" s="44">
        <v>2200</v>
      </c>
    </row>
    <row r="1263" spans="1:8" x14ac:dyDescent="0.3">
      <c r="A1263" s="42" t="s">
        <v>1190</v>
      </c>
      <c r="B1263" s="3" t="s">
        <v>1191</v>
      </c>
      <c r="C1263" s="4">
        <f t="shared" ca="1" si="49"/>
        <v>45696</v>
      </c>
      <c r="D1263" s="42"/>
      <c r="E1263" s="3" t="s">
        <v>1103</v>
      </c>
      <c r="F1263" s="43" t="b">
        <v>0</v>
      </c>
      <c r="G1263" s="43" t="b">
        <v>0</v>
      </c>
      <c r="H1263" s="44">
        <v>200</v>
      </c>
    </row>
    <row r="1264" spans="1:8" x14ac:dyDescent="0.3">
      <c r="A1264" s="42" t="s">
        <v>1699</v>
      </c>
      <c r="B1264" s="3" t="s">
        <v>1700</v>
      </c>
      <c r="C1264" s="4">
        <f t="shared" ca="1" si="49"/>
        <v>45696</v>
      </c>
      <c r="D1264" s="4">
        <f ca="1">TODAY()-314</f>
        <v>45723</v>
      </c>
      <c r="E1264" s="3" t="s">
        <v>1029</v>
      </c>
      <c r="F1264" s="43" t="b">
        <v>1</v>
      </c>
      <c r="G1264" s="43" t="b">
        <v>1</v>
      </c>
      <c r="H1264" s="44">
        <v>1430</v>
      </c>
    </row>
    <row r="1265" spans="1:8" x14ac:dyDescent="0.3">
      <c r="A1265" s="42" t="s">
        <v>1276</v>
      </c>
      <c r="B1265" s="3" t="s">
        <v>1611</v>
      </c>
      <c r="C1265" s="4">
        <f t="shared" ca="1" si="49"/>
        <v>45696</v>
      </c>
      <c r="D1265" s="4">
        <f ca="1">TODAY()-321</f>
        <v>45716</v>
      </c>
      <c r="E1265" s="3" t="s">
        <v>1029</v>
      </c>
      <c r="F1265" s="43" t="b">
        <v>1</v>
      </c>
      <c r="G1265" s="43" t="b">
        <v>1</v>
      </c>
      <c r="H1265" s="44">
        <v>820</v>
      </c>
    </row>
    <row r="1266" spans="1:8" x14ac:dyDescent="0.3">
      <c r="A1266" s="42" t="s">
        <v>1272</v>
      </c>
      <c r="B1266" s="3" t="s">
        <v>1114</v>
      </c>
      <c r="C1266" s="4">
        <f t="shared" ca="1" si="49"/>
        <v>45696</v>
      </c>
      <c r="D1266" s="4">
        <f ca="1">TODAY()-318</f>
        <v>45719</v>
      </c>
      <c r="E1266" s="3" t="s">
        <v>1029</v>
      </c>
      <c r="F1266" s="43" t="b">
        <v>1</v>
      </c>
      <c r="G1266" s="43" t="b">
        <v>1</v>
      </c>
      <c r="H1266" s="44">
        <v>910</v>
      </c>
    </row>
    <row r="1267" spans="1:8" x14ac:dyDescent="0.3">
      <c r="A1267" s="42" t="s">
        <v>1462</v>
      </c>
      <c r="B1267" s="3" t="s">
        <v>1251</v>
      </c>
      <c r="C1267" s="4">
        <f t="shared" ca="1" si="49"/>
        <v>45696</v>
      </c>
      <c r="D1267" s="42"/>
      <c r="E1267" s="3" t="s">
        <v>1108</v>
      </c>
      <c r="F1267" s="43" t="b">
        <v>0</v>
      </c>
      <c r="G1267" s="43" t="b">
        <v>0</v>
      </c>
      <c r="H1267" s="44">
        <v>1800</v>
      </c>
    </row>
    <row r="1268" spans="1:8" x14ac:dyDescent="0.3">
      <c r="A1268" s="42" t="s">
        <v>1040</v>
      </c>
      <c r="B1268" s="3" t="s">
        <v>1041</v>
      </c>
      <c r="C1268" s="4">
        <f t="shared" ca="1" si="49"/>
        <v>45696</v>
      </c>
      <c r="D1268" s="4">
        <f ca="1">TODAY()-316</f>
        <v>45721</v>
      </c>
      <c r="E1268" s="3" t="s">
        <v>1029</v>
      </c>
      <c r="F1268" s="43" t="b">
        <v>1</v>
      </c>
      <c r="G1268" s="43" t="b">
        <v>1</v>
      </c>
      <c r="H1268" s="44">
        <v>1280</v>
      </c>
    </row>
    <row r="1269" spans="1:8" x14ac:dyDescent="0.3">
      <c r="A1269" s="42" t="s">
        <v>1872</v>
      </c>
      <c r="B1269" s="3" t="s">
        <v>1873</v>
      </c>
      <c r="C1269" s="4">
        <f t="shared" ca="1" si="49"/>
        <v>45696</v>
      </c>
      <c r="D1269" s="4">
        <f ca="1">TODAY()-322</f>
        <v>45715</v>
      </c>
      <c r="E1269" s="3" t="s">
        <v>1029</v>
      </c>
      <c r="F1269" s="43" t="b">
        <v>1</v>
      </c>
      <c r="G1269" s="43" t="b">
        <v>1</v>
      </c>
      <c r="H1269" s="44">
        <v>2070</v>
      </c>
    </row>
    <row r="1270" spans="1:8" x14ac:dyDescent="0.3">
      <c r="A1270" s="42" t="s">
        <v>1113</v>
      </c>
      <c r="B1270" s="3" t="s">
        <v>1114</v>
      </c>
      <c r="C1270" s="4">
        <f t="shared" ca="1" si="49"/>
        <v>45696</v>
      </c>
      <c r="D1270" s="4">
        <f ca="1">TODAY()-328</f>
        <v>45709</v>
      </c>
      <c r="E1270" s="3" t="s">
        <v>1029</v>
      </c>
      <c r="F1270" s="43" t="b">
        <v>1</v>
      </c>
      <c r="G1270" s="43" t="b">
        <v>1</v>
      </c>
      <c r="H1270" s="44">
        <v>390</v>
      </c>
    </row>
    <row r="1271" spans="1:8" x14ac:dyDescent="0.3">
      <c r="A1271" s="42" t="s">
        <v>1852</v>
      </c>
      <c r="B1271" s="3" t="s">
        <v>1940</v>
      </c>
      <c r="C1271" s="4">
        <f t="shared" ca="1" si="49"/>
        <v>45696</v>
      </c>
      <c r="D1271" s="4">
        <f ca="1">TODAY()-330</f>
        <v>45707</v>
      </c>
      <c r="E1271" s="3" t="s">
        <v>1029</v>
      </c>
      <c r="F1271" s="43" t="b">
        <v>1</v>
      </c>
      <c r="G1271" s="43" t="b">
        <v>1</v>
      </c>
      <c r="H1271" s="44">
        <v>830</v>
      </c>
    </row>
    <row r="1272" spans="1:8" x14ac:dyDescent="0.3">
      <c r="A1272" s="42" t="s">
        <v>1405</v>
      </c>
      <c r="B1272" s="3" t="s">
        <v>1707</v>
      </c>
      <c r="C1272" s="4">
        <f t="shared" ca="1" si="49"/>
        <v>45696</v>
      </c>
      <c r="D1272" s="4">
        <f ca="1">TODAY()-325</f>
        <v>45712</v>
      </c>
      <c r="E1272" s="3" t="s">
        <v>1032</v>
      </c>
      <c r="F1272" s="43" t="b">
        <v>1</v>
      </c>
      <c r="G1272" s="43" t="b">
        <v>0</v>
      </c>
      <c r="H1272" s="44">
        <v>2260</v>
      </c>
    </row>
    <row r="1273" spans="1:8" x14ac:dyDescent="0.3">
      <c r="A1273" s="42" t="s">
        <v>1157</v>
      </c>
      <c r="B1273" s="3" t="s">
        <v>1651</v>
      </c>
      <c r="C1273" s="4">
        <f t="shared" ca="1" si="49"/>
        <v>45696</v>
      </c>
      <c r="D1273" s="4">
        <f ca="1">TODAY()-319</f>
        <v>45718</v>
      </c>
      <c r="E1273" s="3" t="s">
        <v>1032</v>
      </c>
      <c r="F1273" s="43" t="b">
        <v>1</v>
      </c>
      <c r="G1273" s="43" t="b">
        <v>0</v>
      </c>
      <c r="H1273" s="44">
        <v>630</v>
      </c>
    </row>
    <row r="1274" spans="1:8" x14ac:dyDescent="0.3">
      <c r="A1274" s="42" t="s">
        <v>1181</v>
      </c>
      <c r="B1274" s="3" t="s">
        <v>1182</v>
      </c>
      <c r="C1274" s="4">
        <f t="shared" ca="1" si="49"/>
        <v>45696</v>
      </c>
      <c r="D1274" s="4">
        <f ca="1">TODAY()-312</f>
        <v>45725</v>
      </c>
      <c r="E1274" s="3" t="s">
        <v>1029</v>
      </c>
      <c r="F1274" s="43" t="b">
        <v>1</v>
      </c>
      <c r="G1274" s="43" t="b">
        <v>1</v>
      </c>
      <c r="H1274" s="44">
        <v>1840</v>
      </c>
    </row>
    <row r="1275" spans="1:8" x14ac:dyDescent="0.3">
      <c r="A1275" s="42" t="s">
        <v>1304</v>
      </c>
      <c r="B1275" s="3" t="s">
        <v>1222</v>
      </c>
      <c r="C1275" s="4">
        <f t="shared" ca="1" si="49"/>
        <v>45696</v>
      </c>
      <c r="D1275" s="4">
        <f ca="1">TODAY()-315</f>
        <v>45722</v>
      </c>
      <c r="E1275" s="3" t="s">
        <v>1029</v>
      </c>
      <c r="F1275" s="43" t="b">
        <v>1</v>
      </c>
      <c r="G1275" s="43" t="b">
        <v>1</v>
      </c>
      <c r="H1275" s="44">
        <v>3370</v>
      </c>
    </row>
    <row r="1276" spans="1:8" x14ac:dyDescent="0.3">
      <c r="A1276" s="42" t="s">
        <v>1759</v>
      </c>
      <c r="B1276" s="3" t="s">
        <v>1760</v>
      </c>
      <c r="C1276" s="4">
        <f t="shared" ca="1" si="49"/>
        <v>45696</v>
      </c>
      <c r="D1276" s="4">
        <f ca="1">TODAY()-324</f>
        <v>45713</v>
      </c>
      <c r="E1276" s="3" t="s">
        <v>1029</v>
      </c>
      <c r="F1276" s="43" t="b">
        <v>1</v>
      </c>
      <c r="G1276" s="43" t="b">
        <v>1</v>
      </c>
      <c r="H1276" s="44">
        <v>2410</v>
      </c>
    </row>
    <row r="1277" spans="1:8" x14ac:dyDescent="0.3">
      <c r="A1277" s="42" t="s">
        <v>1679</v>
      </c>
      <c r="B1277" s="3" t="s">
        <v>1587</v>
      </c>
      <c r="C1277" s="4">
        <f t="shared" ca="1" si="49"/>
        <v>45696</v>
      </c>
      <c r="D1277" s="4">
        <f ca="1">TODAY()-320</f>
        <v>45717</v>
      </c>
      <c r="E1277" s="3" t="s">
        <v>1029</v>
      </c>
      <c r="F1277" s="43" t="b">
        <v>1</v>
      </c>
      <c r="G1277" s="43" t="b">
        <v>1</v>
      </c>
      <c r="H1277" s="44">
        <v>790</v>
      </c>
    </row>
    <row r="1278" spans="1:8" x14ac:dyDescent="0.3">
      <c r="A1278" s="42" t="s">
        <v>1812</v>
      </c>
      <c r="B1278" s="3" t="s">
        <v>1813</v>
      </c>
      <c r="C1278" s="4">
        <f t="shared" ca="1" si="49"/>
        <v>45696</v>
      </c>
      <c r="D1278" s="4">
        <f ca="1">TODAY()-331</f>
        <v>45706</v>
      </c>
      <c r="E1278" s="3" t="s">
        <v>1029</v>
      </c>
      <c r="F1278" s="43" t="b">
        <v>1</v>
      </c>
      <c r="G1278" s="43" t="b">
        <v>1</v>
      </c>
      <c r="H1278" s="44">
        <v>910</v>
      </c>
    </row>
    <row r="1279" spans="1:8" x14ac:dyDescent="0.3">
      <c r="A1279" s="42" t="s">
        <v>1581</v>
      </c>
      <c r="B1279" s="3" t="s">
        <v>1888</v>
      </c>
      <c r="C1279" s="4">
        <f t="shared" ca="1" si="49"/>
        <v>45696</v>
      </c>
      <c r="D1279" s="4">
        <f ca="1">TODAY()-329</f>
        <v>45708</v>
      </c>
      <c r="E1279" s="3" t="s">
        <v>1029</v>
      </c>
      <c r="F1279" s="43" t="b">
        <v>1</v>
      </c>
      <c r="G1279" s="43" t="b">
        <v>1</v>
      </c>
      <c r="H1279" s="44">
        <v>1880</v>
      </c>
    </row>
    <row r="1280" spans="1:8" x14ac:dyDescent="0.3">
      <c r="A1280" s="42" t="s">
        <v>1558</v>
      </c>
      <c r="B1280" s="3" t="s">
        <v>1559</v>
      </c>
      <c r="C1280" s="4">
        <f t="shared" ca="1" si="49"/>
        <v>45696</v>
      </c>
      <c r="D1280" s="4">
        <f ca="1">TODAY()-331</f>
        <v>45706</v>
      </c>
      <c r="E1280" s="3" t="s">
        <v>1029</v>
      </c>
      <c r="F1280" s="43" t="b">
        <v>1</v>
      </c>
      <c r="G1280" s="43" t="b">
        <v>1</v>
      </c>
      <c r="H1280" s="44">
        <v>1670</v>
      </c>
    </row>
    <row r="1281" spans="1:8" x14ac:dyDescent="0.3">
      <c r="A1281" s="42" t="s">
        <v>1564</v>
      </c>
      <c r="B1281" s="3" t="s">
        <v>1565</v>
      </c>
      <c r="C1281" s="4">
        <f t="shared" ca="1" si="49"/>
        <v>45696</v>
      </c>
      <c r="D1281" s="42"/>
      <c r="E1281" s="3" t="s">
        <v>1101</v>
      </c>
      <c r="F1281" s="43" t="b">
        <v>0</v>
      </c>
      <c r="G1281" s="43" t="b">
        <v>0</v>
      </c>
      <c r="H1281" s="44">
        <v>1120</v>
      </c>
    </row>
    <row r="1282" spans="1:8" x14ac:dyDescent="0.3">
      <c r="A1282" s="42" t="s">
        <v>1758</v>
      </c>
      <c r="B1282" s="3" t="s">
        <v>1275</v>
      </c>
      <c r="C1282" s="4">
        <f t="shared" ca="1" si="49"/>
        <v>45696</v>
      </c>
      <c r="D1282" s="42"/>
      <c r="E1282" s="3" t="s">
        <v>1103</v>
      </c>
      <c r="F1282" s="43" t="b">
        <v>0</v>
      </c>
      <c r="G1282" s="43" t="b">
        <v>0</v>
      </c>
      <c r="H1282" s="44">
        <v>370</v>
      </c>
    </row>
    <row r="1283" spans="1:8" x14ac:dyDescent="0.3">
      <c r="A1283" s="42" t="s">
        <v>1941</v>
      </c>
      <c r="B1283" s="3" t="s">
        <v>1114</v>
      </c>
      <c r="C1283" s="4">
        <f t="shared" ca="1" si="49"/>
        <v>45696</v>
      </c>
      <c r="D1283" s="4">
        <f ca="1">TODAY()-312</f>
        <v>45725</v>
      </c>
      <c r="E1283" s="3" t="s">
        <v>1029</v>
      </c>
      <c r="F1283" s="43" t="b">
        <v>1</v>
      </c>
      <c r="G1283" s="43" t="b">
        <v>1</v>
      </c>
      <c r="H1283" s="44">
        <v>4410</v>
      </c>
    </row>
    <row r="1284" spans="1:8" x14ac:dyDescent="0.3">
      <c r="A1284" s="42" t="s">
        <v>1419</v>
      </c>
      <c r="B1284" s="3" t="s">
        <v>1420</v>
      </c>
      <c r="C1284" s="4">
        <f t="shared" ca="1" si="49"/>
        <v>45696</v>
      </c>
      <c r="D1284" s="42"/>
      <c r="E1284" s="3" t="s">
        <v>1037</v>
      </c>
      <c r="F1284" s="43" t="b">
        <v>0</v>
      </c>
      <c r="G1284" s="43" t="b">
        <v>0</v>
      </c>
      <c r="H1284" s="44">
        <v>1360</v>
      </c>
    </row>
    <row r="1285" spans="1:8" x14ac:dyDescent="0.3">
      <c r="A1285" s="42" t="s">
        <v>1583</v>
      </c>
      <c r="B1285" s="3" t="s">
        <v>1775</v>
      </c>
      <c r="C1285" s="4">
        <f t="shared" ca="1" si="49"/>
        <v>45696</v>
      </c>
      <c r="D1285" s="4">
        <f ca="1">TODAY()-330</f>
        <v>45707</v>
      </c>
      <c r="E1285" s="3" t="s">
        <v>1032</v>
      </c>
      <c r="F1285" s="43" t="b">
        <v>1</v>
      </c>
      <c r="G1285" s="43" t="b">
        <v>0</v>
      </c>
      <c r="H1285" s="44">
        <v>1020</v>
      </c>
    </row>
    <row r="1286" spans="1:8" x14ac:dyDescent="0.3">
      <c r="A1286" s="42" t="s">
        <v>1449</v>
      </c>
      <c r="B1286" s="3" t="s">
        <v>1450</v>
      </c>
      <c r="C1286" s="4">
        <f t="shared" ca="1" si="49"/>
        <v>45696</v>
      </c>
      <c r="D1286" s="42"/>
      <c r="E1286" s="3" t="s">
        <v>1037</v>
      </c>
      <c r="F1286" s="43" t="b">
        <v>0</v>
      </c>
      <c r="G1286" s="43" t="b">
        <v>0</v>
      </c>
      <c r="H1286" s="44">
        <v>1410</v>
      </c>
    </row>
    <row r="1287" spans="1:8" x14ac:dyDescent="0.3">
      <c r="A1287" s="42" t="s">
        <v>1334</v>
      </c>
      <c r="B1287" s="3" t="s">
        <v>1335</v>
      </c>
      <c r="C1287" s="4">
        <f t="shared" ca="1" si="49"/>
        <v>45696</v>
      </c>
      <c r="D1287" s="4">
        <f t="shared" ref="D1287:D1288" ca="1" si="50">TODAY()-328</f>
        <v>45709</v>
      </c>
      <c r="E1287" s="3" t="s">
        <v>1029</v>
      </c>
      <c r="F1287" s="43" t="b">
        <v>1</v>
      </c>
      <c r="G1287" s="43" t="b">
        <v>1</v>
      </c>
      <c r="H1287" s="44">
        <v>1430</v>
      </c>
    </row>
    <row r="1288" spans="1:8" x14ac:dyDescent="0.3">
      <c r="A1288" s="42" t="s">
        <v>1562</v>
      </c>
      <c r="B1288" s="3" t="s">
        <v>1609</v>
      </c>
      <c r="C1288" s="4">
        <f t="shared" ca="1" si="49"/>
        <v>45696</v>
      </c>
      <c r="D1288" s="4">
        <f t="shared" ca="1" si="50"/>
        <v>45709</v>
      </c>
      <c r="E1288" s="3" t="s">
        <v>1029</v>
      </c>
      <c r="F1288" s="43" t="b">
        <v>1</v>
      </c>
      <c r="G1288" s="43" t="b">
        <v>1</v>
      </c>
      <c r="H1288" s="44">
        <v>3890</v>
      </c>
    </row>
    <row r="1289" spans="1:8" x14ac:dyDescent="0.3">
      <c r="A1289" s="42" t="s">
        <v>1571</v>
      </c>
      <c r="B1289" s="3" t="s">
        <v>1432</v>
      </c>
      <c r="C1289" s="4">
        <f t="shared" ca="1" si="49"/>
        <v>45696</v>
      </c>
      <c r="D1289" s="4">
        <f ca="1">TODAY()-321</f>
        <v>45716</v>
      </c>
      <c r="E1289" s="3" t="s">
        <v>1029</v>
      </c>
      <c r="F1289" s="43" t="b">
        <v>1</v>
      </c>
      <c r="G1289" s="43" t="b">
        <v>1</v>
      </c>
      <c r="H1289" s="44">
        <v>1050</v>
      </c>
    </row>
    <row r="1290" spans="1:8" x14ac:dyDescent="0.3">
      <c r="A1290" s="42" t="s">
        <v>1598</v>
      </c>
      <c r="B1290" s="3" t="s">
        <v>1858</v>
      </c>
      <c r="C1290" s="4">
        <f t="shared" ca="1" si="49"/>
        <v>45696</v>
      </c>
      <c r="D1290" s="42"/>
      <c r="E1290" s="3" t="s">
        <v>1108</v>
      </c>
      <c r="F1290" s="43" t="b">
        <v>0</v>
      </c>
      <c r="G1290" s="43" t="b">
        <v>0</v>
      </c>
      <c r="H1290" s="44">
        <v>1270</v>
      </c>
    </row>
    <row r="1291" spans="1:8" x14ac:dyDescent="0.3">
      <c r="A1291" s="42" t="s">
        <v>1494</v>
      </c>
      <c r="B1291" s="3" t="s">
        <v>1495</v>
      </c>
      <c r="C1291" s="4">
        <f t="shared" ca="1" si="49"/>
        <v>45696</v>
      </c>
      <c r="D1291" s="4">
        <f ca="1">TODAY()-316</f>
        <v>45721</v>
      </c>
      <c r="E1291" s="3" t="s">
        <v>1032</v>
      </c>
      <c r="F1291" s="43" t="b">
        <v>1</v>
      </c>
      <c r="G1291" s="43" t="b">
        <v>0</v>
      </c>
      <c r="H1291" s="44">
        <v>790</v>
      </c>
    </row>
    <row r="1292" spans="1:8" x14ac:dyDescent="0.3">
      <c r="A1292" s="42" t="s">
        <v>1761</v>
      </c>
      <c r="B1292" s="3" t="s">
        <v>1762</v>
      </c>
      <c r="C1292" s="4">
        <f t="shared" ca="1" si="49"/>
        <v>45696</v>
      </c>
      <c r="D1292" s="42"/>
      <c r="E1292" s="3" t="s">
        <v>1070</v>
      </c>
      <c r="F1292" s="43" t="b">
        <v>0</v>
      </c>
      <c r="G1292" s="43" t="b">
        <v>0</v>
      </c>
      <c r="H1292" s="44">
        <v>840</v>
      </c>
    </row>
    <row r="1293" spans="1:8" x14ac:dyDescent="0.3">
      <c r="A1293" s="42" t="s">
        <v>1672</v>
      </c>
      <c r="B1293" s="3" t="s">
        <v>1673</v>
      </c>
      <c r="C1293" s="4">
        <f t="shared" ca="1" si="49"/>
        <v>45696</v>
      </c>
      <c r="D1293" s="4">
        <f ca="1">TODAY()-331</f>
        <v>45706</v>
      </c>
      <c r="E1293" s="3" t="s">
        <v>1032</v>
      </c>
      <c r="F1293" s="43" t="b">
        <v>1</v>
      </c>
      <c r="G1293" s="43" t="b">
        <v>0</v>
      </c>
      <c r="H1293" s="44">
        <v>1210</v>
      </c>
    </row>
    <row r="1294" spans="1:8" x14ac:dyDescent="0.3">
      <c r="A1294" s="42" t="s">
        <v>1283</v>
      </c>
      <c r="B1294" s="3" t="s">
        <v>1284</v>
      </c>
      <c r="C1294" s="4">
        <f t="shared" ca="1" si="49"/>
        <v>45696</v>
      </c>
      <c r="D1294" s="4">
        <f ca="1">TODAY()-312</f>
        <v>45725</v>
      </c>
      <c r="E1294" s="3" t="s">
        <v>1029</v>
      </c>
      <c r="F1294" s="43" t="b">
        <v>1</v>
      </c>
      <c r="G1294" s="43" t="b">
        <v>1</v>
      </c>
      <c r="H1294" s="44">
        <v>690</v>
      </c>
    </row>
    <row r="1295" spans="1:8" x14ac:dyDescent="0.3">
      <c r="A1295" s="42" t="s">
        <v>1835</v>
      </c>
      <c r="B1295" s="3" t="s">
        <v>1836</v>
      </c>
      <c r="C1295" s="4">
        <f t="shared" ca="1" si="49"/>
        <v>45696</v>
      </c>
      <c r="D1295" s="4">
        <f ca="1">TODAY()-321</f>
        <v>45716</v>
      </c>
      <c r="E1295" s="3" t="s">
        <v>1029</v>
      </c>
      <c r="F1295" s="43" t="b">
        <v>1</v>
      </c>
      <c r="G1295" s="43" t="b">
        <v>1</v>
      </c>
      <c r="H1295" s="44">
        <v>1450</v>
      </c>
    </row>
    <row r="1296" spans="1:8" x14ac:dyDescent="0.3">
      <c r="A1296" s="42" t="s">
        <v>1718</v>
      </c>
      <c r="B1296" s="3" t="s">
        <v>1719</v>
      </c>
      <c r="C1296" s="4">
        <f t="shared" ca="1" si="49"/>
        <v>45696</v>
      </c>
      <c r="D1296" s="42"/>
      <c r="E1296" s="3" t="s">
        <v>1101</v>
      </c>
      <c r="F1296" s="43" t="b">
        <v>0</v>
      </c>
      <c r="G1296" s="43" t="b">
        <v>0</v>
      </c>
      <c r="H1296" s="44">
        <v>550</v>
      </c>
    </row>
    <row r="1297" spans="1:8" x14ac:dyDescent="0.3">
      <c r="A1297" s="42" t="s">
        <v>1492</v>
      </c>
      <c r="B1297" s="3" t="s">
        <v>1441</v>
      </c>
      <c r="C1297" s="4">
        <f t="shared" ca="1" si="49"/>
        <v>45696</v>
      </c>
      <c r="D1297" s="4">
        <f ca="1">TODAY()-321</f>
        <v>45716</v>
      </c>
      <c r="E1297" s="3" t="s">
        <v>1029</v>
      </c>
      <c r="F1297" s="43" t="b">
        <v>1</v>
      </c>
      <c r="G1297" s="43" t="b">
        <v>1</v>
      </c>
      <c r="H1297" s="44">
        <v>1970</v>
      </c>
    </row>
    <row r="1298" spans="1:8" x14ac:dyDescent="0.3">
      <c r="A1298" s="42" t="s">
        <v>1753</v>
      </c>
      <c r="B1298" s="3" t="s">
        <v>1754</v>
      </c>
      <c r="C1298" s="4">
        <f t="shared" ca="1" si="49"/>
        <v>45696</v>
      </c>
      <c r="D1298" s="4">
        <f ca="1">TODAY()-323</f>
        <v>45714</v>
      </c>
      <c r="E1298" s="3" t="s">
        <v>1029</v>
      </c>
      <c r="F1298" s="43" t="b">
        <v>1</v>
      </c>
      <c r="G1298" s="43" t="b">
        <v>1</v>
      </c>
      <c r="H1298" s="44">
        <v>880</v>
      </c>
    </row>
    <row r="1299" spans="1:8" x14ac:dyDescent="0.3">
      <c r="A1299" s="42" t="s">
        <v>1322</v>
      </c>
      <c r="B1299" s="3" t="s">
        <v>1323</v>
      </c>
      <c r="C1299" s="4">
        <f t="shared" ca="1" si="49"/>
        <v>45696</v>
      </c>
      <c r="D1299" s="4">
        <f ca="1">TODAY()-331</f>
        <v>45706</v>
      </c>
      <c r="E1299" s="3" t="s">
        <v>1029</v>
      </c>
      <c r="F1299" s="43" t="b">
        <v>1</v>
      </c>
      <c r="G1299" s="43" t="b">
        <v>1</v>
      </c>
      <c r="H1299" s="44">
        <v>4500</v>
      </c>
    </row>
    <row r="1300" spans="1:8" x14ac:dyDescent="0.3">
      <c r="A1300" s="42" t="s">
        <v>1278</v>
      </c>
      <c r="B1300" s="3" t="s">
        <v>1279</v>
      </c>
      <c r="C1300" s="4">
        <f t="shared" ca="1" si="49"/>
        <v>45696</v>
      </c>
      <c r="D1300" s="42"/>
      <c r="E1300" s="3" t="s">
        <v>1103</v>
      </c>
      <c r="F1300" s="43" t="b">
        <v>0</v>
      </c>
      <c r="G1300" s="43" t="b">
        <v>0</v>
      </c>
      <c r="H1300" s="44">
        <v>2070</v>
      </c>
    </row>
    <row r="1301" spans="1:8" x14ac:dyDescent="0.3">
      <c r="A1301" s="42" t="s">
        <v>1659</v>
      </c>
      <c r="B1301" s="3" t="s">
        <v>1660</v>
      </c>
      <c r="C1301" s="4">
        <f t="shared" ca="1" si="49"/>
        <v>45696</v>
      </c>
      <c r="D1301" s="4">
        <f ca="1">TODAY()-315</f>
        <v>45722</v>
      </c>
      <c r="E1301" s="3" t="s">
        <v>1029</v>
      </c>
      <c r="F1301" s="43" t="b">
        <v>1</v>
      </c>
      <c r="G1301" s="43" t="b">
        <v>1</v>
      </c>
      <c r="H1301" s="44">
        <v>820</v>
      </c>
    </row>
    <row r="1302" spans="1:8" x14ac:dyDescent="0.3">
      <c r="A1302" s="42" t="s">
        <v>1238</v>
      </c>
      <c r="B1302" s="3" t="s">
        <v>1239</v>
      </c>
      <c r="C1302" s="4">
        <f t="shared" ca="1" si="49"/>
        <v>45696</v>
      </c>
      <c r="D1302" s="4">
        <f ca="1">TODAY()-313</f>
        <v>45724</v>
      </c>
      <c r="E1302" s="3" t="s">
        <v>1032</v>
      </c>
      <c r="F1302" s="43" t="b">
        <v>1</v>
      </c>
      <c r="G1302" s="43" t="b">
        <v>0</v>
      </c>
      <c r="H1302" s="44">
        <v>560</v>
      </c>
    </row>
    <row r="1303" spans="1:8" x14ac:dyDescent="0.3">
      <c r="A1303" s="42" t="s">
        <v>1449</v>
      </c>
      <c r="B1303" s="3" t="s">
        <v>1726</v>
      </c>
      <c r="C1303" s="4">
        <f t="shared" ca="1" si="49"/>
        <v>45696</v>
      </c>
      <c r="D1303" s="4">
        <f ca="1">TODAY()-319</f>
        <v>45718</v>
      </c>
      <c r="E1303" s="3" t="s">
        <v>1029</v>
      </c>
      <c r="F1303" s="43" t="b">
        <v>1</v>
      </c>
      <c r="G1303" s="43" t="b">
        <v>1</v>
      </c>
      <c r="H1303" s="44">
        <v>2430</v>
      </c>
    </row>
    <row r="1304" spans="1:8" x14ac:dyDescent="0.3">
      <c r="A1304" s="42" t="s">
        <v>1759</v>
      </c>
      <c r="B1304" s="3" t="s">
        <v>1760</v>
      </c>
      <c r="C1304" s="4">
        <f t="shared" ca="1" si="49"/>
        <v>45696</v>
      </c>
      <c r="D1304" s="4">
        <f ca="1">TODAY()-314</f>
        <v>45723</v>
      </c>
      <c r="E1304" s="3" t="s">
        <v>1029</v>
      </c>
      <c r="F1304" s="43" t="b">
        <v>1</v>
      </c>
      <c r="G1304" s="43" t="b">
        <v>1</v>
      </c>
      <c r="H1304" s="44">
        <v>2410</v>
      </c>
    </row>
    <row r="1305" spans="1:8" x14ac:dyDescent="0.3">
      <c r="A1305" s="42" t="s">
        <v>1382</v>
      </c>
      <c r="B1305" s="3" t="s">
        <v>1383</v>
      </c>
      <c r="C1305" s="4">
        <f t="shared" ca="1" si="49"/>
        <v>45696</v>
      </c>
      <c r="D1305" s="4">
        <f ca="1">TODAY()-322</f>
        <v>45715</v>
      </c>
      <c r="E1305" s="3" t="s">
        <v>1032</v>
      </c>
      <c r="F1305" s="43" t="b">
        <v>1</v>
      </c>
      <c r="G1305" s="43" t="b">
        <v>0</v>
      </c>
      <c r="H1305" s="44">
        <v>2350</v>
      </c>
    </row>
    <row r="1306" spans="1:8" x14ac:dyDescent="0.3">
      <c r="A1306" s="42" t="s">
        <v>1842</v>
      </c>
      <c r="B1306" s="3" t="s">
        <v>1843</v>
      </c>
      <c r="C1306" s="4">
        <f t="shared" ca="1" si="49"/>
        <v>45696</v>
      </c>
      <c r="D1306" s="4">
        <f ca="1">TODAY()-320</f>
        <v>45717</v>
      </c>
      <c r="E1306" s="3" t="s">
        <v>1029</v>
      </c>
      <c r="F1306" s="43" t="b">
        <v>1</v>
      </c>
      <c r="G1306" s="43" t="b">
        <v>1</v>
      </c>
      <c r="H1306" s="44">
        <v>370</v>
      </c>
    </row>
    <row r="1307" spans="1:8" x14ac:dyDescent="0.3">
      <c r="A1307" s="42" t="s">
        <v>1336</v>
      </c>
      <c r="B1307" s="3" t="s">
        <v>1337</v>
      </c>
      <c r="C1307" s="4">
        <f t="shared" ca="1" si="49"/>
        <v>45696</v>
      </c>
      <c r="D1307" s="42"/>
      <c r="E1307" s="3" t="s">
        <v>1077</v>
      </c>
      <c r="F1307" s="43" t="b">
        <v>0</v>
      </c>
      <c r="G1307" s="43" t="b">
        <v>0</v>
      </c>
      <c r="H1307" s="44">
        <v>1300</v>
      </c>
    </row>
    <row r="1308" spans="1:8" x14ac:dyDescent="0.3">
      <c r="A1308" s="42" t="s">
        <v>1099</v>
      </c>
      <c r="B1308" s="3" t="s">
        <v>1100</v>
      </c>
      <c r="C1308" s="4">
        <f t="shared" ca="1" si="49"/>
        <v>45696</v>
      </c>
      <c r="D1308" s="42"/>
      <c r="E1308" s="3" t="s">
        <v>1101</v>
      </c>
      <c r="F1308" s="43" t="b">
        <v>0</v>
      </c>
      <c r="G1308" s="43" t="b">
        <v>0</v>
      </c>
      <c r="H1308" s="44">
        <v>1040</v>
      </c>
    </row>
    <row r="1309" spans="1:8" x14ac:dyDescent="0.3">
      <c r="A1309" s="42" t="s">
        <v>1916</v>
      </c>
      <c r="B1309" s="3" t="s">
        <v>1917</v>
      </c>
      <c r="C1309" s="4">
        <f t="shared" ca="1" si="49"/>
        <v>45696</v>
      </c>
      <c r="D1309" s="42"/>
      <c r="E1309" s="3" t="s">
        <v>1103</v>
      </c>
      <c r="F1309" s="43" t="b">
        <v>0</v>
      </c>
      <c r="G1309" s="43" t="b">
        <v>0</v>
      </c>
      <c r="H1309" s="44">
        <v>1760</v>
      </c>
    </row>
    <row r="1310" spans="1:8" x14ac:dyDescent="0.3">
      <c r="A1310" s="42" t="s">
        <v>1758</v>
      </c>
      <c r="B1310" s="3" t="s">
        <v>1275</v>
      </c>
      <c r="C1310" s="4">
        <f t="shared" ca="1" si="49"/>
        <v>45696</v>
      </c>
      <c r="D1310" s="42"/>
      <c r="E1310" s="3" t="s">
        <v>1103</v>
      </c>
      <c r="F1310" s="43" t="b">
        <v>0</v>
      </c>
      <c r="G1310" s="43" t="b">
        <v>0</v>
      </c>
      <c r="H1310" s="44">
        <v>370</v>
      </c>
    </row>
    <row r="1311" spans="1:8" x14ac:dyDescent="0.3">
      <c r="A1311" s="42" t="s">
        <v>1779</v>
      </c>
      <c r="B1311" s="3" t="s">
        <v>1607</v>
      </c>
      <c r="C1311" s="4">
        <f t="shared" ca="1" si="49"/>
        <v>45696</v>
      </c>
      <c r="D1311" s="4">
        <f ca="1">TODAY()-318</f>
        <v>45719</v>
      </c>
      <c r="E1311" s="3" t="s">
        <v>1032</v>
      </c>
      <c r="F1311" s="43" t="b">
        <v>1</v>
      </c>
      <c r="G1311" s="43" t="b">
        <v>0</v>
      </c>
      <c r="H1311" s="44">
        <v>1030</v>
      </c>
    </row>
    <row r="1312" spans="1:8" x14ac:dyDescent="0.3">
      <c r="A1312" s="42" t="s">
        <v>1270</v>
      </c>
      <c r="B1312" s="3" t="s">
        <v>1942</v>
      </c>
      <c r="C1312" s="4">
        <f t="shared" ca="1" si="49"/>
        <v>45696</v>
      </c>
      <c r="D1312" s="4">
        <f ca="1">TODAY()-321</f>
        <v>45716</v>
      </c>
      <c r="E1312" s="3" t="s">
        <v>1032</v>
      </c>
      <c r="F1312" s="43" t="b">
        <v>1</v>
      </c>
      <c r="G1312" s="43" t="b">
        <v>0</v>
      </c>
      <c r="H1312" s="44">
        <v>1120</v>
      </c>
    </row>
    <row r="1313" spans="1:8" x14ac:dyDescent="0.3">
      <c r="A1313" s="42" t="s">
        <v>1249</v>
      </c>
      <c r="B1313" s="3" t="s">
        <v>1250</v>
      </c>
      <c r="C1313" s="4">
        <f t="shared" ca="1" si="49"/>
        <v>45696</v>
      </c>
      <c r="D1313" s="4">
        <f ca="1">TODAY()-326</f>
        <v>45711</v>
      </c>
      <c r="E1313" s="3" t="s">
        <v>1029</v>
      </c>
      <c r="F1313" s="43" t="b">
        <v>1</v>
      </c>
      <c r="G1313" s="43" t="b">
        <v>1</v>
      </c>
      <c r="H1313" s="44">
        <v>630</v>
      </c>
    </row>
    <row r="1314" spans="1:8" x14ac:dyDescent="0.3">
      <c r="A1314" s="42" t="s">
        <v>1918</v>
      </c>
      <c r="B1314" s="3" t="s">
        <v>1919</v>
      </c>
      <c r="C1314" s="4">
        <f t="shared" ca="1" si="49"/>
        <v>45696</v>
      </c>
      <c r="D1314" s="4">
        <f ca="1">TODAY()-315</f>
        <v>45722</v>
      </c>
      <c r="E1314" s="3" t="s">
        <v>1032</v>
      </c>
      <c r="F1314" s="43" t="b">
        <v>1</v>
      </c>
      <c r="G1314" s="43" t="b">
        <v>0</v>
      </c>
      <c r="H1314" s="44">
        <v>1820</v>
      </c>
    </row>
    <row r="1315" spans="1:8" x14ac:dyDescent="0.3">
      <c r="A1315" s="42" t="s">
        <v>1741</v>
      </c>
      <c r="B1315" s="3" t="s">
        <v>1742</v>
      </c>
      <c r="C1315" s="4">
        <f t="shared" ca="1" si="49"/>
        <v>45696</v>
      </c>
      <c r="D1315" s="4">
        <f ca="1">TODAY()-321</f>
        <v>45716</v>
      </c>
      <c r="E1315" s="3" t="s">
        <v>1032</v>
      </c>
      <c r="F1315" s="43" t="b">
        <v>1</v>
      </c>
      <c r="G1315" s="43" t="b">
        <v>0</v>
      </c>
      <c r="H1315" s="44">
        <v>690</v>
      </c>
    </row>
    <row r="1316" spans="1:8" x14ac:dyDescent="0.3">
      <c r="A1316" s="42" t="s">
        <v>1674</v>
      </c>
      <c r="B1316" s="3" t="s">
        <v>1114</v>
      </c>
      <c r="C1316" s="4">
        <f t="shared" ca="1" si="49"/>
        <v>45696</v>
      </c>
      <c r="D1316" s="4">
        <f ca="1">TODAY()-327</f>
        <v>45710</v>
      </c>
      <c r="E1316" s="3" t="s">
        <v>1029</v>
      </c>
      <c r="F1316" s="43" t="b">
        <v>1</v>
      </c>
      <c r="G1316" s="43" t="b">
        <v>1</v>
      </c>
      <c r="H1316" s="44">
        <v>6390</v>
      </c>
    </row>
    <row r="1317" spans="1:8" x14ac:dyDescent="0.3">
      <c r="A1317" s="42" t="s">
        <v>1699</v>
      </c>
      <c r="B1317" s="3" t="s">
        <v>1700</v>
      </c>
      <c r="C1317" s="4">
        <f t="shared" ca="1" si="49"/>
        <v>45696</v>
      </c>
      <c r="D1317" s="4">
        <f ca="1">TODAY()-318</f>
        <v>45719</v>
      </c>
      <c r="E1317" s="3" t="s">
        <v>1029</v>
      </c>
      <c r="F1317" s="43" t="b">
        <v>1</v>
      </c>
      <c r="G1317" s="43" t="b">
        <v>1</v>
      </c>
      <c r="H1317" s="44">
        <v>1430</v>
      </c>
    </row>
    <row r="1318" spans="1:8" x14ac:dyDescent="0.3">
      <c r="A1318" s="42" t="s">
        <v>1173</v>
      </c>
      <c r="B1318" s="3" t="s">
        <v>1174</v>
      </c>
      <c r="C1318" s="4">
        <f t="shared" ca="1" si="49"/>
        <v>45696</v>
      </c>
      <c r="D1318" s="4">
        <f ca="1">TODAY()-314</f>
        <v>45723</v>
      </c>
      <c r="E1318" s="3" t="s">
        <v>1032</v>
      </c>
      <c r="F1318" s="43" t="b">
        <v>1</v>
      </c>
      <c r="G1318" s="43" t="b">
        <v>0</v>
      </c>
      <c r="H1318" s="44">
        <v>640</v>
      </c>
    </row>
    <row r="1319" spans="1:8" x14ac:dyDescent="0.3">
      <c r="A1319" s="42" t="s">
        <v>1852</v>
      </c>
      <c r="B1319" s="3" t="s">
        <v>1940</v>
      </c>
      <c r="C1319" s="4">
        <f t="shared" ca="1" si="49"/>
        <v>45696</v>
      </c>
      <c r="D1319" s="4">
        <f ca="1">TODAY()-316</f>
        <v>45721</v>
      </c>
      <c r="E1319" s="3" t="s">
        <v>1029</v>
      </c>
      <c r="F1319" s="43" t="b">
        <v>1</v>
      </c>
      <c r="G1319" s="43" t="b">
        <v>1</v>
      </c>
      <c r="H1319" s="44">
        <v>830</v>
      </c>
    </row>
    <row r="1320" spans="1:8" x14ac:dyDescent="0.3">
      <c r="A1320" s="42" t="s">
        <v>1894</v>
      </c>
      <c r="B1320" s="3" t="s">
        <v>1247</v>
      </c>
      <c r="C1320" s="4">
        <f t="shared" ca="1" si="49"/>
        <v>45696</v>
      </c>
      <c r="D1320" s="4">
        <f ca="1">TODAY()-324</f>
        <v>45713</v>
      </c>
      <c r="E1320" s="3" t="s">
        <v>1032</v>
      </c>
      <c r="F1320" s="43" t="b">
        <v>1</v>
      </c>
      <c r="G1320" s="43" t="b">
        <v>0</v>
      </c>
      <c r="H1320" s="44">
        <v>810</v>
      </c>
    </row>
    <row r="1321" spans="1:8" x14ac:dyDescent="0.3">
      <c r="A1321" s="42" t="s">
        <v>1205</v>
      </c>
      <c r="B1321" s="3" t="s">
        <v>1206</v>
      </c>
      <c r="C1321" s="4">
        <f t="shared" ca="1" si="49"/>
        <v>45696</v>
      </c>
      <c r="D1321" s="4">
        <f ca="1">TODAY()-316</f>
        <v>45721</v>
      </c>
      <c r="E1321" s="3" t="s">
        <v>1029</v>
      </c>
      <c r="F1321" s="43" t="b">
        <v>1</v>
      </c>
      <c r="G1321" s="43" t="b">
        <v>1</v>
      </c>
      <c r="H1321" s="44">
        <v>200</v>
      </c>
    </row>
    <row r="1322" spans="1:8" x14ac:dyDescent="0.3">
      <c r="A1322" s="42" t="s">
        <v>1943</v>
      </c>
      <c r="B1322" s="3" t="s">
        <v>1944</v>
      </c>
      <c r="C1322" s="4">
        <f t="shared" ca="1" si="49"/>
        <v>45696</v>
      </c>
      <c r="D1322" s="4">
        <f ca="1">TODAY()-325</f>
        <v>45712</v>
      </c>
      <c r="E1322" s="3" t="s">
        <v>1029</v>
      </c>
      <c r="F1322" s="43" t="b">
        <v>1</v>
      </c>
      <c r="G1322" s="43" t="b">
        <v>1</v>
      </c>
      <c r="H1322" s="44">
        <v>110</v>
      </c>
    </row>
    <row r="1323" spans="1:8" x14ac:dyDescent="0.3">
      <c r="A1323" s="42" t="s">
        <v>1272</v>
      </c>
      <c r="B1323" s="3" t="s">
        <v>1114</v>
      </c>
      <c r="C1323" s="4">
        <f t="shared" ca="1" si="49"/>
        <v>45696</v>
      </c>
      <c r="D1323" s="4">
        <f ca="1">TODAY()-330</f>
        <v>45707</v>
      </c>
      <c r="E1323" s="3" t="s">
        <v>1029</v>
      </c>
      <c r="F1323" s="43" t="b">
        <v>1</v>
      </c>
      <c r="G1323" s="43" t="b">
        <v>1</v>
      </c>
      <c r="H1323" s="44">
        <v>910</v>
      </c>
    </row>
    <row r="1324" spans="1:8" x14ac:dyDescent="0.3">
      <c r="A1324" s="42" t="s">
        <v>1068</v>
      </c>
      <c r="B1324" s="3" t="s">
        <v>1441</v>
      </c>
      <c r="C1324" s="4">
        <f t="shared" ca="1" si="49"/>
        <v>45696</v>
      </c>
      <c r="D1324" s="4">
        <f ca="1">TODAY()-316</f>
        <v>45721</v>
      </c>
      <c r="E1324" s="3" t="s">
        <v>1032</v>
      </c>
      <c r="F1324" s="43" t="b">
        <v>1</v>
      </c>
      <c r="G1324" s="43" t="b">
        <v>0</v>
      </c>
      <c r="H1324" s="44">
        <v>660</v>
      </c>
    </row>
    <row r="1325" spans="1:8" x14ac:dyDescent="0.3">
      <c r="A1325" s="42" t="s">
        <v>1417</v>
      </c>
      <c r="B1325" s="3" t="s">
        <v>1418</v>
      </c>
      <c r="C1325" s="4">
        <f t="shared" ca="1" si="49"/>
        <v>45696</v>
      </c>
      <c r="D1325" s="42"/>
      <c r="E1325" s="3" t="s">
        <v>1077</v>
      </c>
      <c r="F1325" s="43" t="b">
        <v>0</v>
      </c>
      <c r="G1325" s="43" t="b">
        <v>0</v>
      </c>
      <c r="H1325" s="44">
        <v>2270</v>
      </c>
    </row>
    <row r="1326" spans="1:8" x14ac:dyDescent="0.3">
      <c r="A1326" s="42" t="s">
        <v>1553</v>
      </c>
      <c r="B1326" s="3" t="s">
        <v>1945</v>
      </c>
      <c r="C1326" s="4">
        <f t="shared" ca="1" si="49"/>
        <v>45696</v>
      </c>
      <c r="D1326" s="4">
        <f ca="1">TODAY()-324</f>
        <v>45713</v>
      </c>
      <c r="E1326" s="3" t="s">
        <v>1032</v>
      </c>
      <c r="F1326" s="43" t="b">
        <v>1</v>
      </c>
      <c r="G1326" s="43" t="b">
        <v>0</v>
      </c>
      <c r="H1326" s="44">
        <v>640</v>
      </c>
    </row>
    <row r="1327" spans="1:8" x14ac:dyDescent="0.3">
      <c r="A1327" s="42" t="s">
        <v>1805</v>
      </c>
      <c r="B1327" s="3" t="s">
        <v>1806</v>
      </c>
      <c r="C1327" s="4">
        <f t="shared" ca="1" si="49"/>
        <v>45696</v>
      </c>
      <c r="D1327" s="4">
        <f ca="1">TODAY()-331</f>
        <v>45706</v>
      </c>
      <c r="E1327" s="3" t="s">
        <v>1032</v>
      </c>
      <c r="F1327" s="43" t="b">
        <v>1</v>
      </c>
      <c r="G1327" s="43" t="b">
        <v>0</v>
      </c>
      <c r="H1327" s="44">
        <v>960</v>
      </c>
    </row>
    <row r="1328" spans="1:8" x14ac:dyDescent="0.3">
      <c r="A1328" s="42" t="s">
        <v>1135</v>
      </c>
      <c r="B1328" s="3" t="s">
        <v>1946</v>
      </c>
      <c r="C1328" s="4">
        <f t="shared" ca="1" si="49"/>
        <v>45696</v>
      </c>
      <c r="D1328" s="4">
        <f ca="1">TODAY()-321</f>
        <v>45716</v>
      </c>
      <c r="E1328" s="3" t="s">
        <v>1032</v>
      </c>
      <c r="F1328" s="43" t="b">
        <v>1</v>
      </c>
      <c r="G1328" s="43" t="b">
        <v>0</v>
      </c>
      <c r="H1328" s="44">
        <v>590</v>
      </c>
    </row>
    <row r="1329" spans="1:8" x14ac:dyDescent="0.3">
      <c r="A1329" s="42" t="s">
        <v>1947</v>
      </c>
      <c r="B1329" s="3" t="s">
        <v>1706</v>
      </c>
      <c r="C1329" s="4">
        <f t="shared" ca="1" si="49"/>
        <v>45696</v>
      </c>
      <c r="D1329" s="4">
        <f ca="1">TODAY()-327</f>
        <v>45710</v>
      </c>
      <c r="E1329" s="3" t="s">
        <v>1029</v>
      </c>
      <c r="F1329" s="43" t="b">
        <v>1</v>
      </c>
      <c r="G1329" s="43" t="b">
        <v>1</v>
      </c>
      <c r="H1329" s="44">
        <v>1310</v>
      </c>
    </row>
    <row r="1330" spans="1:8" x14ac:dyDescent="0.3">
      <c r="A1330" s="42" t="s">
        <v>1177</v>
      </c>
      <c r="B1330" s="3" t="s">
        <v>1546</v>
      </c>
      <c r="C1330" s="4">
        <f t="shared" ca="1" si="49"/>
        <v>45696</v>
      </c>
      <c r="D1330" s="4">
        <f ca="1">TODAY()-325</f>
        <v>45712</v>
      </c>
      <c r="E1330" s="3" t="s">
        <v>1029</v>
      </c>
      <c r="F1330" s="43" t="b">
        <v>1</v>
      </c>
      <c r="G1330" s="43" t="b">
        <v>1</v>
      </c>
      <c r="H1330" s="44">
        <v>1310</v>
      </c>
    </row>
    <row r="1331" spans="1:8" x14ac:dyDescent="0.3">
      <c r="A1331" s="42" t="s">
        <v>1446</v>
      </c>
      <c r="B1331" s="3" t="s">
        <v>1447</v>
      </c>
      <c r="C1331" s="4">
        <f t="shared" ca="1" si="49"/>
        <v>45696</v>
      </c>
      <c r="D1331" s="4">
        <f ca="1">TODAY()-323</f>
        <v>45714</v>
      </c>
      <c r="E1331" s="3" t="s">
        <v>1029</v>
      </c>
      <c r="F1331" s="43" t="b">
        <v>1</v>
      </c>
      <c r="G1331" s="43" t="b">
        <v>1</v>
      </c>
      <c r="H1331" s="44">
        <v>2460</v>
      </c>
    </row>
    <row r="1332" spans="1:8" x14ac:dyDescent="0.3">
      <c r="A1332" s="42" t="s">
        <v>1878</v>
      </c>
      <c r="B1332" s="3" t="s">
        <v>1879</v>
      </c>
      <c r="C1332" s="4">
        <f t="shared" ca="1" si="49"/>
        <v>45696</v>
      </c>
      <c r="D1332" s="4">
        <f ca="1">TODAY()-311</f>
        <v>45726</v>
      </c>
      <c r="E1332" s="3" t="s">
        <v>1029</v>
      </c>
      <c r="F1332" s="43" t="b">
        <v>1</v>
      </c>
      <c r="G1332" s="43" t="b">
        <v>1</v>
      </c>
      <c r="H1332" s="44">
        <v>270</v>
      </c>
    </row>
    <row r="1333" spans="1:8" x14ac:dyDescent="0.3">
      <c r="A1333" s="42" t="s">
        <v>1190</v>
      </c>
      <c r="B1333" s="3" t="s">
        <v>1534</v>
      </c>
      <c r="C1333" s="4">
        <f t="shared" ca="1" si="49"/>
        <v>45696</v>
      </c>
      <c r="D1333" s="4">
        <f ca="1">TODAY()-317</f>
        <v>45720</v>
      </c>
      <c r="E1333" s="3" t="s">
        <v>1029</v>
      </c>
      <c r="F1333" s="43" t="b">
        <v>1</v>
      </c>
      <c r="G1333" s="43" t="b">
        <v>1</v>
      </c>
      <c r="H1333" s="44">
        <v>1880</v>
      </c>
    </row>
    <row r="1334" spans="1:8" x14ac:dyDescent="0.3">
      <c r="A1334" s="42" t="s">
        <v>1576</v>
      </c>
      <c r="B1334" s="3" t="s">
        <v>1275</v>
      </c>
      <c r="C1334" s="4">
        <f t="shared" ca="1" si="49"/>
        <v>45696</v>
      </c>
      <c r="D1334" s="4">
        <f ca="1">TODAY()-328</f>
        <v>45709</v>
      </c>
      <c r="E1334" s="3" t="s">
        <v>1032</v>
      </c>
      <c r="F1334" s="43" t="b">
        <v>1</v>
      </c>
      <c r="G1334" s="43" t="b">
        <v>0</v>
      </c>
      <c r="H1334" s="44">
        <v>1140</v>
      </c>
    </row>
    <row r="1335" spans="1:8" x14ac:dyDescent="0.3">
      <c r="A1335" s="42" t="s">
        <v>1637</v>
      </c>
      <c r="B1335" s="3" t="s">
        <v>1638</v>
      </c>
      <c r="C1335" s="4">
        <f t="shared" ca="1" si="49"/>
        <v>45696</v>
      </c>
      <c r="D1335" s="42"/>
      <c r="E1335" s="3" t="s">
        <v>1103</v>
      </c>
      <c r="F1335" s="43" t="b">
        <v>0</v>
      </c>
      <c r="G1335" s="43" t="b">
        <v>0</v>
      </c>
      <c r="H1335" s="44">
        <v>520</v>
      </c>
    </row>
    <row r="1336" spans="1:8" x14ac:dyDescent="0.3">
      <c r="A1336" s="42" t="s">
        <v>1618</v>
      </c>
      <c r="B1336" s="3" t="s">
        <v>1619</v>
      </c>
      <c r="C1336" s="4">
        <f t="shared" ca="1" si="49"/>
        <v>45696</v>
      </c>
      <c r="D1336" s="4">
        <f ca="1">TODAY()-326</f>
        <v>45711</v>
      </c>
      <c r="E1336" s="3" t="s">
        <v>1029</v>
      </c>
      <c r="F1336" s="43" t="b">
        <v>1</v>
      </c>
      <c r="G1336" s="43" t="b">
        <v>1</v>
      </c>
      <c r="H1336" s="44">
        <v>1210</v>
      </c>
    </row>
    <row r="1337" spans="1:8" x14ac:dyDescent="0.3">
      <c r="A1337" s="42" t="s">
        <v>1155</v>
      </c>
      <c r="B1337" s="3" t="s">
        <v>1156</v>
      </c>
      <c r="C1337" s="4">
        <f t="shared" ref="C1337:C1453" ca="1" si="51">TODAY()-310</f>
        <v>45727</v>
      </c>
      <c r="D1337" s="4">
        <f ca="1">TODAY()-295</f>
        <v>45742</v>
      </c>
      <c r="E1337" s="3" t="s">
        <v>1029</v>
      </c>
      <c r="F1337" s="43" t="b">
        <v>1</v>
      </c>
      <c r="G1337" s="43" t="b">
        <v>1</v>
      </c>
      <c r="H1337" s="44">
        <v>1200</v>
      </c>
    </row>
    <row r="1338" spans="1:8" x14ac:dyDescent="0.3">
      <c r="A1338" s="42" t="s">
        <v>1151</v>
      </c>
      <c r="B1338" s="3" t="s">
        <v>1831</v>
      </c>
      <c r="C1338" s="4">
        <f t="shared" ca="1" si="51"/>
        <v>45727</v>
      </c>
      <c r="D1338" s="4">
        <f t="shared" ref="D1338:D1339" ca="1" si="52">TODAY()-296</f>
        <v>45741</v>
      </c>
      <c r="E1338" s="3" t="s">
        <v>1032</v>
      </c>
      <c r="F1338" s="43" t="b">
        <v>1</v>
      </c>
      <c r="G1338" s="43" t="b">
        <v>0</v>
      </c>
      <c r="H1338" s="44">
        <v>890</v>
      </c>
    </row>
    <row r="1339" spans="1:8" x14ac:dyDescent="0.3">
      <c r="A1339" s="42" t="s">
        <v>1799</v>
      </c>
      <c r="B1339" s="3" t="s">
        <v>1311</v>
      </c>
      <c r="C1339" s="4">
        <f t="shared" ca="1" si="51"/>
        <v>45727</v>
      </c>
      <c r="D1339" s="4">
        <f t="shared" ca="1" si="52"/>
        <v>45741</v>
      </c>
      <c r="E1339" s="3" t="s">
        <v>1032</v>
      </c>
      <c r="F1339" s="43" t="b">
        <v>1</v>
      </c>
      <c r="G1339" s="43" t="b">
        <v>0</v>
      </c>
      <c r="H1339" s="44">
        <v>2090</v>
      </c>
    </row>
    <row r="1340" spans="1:8" x14ac:dyDescent="0.3">
      <c r="A1340" s="42" t="s">
        <v>1569</v>
      </c>
      <c r="B1340" s="3" t="s">
        <v>1570</v>
      </c>
      <c r="C1340" s="4">
        <f t="shared" ca="1" si="51"/>
        <v>45727</v>
      </c>
      <c r="D1340" s="4">
        <f t="shared" ref="D1340:D1341" ca="1" si="53">TODAY()-290</f>
        <v>45747</v>
      </c>
      <c r="E1340" s="3" t="s">
        <v>1032</v>
      </c>
      <c r="F1340" s="43" t="b">
        <v>1</v>
      </c>
      <c r="G1340" s="43" t="b">
        <v>0</v>
      </c>
      <c r="H1340" s="44">
        <v>780</v>
      </c>
    </row>
    <row r="1341" spans="1:8" x14ac:dyDescent="0.3">
      <c r="A1341" s="42" t="s">
        <v>1312</v>
      </c>
      <c r="B1341" s="3" t="s">
        <v>1313</v>
      </c>
      <c r="C1341" s="4">
        <f t="shared" ca="1" si="51"/>
        <v>45727</v>
      </c>
      <c r="D1341" s="4">
        <f t="shared" ca="1" si="53"/>
        <v>45747</v>
      </c>
      <c r="E1341" s="3" t="s">
        <v>1029</v>
      </c>
      <c r="F1341" s="43" t="b">
        <v>1</v>
      </c>
      <c r="G1341" s="43" t="b">
        <v>1</v>
      </c>
      <c r="H1341" s="44">
        <v>1350</v>
      </c>
    </row>
    <row r="1342" spans="1:8" x14ac:dyDescent="0.3">
      <c r="A1342" s="42" t="s">
        <v>1543</v>
      </c>
      <c r="B1342" s="3" t="s">
        <v>1948</v>
      </c>
      <c r="C1342" s="4">
        <f t="shared" ca="1" si="51"/>
        <v>45727</v>
      </c>
      <c r="D1342" s="4">
        <f ca="1">TODAY()-299</f>
        <v>45738</v>
      </c>
      <c r="E1342" s="3" t="s">
        <v>1029</v>
      </c>
      <c r="F1342" s="43" t="b">
        <v>1</v>
      </c>
      <c r="G1342" s="43" t="b">
        <v>1</v>
      </c>
      <c r="H1342" s="44">
        <v>1460</v>
      </c>
    </row>
    <row r="1343" spans="1:8" x14ac:dyDescent="0.3">
      <c r="A1343" s="42" t="s">
        <v>1455</v>
      </c>
      <c r="B1343" s="3" t="s">
        <v>1790</v>
      </c>
      <c r="C1343" s="4">
        <f t="shared" ca="1" si="51"/>
        <v>45727</v>
      </c>
      <c r="D1343" s="42"/>
      <c r="E1343" s="3" t="s">
        <v>1077</v>
      </c>
      <c r="F1343" s="43" t="b">
        <v>0</v>
      </c>
      <c r="G1343" s="43" t="b">
        <v>0</v>
      </c>
      <c r="H1343" s="44">
        <v>1240</v>
      </c>
    </row>
    <row r="1344" spans="1:8" x14ac:dyDescent="0.3">
      <c r="A1344" s="42" t="s">
        <v>1219</v>
      </c>
      <c r="B1344" s="3" t="s">
        <v>1220</v>
      </c>
      <c r="C1344" s="4">
        <f t="shared" ca="1" si="51"/>
        <v>45727</v>
      </c>
      <c r="D1344" s="4">
        <f ca="1">TODAY()-285</f>
        <v>45752</v>
      </c>
      <c r="E1344" s="3" t="s">
        <v>1032</v>
      </c>
      <c r="F1344" s="43" t="b">
        <v>1</v>
      </c>
      <c r="G1344" s="43" t="b">
        <v>0</v>
      </c>
      <c r="H1344" s="44">
        <v>730</v>
      </c>
    </row>
    <row r="1345" spans="1:8" x14ac:dyDescent="0.3">
      <c r="A1345" s="42" t="s">
        <v>1387</v>
      </c>
      <c r="B1345" s="3" t="s">
        <v>1486</v>
      </c>
      <c r="C1345" s="4">
        <f t="shared" ca="1" si="51"/>
        <v>45727</v>
      </c>
      <c r="D1345" s="42"/>
      <c r="E1345" s="3" t="s">
        <v>1108</v>
      </c>
      <c r="F1345" s="43" t="b">
        <v>0</v>
      </c>
      <c r="G1345" s="43" t="b">
        <v>0</v>
      </c>
      <c r="H1345" s="44">
        <v>2480</v>
      </c>
    </row>
    <row r="1346" spans="1:8" x14ac:dyDescent="0.3">
      <c r="A1346" s="42" t="s">
        <v>1421</v>
      </c>
      <c r="B1346" s="3" t="s">
        <v>1422</v>
      </c>
      <c r="C1346" s="4">
        <f t="shared" ca="1" si="51"/>
        <v>45727</v>
      </c>
      <c r="D1346" s="4">
        <f ca="1">TODAY()-293</f>
        <v>45744</v>
      </c>
      <c r="E1346" s="3" t="s">
        <v>1032</v>
      </c>
      <c r="F1346" s="43" t="b">
        <v>1</v>
      </c>
      <c r="G1346" s="43" t="b">
        <v>0</v>
      </c>
      <c r="H1346" s="44">
        <v>1270</v>
      </c>
    </row>
    <row r="1347" spans="1:8" x14ac:dyDescent="0.3">
      <c r="A1347" s="42" t="s">
        <v>1630</v>
      </c>
      <c r="B1347" s="3" t="s">
        <v>1949</v>
      </c>
      <c r="C1347" s="4">
        <f t="shared" ca="1" si="51"/>
        <v>45727</v>
      </c>
      <c r="D1347" s="42"/>
      <c r="E1347" s="3" t="s">
        <v>1077</v>
      </c>
      <c r="F1347" s="43" t="b">
        <v>0</v>
      </c>
      <c r="G1347" s="43" t="b">
        <v>0</v>
      </c>
      <c r="H1347" s="44">
        <v>210</v>
      </c>
    </row>
    <row r="1348" spans="1:8" x14ac:dyDescent="0.3">
      <c r="A1348" s="42" t="s">
        <v>1058</v>
      </c>
      <c r="B1348" s="3" t="s">
        <v>1059</v>
      </c>
      <c r="C1348" s="4">
        <f t="shared" ca="1" si="51"/>
        <v>45727</v>
      </c>
      <c r="D1348" s="4">
        <f ca="1">TODAY()-297</f>
        <v>45740</v>
      </c>
      <c r="E1348" s="3" t="s">
        <v>1029</v>
      </c>
      <c r="F1348" s="43" t="b">
        <v>1</v>
      </c>
      <c r="G1348" s="43" t="b">
        <v>1</v>
      </c>
      <c r="H1348" s="44">
        <v>800</v>
      </c>
    </row>
    <row r="1349" spans="1:8" x14ac:dyDescent="0.3">
      <c r="A1349" s="42" t="s">
        <v>1426</v>
      </c>
      <c r="B1349" s="3" t="s">
        <v>1201</v>
      </c>
      <c r="C1349" s="4">
        <f t="shared" ca="1" si="51"/>
        <v>45727</v>
      </c>
      <c r="D1349" s="4">
        <f ca="1">TODAY()-298</f>
        <v>45739</v>
      </c>
      <c r="E1349" s="3" t="s">
        <v>1032</v>
      </c>
      <c r="F1349" s="43" t="b">
        <v>1</v>
      </c>
      <c r="G1349" s="43" t="b">
        <v>0</v>
      </c>
      <c r="H1349" s="44">
        <v>910</v>
      </c>
    </row>
    <row r="1350" spans="1:8" x14ac:dyDescent="0.3">
      <c r="A1350" s="42" t="s">
        <v>1190</v>
      </c>
      <c r="B1350" s="3" t="s">
        <v>1534</v>
      </c>
      <c r="C1350" s="4">
        <f t="shared" ca="1" si="51"/>
        <v>45727</v>
      </c>
      <c r="D1350" s="4">
        <f ca="1">TODAY()-288</f>
        <v>45749</v>
      </c>
      <c r="E1350" s="3" t="s">
        <v>1029</v>
      </c>
      <c r="F1350" s="43" t="b">
        <v>1</v>
      </c>
      <c r="G1350" s="43" t="b">
        <v>1</v>
      </c>
      <c r="H1350" s="44">
        <v>1880</v>
      </c>
    </row>
    <row r="1351" spans="1:8" x14ac:dyDescent="0.3">
      <c r="A1351" s="42" t="s">
        <v>1276</v>
      </c>
      <c r="B1351" s="3" t="s">
        <v>1114</v>
      </c>
      <c r="C1351" s="4">
        <f t="shared" ca="1" si="51"/>
        <v>45727</v>
      </c>
      <c r="D1351" s="42"/>
      <c r="E1351" s="3" t="s">
        <v>1077</v>
      </c>
      <c r="F1351" s="43" t="b">
        <v>0</v>
      </c>
      <c r="G1351" s="43" t="b">
        <v>0</v>
      </c>
      <c r="H1351" s="44">
        <v>550</v>
      </c>
    </row>
    <row r="1352" spans="1:8" x14ac:dyDescent="0.3">
      <c r="A1352" s="42" t="s">
        <v>1578</v>
      </c>
      <c r="B1352" s="3" t="s">
        <v>1390</v>
      </c>
      <c r="C1352" s="4">
        <f t="shared" ca="1" si="51"/>
        <v>45727</v>
      </c>
      <c r="D1352" s="4">
        <f ca="1">TODAY()-280</f>
        <v>45757</v>
      </c>
      <c r="E1352" s="3" t="s">
        <v>1029</v>
      </c>
      <c r="F1352" s="43" t="b">
        <v>1</v>
      </c>
      <c r="G1352" s="43" t="b">
        <v>1</v>
      </c>
      <c r="H1352" s="44">
        <v>1240</v>
      </c>
    </row>
    <row r="1353" spans="1:8" x14ac:dyDescent="0.3">
      <c r="A1353" s="42" t="s">
        <v>1867</v>
      </c>
      <c r="B1353" s="3" t="s">
        <v>1868</v>
      </c>
      <c r="C1353" s="4">
        <f t="shared" ca="1" si="51"/>
        <v>45727</v>
      </c>
      <c r="D1353" s="4">
        <f ca="1">TODAY()-285</f>
        <v>45752</v>
      </c>
      <c r="E1353" s="3" t="s">
        <v>1032</v>
      </c>
      <c r="F1353" s="43" t="b">
        <v>1</v>
      </c>
      <c r="G1353" s="43" t="b">
        <v>0</v>
      </c>
      <c r="H1353" s="44">
        <v>390</v>
      </c>
    </row>
    <row r="1354" spans="1:8" x14ac:dyDescent="0.3">
      <c r="A1354" s="42" t="s">
        <v>1442</v>
      </c>
      <c r="B1354" s="3" t="s">
        <v>1443</v>
      </c>
      <c r="C1354" s="4">
        <f t="shared" ca="1" si="51"/>
        <v>45727</v>
      </c>
      <c r="D1354" s="4">
        <f ca="1">TODAY()-291</f>
        <v>45746</v>
      </c>
      <c r="E1354" s="3" t="s">
        <v>1029</v>
      </c>
      <c r="F1354" s="43" t="b">
        <v>1</v>
      </c>
      <c r="G1354" s="43" t="b">
        <v>1</v>
      </c>
      <c r="H1354" s="44">
        <v>1120</v>
      </c>
    </row>
    <row r="1355" spans="1:8" x14ac:dyDescent="0.3">
      <c r="A1355" s="42" t="s">
        <v>1184</v>
      </c>
      <c r="B1355" s="3" t="s">
        <v>1185</v>
      </c>
      <c r="C1355" s="4">
        <f t="shared" ca="1" si="51"/>
        <v>45727</v>
      </c>
      <c r="D1355" s="4">
        <f ca="1">TODAY()-293</f>
        <v>45744</v>
      </c>
      <c r="E1355" s="3" t="s">
        <v>1029</v>
      </c>
      <c r="F1355" s="43" t="b">
        <v>1</v>
      </c>
      <c r="G1355" s="43" t="b">
        <v>1</v>
      </c>
      <c r="H1355" s="44">
        <v>340</v>
      </c>
    </row>
    <row r="1356" spans="1:8" x14ac:dyDescent="0.3">
      <c r="A1356" s="42" t="s">
        <v>1547</v>
      </c>
      <c r="B1356" s="45" t="s">
        <v>1815</v>
      </c>
      <c r="C1356" s="4">
        <f t="shared" ca="1" si="51"/>
        <v>45727</v>
      </c>
      <c r="D1356" s="4">
        <f ca="1">TODAY()-294</f>
        <v>45743</v>
      </c>
      <c r="E1356" s="3" t="s">
        <v>1032</v>
      </c>
      <c r="F1356" s="43" t="b">
        <v>1</v>
      </c>
      <c r="G1356" s="43" t="b">
        <v>0</v>
      </c>
      <c r="H1356" s="44">
        <v>2070</v>
      </c>
    </row>
    <row r="1357" spans="1:8" x14ac:dyDescent="0.3">
      <c r="A1357" s="42" t="s">
        <v>1915</v>
      </c>
      <c r="B1357" s="3" t="s">
        <v>1831</v>
      </c>
      <c r="C1357" s="4">
        <f t="shared" ca="1" si="51"/>
        <v>45727</v>
      </c>
      <c r="D1357" s="4">
        <f ca="1">TODAY()-290</f>
        <v>45747</v>
      </c>
      <c r="E1357" s="3" t="s">
        <v>1032</v>
      </c>
      <c r="F1357" s="43" t="b">
        <v>1</v>
      </c>
      <c r="G1357" s="43" t="b">
        <v>0</v>
      </c>
      <c r="H1357" s="44">
        <v>250</v>
      </c>
    </row>
    <row r="1358" spans="1:8" x14ac:dyDescent="0.3">
      <c r="A1358" s="42" t="s">
        <v>1547</v>
      </c>
      <c r="B1358" s="45" t="s">
        <v>1815</v>
      </c>
      <c r="C1358" s="4">
        <f t="shared" ca="1" si="51"/>
        <v>45727</v>
      </c>
      <c r="D1358" s="4">
        <f t="shared" ref="D1358:D1359" ca="1" si="54">TODAY()-298</f>
        <v>45739</v>
      </c>
      <c r="E1358" s="3" t="s">
        <v>1032</v>
      </c>
      <c r="F1358" s="43" t="b">
        <v>1</v>
      </c>
      <c r="G1358" s="43" t="b">
        <v>0</v>
      </c>
      <c r="H1358" s="44">
        <v>2070</v>
      </c>
    </row>
    <row r="1359" spans="1:8" x14ac:dyDescent="0.3">
      <c r="A1359" s="42" t="s">
        <v>1624</v>
      </c>
      <c r="B1359" s="3" t="s">
        <v>1625</v>
      </c>
      <c r="C1359" s="4">
        <f t="shared" ca="1" si="51"/>
        <v>45727</v>
      </c>
      <c r="D1359" s="4">
        <f t="shared" ca="1" si="54"/>
        <v>45739</v>
      </c>
      <c r="E1359" s="3" t="s">
        <v>1029</v>
      </c>
      <c r="F1359" s="43" t="b">
        <v>1</v>
      </c>
      <c r="G1359" s="43" t="b">
        <v>1</v>
      </c>
      <c r="H1359" s="44">
        <v>1630</v>
      </c>
    </row>
    <row r="1360" spans="1:8" x14ac:dyDescent="0.3">
      <c r="A1360" s="42" t="s">
        <v>1081</v>
      </c>
      <c r="B1360" s="3" t="s">
        <v>1837</v>
      </c>
      <c r="C1360" s="4">
        <f t="shared" ca="1" si="51"/>
        <v>45727</v>
      </c>
      <c r="D1360" s="4">
        <f ca="1">TODAY()-292</f>
        <v>45745</v>
      </c>
      <c r="E1360" s="3" t="s">
        <v>1029</v>
      </c>
      <c r="F1360" s="43" t="b">
        <v>1</v>
      </c>
      <c r="G1360" s="43" t="b">
        <v>1</v>
      </c>
      <c r="H1360" s="44">
        <v>1510</v>
      </c>
    </row>
    <row r="1361" spans="1:8" x14ac:dyDescent="0.3">
      <c r="A1361" s="42" t="s">
        <v>1294</v>
      </c>
      <c r="B1361" s="3" t="s">
        <v>1295</v>
      </c>
      <c r="C1361" s="4">
        <f t="shared" ca="1" si="51"/>
        <v>45727</v>
      </c>
      <c r="D1361" s="4">
        <f ca="1">TODAY()-296</f>
        <v>45741</v>
      </c>
      <c r="E1361" s="3" t="s">
        <v>1029</v>
      </c>
      <c r="F1361" s="43" t="b">
        <v>1</v>
      </c>
      <c r="G1361" s="43" t="b">
        <v>1</v>
      </c>
      <c r="H1361" s="44">
        <v>2410</v>
      </c>
    </row>
    <row r="1362" spans="1:8" x14ac:dyDescent="0.3">
      <c r="A1362" s="42" t="s">
        <v>1298</v>
      </c>
      <c r="B1362" s="3" t="s">
        <v>1222</v>
      </c>
      <c r="C1362" s="4">
        <f t="shared" ca="1" si="51"/>
        <v>45727</v>
      </c>
      <c r="D1362" s="4">
        <f ca="1">TODAY()-294</f>
        <v>45743</v>
      </c>
      <c r="E1362" s="3" t="s">
        <v>1029</v>
      </c>
      <c r="F1362" s="43" t="b">
        <v>1</v>
      </c>
      <c r="G1362" s="43" t="b">
        <v>1</v>
      </c>
      <c r="H1362" s="44">
        <v>1700</v>
      </c>
    </row>
    <row r="1363" spans="1:8" x14ac:dyDescent="0.3">
      <c r="A1363" s="42" t="s">
        <v>1950</v>
      </c>
      <c r="B1363" s="3" t="s">
        <v>1951</v>
      </c>
      <c r="C1363" s="4">
        <f t="shared" ca="1" si="51"/>
        <v>45727</v>
      </c>
      <c r="D1363" s="4">
        <f t="shared" ref="D1363:D1364" ca="1" si="55">TODAY()-292</f>
        <v>45745</v>
      </c>
      <c r="E1363" s="3" t="s">
        <v>1029</v>
      </c>
      <c r="F1363" s="43" t="b">
        <v>1</v>
      </c>
      <c r="G1363" s="43" t="b">
        <v>1</v>
      </c>
      <c r="H1363" s="44">
        <v>580</v>
      </c>
    </row>
    <row r="1364" spans="1:8" x14ac:dyDescent="0.3">
      <c r="A1364" s="42" t="s">
        <v>1791</v>
      </c>
      <c r="B1364" s="3" t="s">
        <v>1792</v>
      </c>
      <c r="C1364" s="4">
        <f t="shared" ca="1" si="51"/>
        <v>45727</v>
      </c>
      <c r="D1364" s="4">
        <f t="shared" ca="1" si="55"/>
        <v>45745</v>
      </c>
      <c r="E1364" s="3" t="s">
        <v>1032</v>
      </c>
      <c r="F1364" s="43" t="b">
        <v>1</v>
      </c>
      <c r="G1364" s="43" t="b">
        <v>0</v>
      </c>
      <c r="H1364" s="44">
        <v>1940</v>
      </c>
    </row>
    <row r="1365" spans="1:8" x14ac:dyDescent="0.3">
      <c r="A1365" s="42" t="s">
        <v>1635</v>
      </c>
      <c r="B1365" s="3" t="s">
        <v>1636</v>
      </c>
      <c r="C1365" s="4">
        <f t="shared" ca="1" si="51"/>
        <v>45727</v>
      </c>
      <c r="D1365" s="4">
        <f ca="1">TODAY()-293</f>
        <v>45744</v>
      </c>
      <c r="E1365" s="3" t="s">
        <v>1029</v>
      </c>
      <c r="F1365" s="43" t="b">
        <v>1</v>
      </c>
      <c r="G1365" s="43" t="b">
        <v>1</v>
      </c>
      <c r="H1365" s="44">
        <v>1280</v>
      </c>
    </row>
    <row r="1366" spans="1:8" x14ac:dyDescent="0.3">
      <c r="A1366" s="42" t="s">
        <v>1839</v>
      </c>
      <c r="B1366" s="3" t="s">
        <v>1840</v>
      </c>
      <c r="C1366" s="4">
        <f t="shared" ca="1" si="51"/>
        <v>45727</v>
      </c>
      <c r="D1366" s="4">
        <f ca="1">TODAY()-288</f>
        <v>45749</v>
      </c>
      <c r="E1366" s="3" t="s">
        <v>1032</v>
      </c>
      <c r="F1366" s="43" t="b">
        <v>1</v>
      </c>
      <c r="G1366" s="43" t="b">
        <v>0</v>
      </c>
      <c r="H1366" s="44">
        <v>1000</v>
      </c>
    </row>
    <row r="1367" spans="1:8" x14ac:dyDescent="0.3">
      <c r="A1367" s="42" t="s">
        <v>1231</v>
      </c>
      <c r="B1367" s="3" t="s">
        <v>1232</v>
      </c>
      <c r="C1367" s="4">
        <f t="shared" ca="1" si="51"/>
        <v>45727</v>
      </c>
      <c r="D1367" s="4">
        <f ca="1">TODAY()-297</f>
        <v>45740</v>
      </c>
      <c r="E1367" s="3" t="s">
        <v>1029</v>
      </c>
      <c r="F1367" s="43" t="b">
        <v>1</v>
      </c>
      <c r="G1367" s="43" t="b">
        <v>1</v>
      </c>
      <c r="H1367" s="44">
        <v>230</v>
      </c>
    </row>
    <row r="1368" spans="1:8" x14ac:dyDescent="0.3">
      <c r="A1368" s="42" t="s">
        <v>1233</v>
      </c>
      <c r="B1368" s="3" t="s">
        <v>1952</v>
      </c>
      <c r="C1368" s="4">
        <f t="shared" ca="1" si="51"/>
        <v>45727</v>
      </c>
      <c r="D1368" s="4">
        <f ca="1">TODAY()-296</f>
        <v>45741</v>
      </c>
      <c r="E1368" s="3" t="s">
        <v>1029</v>
      </c>
      <c r="F1368" s="43" t="b">
        <v>1</v>
      </c>
      <c r="G1368" s="43" t="b">
        <v>1</v>
      </c>
      <c r="H1368" s="44">
        <v>660</v>
      </c>
    </row>
    <row r="1369" spans="1:8" x14ac:dyDescent="0.3">
      <c r="A1369" s="42" t="s">
        <v>1209</v>
      </c>
      <c r="B1369" s="3" t="s">
        <v>1528</v>
      </c>
      <c r="C1369" s="4">
        <f t="shared" ca="1" si="51"/>
        <v>45727</v>
      </c>
      <c r="D1369" s="4">
        <f ca="1">TODAY()-289</f>
        <v>45748</v>
      </c>
      <c r="E1369" s="3" t="s">
        <v>1029</v>
      </c>
      <c r="F1369" s="43" t="b">
        <v>1</v>
      </c>
      <c r="G1369" s="43" t="b">
        <v>1</v>
      </c>
      <c r="H1369" s="44">
        <v>2080</v>
      </c>
    </row>
    <row r="1370" spans="1:8" x14ac:dyDescent="0.3">
      <c r="A1370" s="42" t="s">
        <v>1941</v>
      </c>
      <c r="B1370" s="3" t="s">
        <v>1114</v>
      </c>
      <c r="C1370" s="4">
        <f t="shared" ca="1" si="51"/>
        <v>45727</v>
      </c>
      <c r="D1370" s="4">
        <f ca="1">TODAY()-292</f>
        <v>45745</v>
      </c>
      <c r="E1370" s="3" t="s">
        <v>1029</v>
      </c>
      <c r="F1370" s="43" t="b">
        <v>1</v>
      </c>
      <c r="G1370" s="43" t="b">
        <v>1</v>
      </c>
      <c r="H1370" s="44">
        <v>4410</v>
      </c>
    </row>
    <row r="1371" spans="1:8" x14ac:dyDescent="0.3">
      <c r="A1371" s="42" t="s">
        <v>1490</v>
      </c>
      <c r="B1371" s="3" t="s">
        <v>1575</v>
      </c>
      <c r="C1371" s="4">
        <f t="shared" ca="1" si="51"/>
        <v>45727</v>
      </c>
      <c r="D1371" s="4">
        <f ca="1">TODAY()-294</f>
        <v>45743</v>
      </c>
      <c r="E1371" s="3" t="s">
        <v>1029</v>
      </c>
      <c r="F1371" s="43" t="b">
        <v>1</v>
      </c>
      <c r="G1371" s="43" t="b">
        <v>1</v>
      </c>
      <c r="H1371" s="44">
        <v>910</v>
      </c>
    </row>
    <row r="1372" spans="1:8" x14ac:dyDescent="0.3">
      <c r="A1372" s="42" t="s">
        <v>1581</v>
      </c>
      <c r="B1372" s="3" t="s">
        <v>1888</v>
      </c>
      <c r="C1372" s="4">
        <f t="shared" ca="1" si="51"/>
        <v>45727</v>
      </c>
      <c r="D1372" s="4">
        <f ca="1">TODAY()-284</f>
        <v>45753</v>
      </c>
      <c r="E1372" s="3" t="s">
        <v>1029</v>
      </c>
      <c r="F1372" s="43" t="b">
        <v>1</v>
      </c>
      <c r="G1372" s="43" t="b">
        <v>1</v>
      </c>
      <c r="H1372" s="44">
        <v>1880</v>
      </c>
    </row>
    <row r="1373" spans="1:8" x14ac:dyDescent="0.3">
      <c r="A1373" s="42" t="s">
        <v>1622</v>
      </c>
      <c r="B1373" s="3" t="s">
        <v>1613</v>
      </c>
      <c r="C1373" s="4">
        <f t="shared" ca="1" si="51"/>
        <v>45727</v>
      </c>
      <c r="D1373" s="4">
        <f ca="1">TODAY()-281</f>
        <v>45756</v>
      </c>
      <c r="E1373" s="3" t="s">
        <v>1029</v>
      </c>
      <c r="F1373" s="43" t="b">
        <v>1</v>
      </c>
      <c r="G1373" s="43" t="b">
        <v>1</v>
      </c>
      <c r="H1373" s="44">
        <v>1900</v>
      </c>
    </row>
    <row r="1374" spans="1:8" x14ac:dyDescent="0.3">
      <c r="A1374" s="42" t="s">
        <v>1205</v>
      </c>
      <c r="B1374" s="3" t="s">
        <v>1580</v>
      </c>
      <c r="C1374" s="4">
        <f t="shared" ca="1" si="51"/>
        <v>45727</v>
      </c>
      <c r="D1374" s="4">
        <f ca="1">TODAY()-297</f>
        <v>45740</v>
      </c>
      <c r="E1374" s="3" t="s">
        <v>1032</v>
      </c>
      <c r="F1374" s="43" t="b">
        <v>1</v>
      </c>
      <c r="G1374" s="43" t="b">
        <v>0</v>
      </c>
      <c r="H1374" s="44">
        <v>1190</v>
      </c>
    </row>
    <row r="1375" spans="1:8" x14ac:dyDescent="0.3">
      <c r="A1375" s="42" t="s">
        <v>1916</v>
      </c>
      <c r="B1375" s="3" t="s">
        <v>1917</v>
      </c>
      <c r="C1375" s="4">
        <f t="shared" ca="1" si="51"/>
        <v>45727</v>
      </c>
      <c r="D1375" s="42"/>
      <c r="E1375" s="3" t="s">
        <v>1103</v>
      </c>
      <c r="F1375" s="43" t="b">
        <v>0</v>
      </c>
      <c r="G1375" s="43" t="b">
        <v>0</v>
      </c>
      <c r="H1375" s="44">
        <v>1760</v>
      </c>
    </row>
    <row r="1376" spans="1:8" x14ac:dyDescent="0.3">
      <c r="A1376" s="42" t="s">
        <v>1541</v>
      </c>
      <c r="B1376" s="3" t="s">
        <v>1905</v>
      </c>
      <c r="C1376" s="4">
        <f t="shared" ca="1" si="51"/>
        <v>45727</v>
      </c>
      <c r="D1376" s="42"/>
      <c r="E1376" s="3" t="s">
        <v>1077</v>
      </c>
      <c r="F1376" s="43" t="b">
        <v>0</v>
      </c>
      <c r="G1376" s="43" t="b">
        <v>0</v>
      </c>
      <c r="H1376" s="44">
        <v>550</v>
      </c>
    </row>
    <row r="1377" spans="1:8" x14ac:dyDescent="0.3">
      <c r="A1377" s="42" t="s">
        <v>1225</v>
      </c>
      <c r="B1377" s="3" t="s">
        <v>1274</v>
      </c>
      <c r="C1377" s="4">
        <f t="shared" ca="1" si="51"/>
        <v>45727</v>
      </c>
      <c r="D1377" s="4">
        <f ca="1">TODAY()-290</f>
        <v>45747</v>
      </c>
      <c r="E1377" s="3" t="s">
        <v>1029</v>
      </c>
      <c r="F1377" s="43" t="b">
        <v>1</v>
      </c>
      <c r="G1377" s="43" t="b">
        <v>1</v>
      </c>
      <c r="H1377" s="44">
        <v>670</v>
      </c>
    </row>
    <row r="1378" spans="1:8" x14ac:dyDescent="0.3">
      <c r="A1378" s="42" t="s">
        <v>1370</v>
      </c>
      <c r="B1378" s="3" t="s">
        <v>1371</v>
      </c>
      <c r="C1378" s="4">
        <f t="shared" ca="1" si="51"/>
        <v>45727</v>
      </c>
      <c r="D1378" s="4">
        <f ca="1">TODAY()-297</f>
        <v>45740</v>
      </c>
      <c r="E1378" s="3" t="s">
        <v>1029</v>
      </c>
      <c r="F1378" s="43" t="b">
        <v>1</v>
      </c>
      <c r="G1378" s="43" t="b">
        <v>1</v>
      </c>
      <c r="H1378" s="44">
        <v>830</v>
      </c>
    </row>
    <row r="1379" spans="1:8" x14ac:dyDescent="0.3">
      <c r="A1379" s="42" t="s">
        <v>1704</v>
      </c>
      <c r="B1379" s="3" t="s">
        <v>1705</v>
      </c>
      <c r="C1379" s="4">
        <f t="shared" ca="1" si="51"/>
        <v>45727</v>
      </c>
      <c r="D1379" s="4">
        <f ca="1">TODAY()-282</f>
        <v>45755</v>
      </c>
      <c r="E1379" s="3" t="s">
        <v>1029</v>
      </c>
      <c r="F1379" s="43" t="b">
        <v>1</v>
      </c>
      <c r="G1379" s="43" t="b">
        <v>1</v>
      </c>
      <c r="H1379" s="44">
        <v>2280</v>
      </c>
    </row>
    <row r="1380" spans="1:8" x14ac:dyDescent="0.3">
      <c r="A1380" s="42" t="s">
        <v>1266</v>
      </c>
      <c r="B1380" s="3" t="s">
        <v>1267</v>
      </c>
      <c r="C1380" s="4">
        <f t="shared" ca="1" si="51"/>
        <v>45727</v>
      </c>
      <c r="D1380" s="4">
        <f ca="1">TODAY()-297</f>
        <v>45740</v>
      </c>
      <c r="E1380" s="3" t="s">
        <v>1029</v>
      </c>
      <c r="F1380" s="43" t="b">
        <v>1</v>
      </c>
      <c r="G1380" s="43" t="b">
        <v>1</v>
      </c>
      <c r="H1380" s="44">
        <v>1110</v>
      </c>
    </row>
    <row r="1381" spans="1:8" x14ac:dyDescent="0.3">
      <c r="A1381" s="42" t="s">
        <v>1060</v>
      </c>
      <c r="B1381" s="3" t="s">
        <v>1061</v>
      </c>
      <c r="C1381" s="4">
        <f t="shared" ca="1" si="51"/>
        <v>45727</v>
      </c>
      <c r="D1381" s="42"/>
      <c r="E1381" s="3" t="s">
        <v>1037</v>
      </c>
      <c r="F1381" s="43" t="b">
        <v>0</v>
      </c>
      <c r="G1381" s="43" t="b">
        <v>0</v>
      </c>
      <c r="H1381" s="44">
        <v>1510</v>
      </c>
    </row>
    <row r="1382" spans="1:8" x14ac:dyDescent="0.3">
      <c r="A1382" s="42" t="s">
        <v>1674</v>
      </c>
      <c r="B1382" s="3" t="s">
        <v>1114</v>
      </c>
      <c r="C1382" s="4">
        <f t="shared" ca="1" si="51"/>
        <v>45727</v>
      </c>
      <c r="D1382" s="4">
        <f ca="1">TODAY()-285</f>
        <v>45752</v>
      </c>
      <c r="E1382" s="3" t="s">
        <v>1029</v>
      </c>
      <c r="F1382" s="43" t="b">
        <v>1</v>
      </c>
      <c r="G1382" s="43" t="b">
        <v>1</v>
      </c>
      <c r="H1382" s="44">
        <v>6390</v>
      </c>
    </row>
    <row r="1383" spans="1:8" x14ac:dyDescent="0.3">
      <c r="A1383" s="42" t="s">
        <v>1630</v>
      </c>
      <c r="B1383" s="3" t="s">
        <v>1949</v>
      </c>
      <c r="C1383" s="4">
        <f t="shared" ca="1" si="51"/>
        <v>45727</v>
      </c>
      <c r="D1383" s="42"/>
      <c r="E1383" s="3" t="s">
        <v>1077</v>
      </c>
      <c r="F1383" s="43" t="b">
        <v>0</v>
      </c>
      <c r="G1383" s="43" t="b">
        <v>0</v>
      </c>
      <c r="H1383" s="44">
        <v>210</v>
      </c>
    </row>
    <row r="1384" spans="1:8" x14ac:dyDescent="0.3">
      <c r="A1384" s="42" t="s">
        <v>1131</v>
      </c>
      <c r="B1384" s="3" t="s">
        <v>1132</v>
      </c>
      <c r="C1384" s="4">
        <f t="shared" ca="1" si="51"/>
        <v>45727</v>
      </c>
      <c r="D1384" s="4">
        <f ca="1">TODAY()-289</f>
        <v>45748</v>
      </c>
      <c r="E1384" s="3" t="s">
        <v>1029</v>
      </c>
      <c r="F1384" s="43" t="b">
        <v>1</v>
      </c>
      <c r="G1384" s="43" t="b">
        <v>1</v>
      </c>
      <c r="H1384" s="44">
        <v>2250</v>
      </c>
    </row>
    <row r="1385" spans="1:8" x14ac:dyDescent="0.3">
      <c r="A1385" s="42" t="s">
        <v>1541</v>
      </c>
      <c r="B1385" s="3" t="s">
        <v>1905</v>
      </c>
      <c r="C1385" s="4">
        <f t="shared" ca="1" si="51"/>
        <v>45727</v>
      </c>
      <c r="D1385" s="42"/>
      <c r="E1385" s="3" t="s">
        <v>1077</v>
      </c>
      <c r="F1385" s="43" t="b">
        <v>0</v>
      </c>
      <c r="G1385" s="43" t="b">
        <v>0</v>
      </c>
      <c r="H1385" s="44">
        <v>550</v>
      </c>
    </row>
    <row r="1386" spans="1:8" x14ac:dyDescent="0.3">
      <c r="A1386" s="42" t="s">
        <v>1794</v>
      </c>
      <c r="B1386" s="3" t="s">
        <v>1795</v>
      </c>
      <c r="C1386" s="4">
        <f t="shared" ca="1" si="51"/>
        <v>45727</v>
      </c>
      <c r="D1386" s="4">
        <f ca="1">TODAY()-298</f>
        <v>45739</v>
      </c>
      <c r="E1386" s="3" t="s">
        <v>1029</v>
      </c>
      <c r="F1386" s="43" t="b">
        <v>1</v>
      </c>
      <c r="G1386" s="43" t="b">
        <v>1</v>
      </c>
      <c r="H1386" s="44">
        <v>1860</v>
      </c>
    </row>
    <row r="1387" spans="1:8" x14ac:dyDescent="0.3">
      <c r="A1387" s="42" t="s">
        <v>1953</v>
      </c>
      <c r="B1387" s="3" t="s">
        <v>1954</v>
      </c>
      <c r="C1387" s="4">
        <f t="shared" ca="1" si="51"/>
        <v>45727</v>
      </c>
      <c r="D1387" s="4">
        <f ca="1">TODAY()-295</f>
        <v>45742</v>
      </c>
      <c r="E1387" s="3" t="s">
        <v>1032</v>
      </c>
      <c r="F1387" s="43" t="b">
        <v>1</v>
      </c>
      <c r="G1387" s="43" t="b">
        <v>0</v>
      </c>
      <c r="H1387" s="44">
        <v>840</v>
      </c>
    </row>
    <row r="1388" spans="1:8" x14ac:dyDescent="0.3">
      <c r="A1388" s="42" t="s">
        <v>1644</v>
      </c>
      <c r="B1388" s="3" t="s">
        <v>1645</v>
      </c>
      <c r="C1388" s="4">
        <f t="shared" ca="1" si="51"/>
        <v>45727</v>
      </c>
      <c r="D1388" s="4">
        <f ca="1">TODAY()-290</f>
        <v>45747</v>
      </c>
      <c r="E1388" s="3" t="s">
        <v>1029</v>
      </c>
      <c r="F1388" s="43" t="b">
        <v>1</v>
      </c>
      <c r="G1388" s="43" t="b">
        <v>1</v>
      </c>
      <c r="H1388" s="44">
        <v>2470</v>
      </c>
    </row>
    <row r="1389" spans="1:8" x14ac:dyDescent="0.3">
      <c r="A1389" s="42" t="s">
        <v>1543</v>
      </c>
      <c r="B1389" s="3" t="s">
        <v>1948</v>
      </c>
      <c r="C1389" s="4">
        <f t="shared" ca="1" si="51"/>
        <v>45727</v>
      </c>
      <c r="D1389" s="4">
        <f ca="1">TODAY()-285</f>
        <v>45752</v>
      </c>
      <c r="E1389" s="3" t="s">
        <v>1029</v>
      </c>
      <c r="F1389" s="43" t="b">
        <v>1</v>
      </c>
      <c r="G1389" s="43" t="b">
        <v>1</v>
      </c>
      <c r="H1389" s="44">
        <v>1460</v>
      </c>
    </row>
    <row r="1390" spans="1:8" x14ac:dyDescent="0.3">
      <c r="A1390" s="42" t="s">
        <v>1111</v>
      </c>
      <c r="B1390" s="3" t="s">
        <v>1112</v>
      </c>
      <c r="C1390" s="4">
        <f t="shared" ca="1" si="51"/>
        <v>45727</v>
      </c>
      <c r="D1390" s="4">
        <f ca="1">TODAY()-281</f>
        <v>45756</v>
      </c>
      <c r="E1390" s="3" t="s">
        <v>1029</v>
      </c>
      <c r="F1390" s="43" t="b">
        <v>1</v>
      </c>
      <c r="G1390" s="43" t="b">
        <v>1</v>
      </c>
      <c r="H1390" s="44">
        <v>2180</v>
      </c>
    </row>
    <row r="1391" spans="1:8" x14ac:dyDescent="0.3">
      <c r="A1391" s="42" t="s">
        <v>1566</v>
      </c>
      <c r="B1391" s="3" t="s">
        <v>1567</v>
      </c>
      <c r="C1391" s="4">
        <f t="shared" ca="1" si="51"/>
        <v>45727</v>
      </c>
      <c r="D1391" s="4">
        <f ca="1">TODAY()-285</f>
        <v>45752</v>
      </c>
      <c r="E1391" s="3" t="s">
        <v>1029</v>
      </c>
      <c r="F1391" s="43" t="b">
        <v>1</v>
      </c>
      <c r="G1391" s="43" t="b">
        <v>1</v>
      </c>
      <c r="H1391" s="44">
        <v>650</v>
      </c>
    </row>
    <row r="1392" spans="1:8" x14ac:dyDescent="0.3">
      <c r="A1392" s="42" t="s">
        <v>1073</v>
      </c>
      <c r="B1392" s="3" t="s">
        <v>1502</v>
      </c>
      <c r="C1392" s="4">
        <f t="shared" ca="1" si="51"/>
        <v>45727</v>
      </c>
      <c r="D1392" s="4">
        <f ca="1">TODAY()-299</f>
        <v>45738</v>
      </c>
      <c r="E1392" s="3" t="s">
        <v>1032</v>
      </c>
      <c r="F1392" s="43" t="b">
        <v>1</v>
      </c>
      <c r="G1392" s="43" t="b">
        <v>0</v>
      </c>
      <c r="H1392" s="44">
        <v>2040</v>
      </c>
    </row>
    <row r="1393" spans="1:8" x14ac:dyDescent="0.3">
      <c r="A1393" s="42" t="s">
        <v>1261</v>
      </c>
      <c r="B1393" s="3" t="s">
        <v>1259</v>
      </c>
      <c r="C1393" s="4">
        <f t="shared" ca="1" si="51"/>
        <v>45727</v>
      </c>
      <c r="D1393" s="42"/>
      <c r="E1393" s="3" t="s">
        <v>1101</v>
      </c>
      <c r="F1393" s="43" t="b">
        <v>0</v>
      </c>
      <c r="G1393" s="43" t="b">
        <v>0</v>
      </c>
      <c r="H1393" s="44">
        <v>840</v>
      </c>
    </row>
    <row r="1394" spans="1:8" x14ac:dyDescent="0.3">
      <c r="A1394" s="42" t="s">
        <v>1918</v>
      </c>
      <c r="B1394" s="3" t="s">
        <v>1919</v>
      </c>
      <c r="C1394" s="4">
        <f t="shared" ca="1" si="51"/>
        <v>45727</v>
      </c>
      <c r="D1394" s="4">
        <f ca="1">TODAY()-282</f>
        <v>45755</v>
      </c>
      <c r="E1394" s="3" t="s">
        <v>1032</v>
      </c>
      <c r="F1394" s="43" t="b">
        <v>1</v>
      </c>
      <c r="G1394" s="43" t="b">
        <v>0</v>
      </c>
      <c r="H1394" s="44">
        <v>1820</v>
      </c>
    </row>
    <row r="1395" spans="1:8" x14ac:dyDescent="0.3">
      <c r="A1395" s="42" t="s">
        <v>1955</v>
      </c>
      <c r="B1395" s="3" t="s">
        <v>1275</v>
      </c>
      <c r="C1395" s="4">
        <f t="shared" ca="1" si="51"/>
        <v>45727</v>
      </c>
      <c r="D1395" s="4">
        <f ca="1">TODAY()-283</f>
        <v>45754</v>
      </c>
      <c r="E1395" s="3" t="s">
        <v>1029</v>
      </c>
      <c r="F1395" s="43" t="b">
        <v>1</v>
      </c>
      <c r="G1395" s="43" t="b">
        <v>1</v>
      </c>
      <c r="H1395" s="44">
        <v>1900</v>
      </c>
    </row>
    <row r="1396" spans="1:8" x14ac:dyDescent="0.3">
      <c r="A1396" s="42" t="s">
        <v>1950</v>
      </c>
      <c r="B1396" s="3" t="s">
        <v>1951</v>
      </c>
      <c r="C1396" s="4">
        <f t="shared" ca="1" si="51"/>
        <v>45727</v>
      </c>
      <c r="D1396" s="4">
        <f ca="1">TODAY()-289</f>
        <v>45748</v>
      </c>
      <c r="E1396" s="3" t="s">
        <v>1029</v>
      </c>
      <c r="F1396" s="43" t="b">
        <v>1</v>
      </c>
      <c r="G1396" s="43" t="b">
        <v>1</v>
      </c>
      <c r="H1396" s="44">
        <v>580</v>
      </c>
    </row>
    <row r="1397" spans="1:8" x14ac:dyDescent="0.3">
      <c r="A1397" s="42" t="s">
        <v>1304</v>
      </c>
      <c r="B1397" s="3" t="s">
        <v>1305</v>
      </c>
      <c r="C1397" s="4">
        <f t="shared" ca="1" si="51"/>
        <v>45727</v>
      </c>
      <c r="D1397" s="4">
        <f ca="1">TODAY()-287</f>
        <v>45750</v>
      </c>
      <c r="E1397" s="3" t="s">
        <v>1032</v>
      </c>
      <c r="F1397" s="43" t="b">
        <v>1</v>
      </c>
      <c r="G1397" s="43" t="b">
        <v>0</v>
      </c>
      <c r="H1397" s="44">
        <v>1300</v>
      </c>
    </row>
    <row r="1398" spans="1:8" x14ac:dyDescent="0.3">
      <c r="A1398" s="42" t="s">
        <v>1308</v>
      </c>
      <c r="B1398" s="3" t="s">
        <v>1309</v>
      </c>
      <c r="C1398" s="4">
        <f t="shared" ca="1" si="51"/>
        <v>45727</v>
      </c>
      <c r="D1398" s="4">
        <f ca="1">TODAY()-300</f>
        <v>45737</v>
      </c>
      <c r="E1398" s="3" t="s">
        <v>1029</v>
      </c>
      <c r="F1398" s="43" t="b">
        <v>1</v>
      </c>
      <c r="G1398" s="43" t="b">
        <v>1</v>
      </c>
      <c r="H1398" s="44">
        <v>1840</v>
      </c>
    </row>
    <row r="1399" spans="1:8" x14ac:dyDescent="0.3">
      <c r="A1399" s="42" t="s">
        <v>1318</v>
      </c>
      <c r="B1399" s="3" t="s">
        <v>1956</v>
      </c>
      <c r="C1399" s="4">
        <f t="shared" ca="1" si="51"/>
        <v>45727</v>
      </c>
      <c r="D1399" s="4">
        <f t="shared" ref="D1399:D1400" ca="1" si="56">TODAY()-293</f>
        <v>45744</v>
      </c>
      <c r="E1399" s="3" t="s">
        <v>1032</v>
      </c>
      <c r="F1399" s="43" t="b">
        <v>1</v>
      </c>
      <c r="G1399" s="43" t="b">
        <v>0</v>
      </c>
      <c r="H1399" s="44">
        <v>1090</v>
      </c>
    </row>
    <row r="1400" spans="1:8" x14ac:dyDescent="0.3">
      <c r="A1400" s="42" t="s">
        <v>1073</v>
      </c>
      <c r="B1400" s="3" t="s">
        <v>1502</v>
      </c>
      <c r="C1400" s="4">
        <f t="shared" ca="1" si="51"/>
        <v>45727</v>
      </c>
      <c r="D1400" s="4">
        <f t="shared" ca="1" si="56"/>
        <v>45744</v>
      </c>
      <c r="E1400" s="3" t="s">
        <v>1032</v>
      </c>
      <c r="F1400" s="43" t="b">
        <v>1</v>
      </c>
      <c r="G1400" s="43" t="b">
        <v>0</v>
      </c>
      <c r="H1400" s="44">
        <v>2040</v>
      </c>
    </row>
    <row r="1401" spans="1:8" x14ac:dyDescent="0.3">
      <c r="A1401" s="42" t="s">
        <v>1071</v>
      </c>
      <c r="B1401" s="3" t="s">
        <v>1202</v>
      </c>
      <c r="C1401" s="4">
        <f t="shared" ca="1" si="51"/>
        <v>45727</v>
      </c>
      <c r="D1401" s="4">
        <f ca="1">TODAY()-288</f>
        <v>45749</v>
      </c>
      <c r="E1401" s="3" t="s">
        <v>1032</v>
      </c>
      <c r="F1401" s="43" t="b">
        <v>1</v>
      </c>
      <c r="G1401" s="43" t="b">
        <v>0</v>
      </c>
      <c r="H1401" s="44">
        <v>1940</v>
      </c>
    </row>
    <row r="1402" spans="1:8" x14ac:dyDescent="0.3">
      <c r="A1402" s="42" t="s">
        <v>1957</v>
      </c>
      <c r="B1402" s="3" t="s">
        <v>1958</v>
      </c>
      <c r="C1402" s="4">
        <f t="shared" ca="1" si="51"/>
        <v>45727</v>
      </c>
      <c r="D1402" s="42"/>
      <c r="E1402" s="3" t="s">
        <v>1101</v>
      </c>
      <c r="F1402" s="43" t="b">
        <v>0</v>
      </c>
      <c r="G1402" s="43" t="b">
        <v>0</v>
      </c>
      <c r="H1402" s="44">
        <v>1260</v>
      </c>
    </row>
    <row r="1403" spans="1:8" x14ac:dyDescent="0.3">
      <c r="A1403" s="42" t="s">
        <v>1892</v>
      </c>
      <c r="B1403" s="3" t="s">
        <v>1643</v>
      </c>
      <c r="C1403" s="4">
        <f t="shared" ca="1" si="51"/>
        <v>45727</v>
      </c>
      <c r="D1403" s="4">
        <f ca="1">TODAY()-300</f>
        <v>45737</v>
      </c>
      <c r="E1403" s="3" t="s">
        <v>1029</v>
      </c>
      <c r="F1403" s="43" t="b">
        <v>1</v>
      </c>
      <c r="G1403" s="43" t="b">
        <v>1</v>
      </c>
      <c r="H1403" s="44">
        <v>370</v>
      </c>
    </row>
    <row r="1404" spans="1:8" x14ac:dyDescent="0.3">
      <c r="A1404" s="42" t="s">
        <v>1583</v>
      </c>
      <c r="B1404" s="3" t="s">
        <v>1584</v>
      </c>
      <c r="C1404" s="4">
        <f t="shared" ca="1" si="51"/>
        <v>45727</v>
      </c>
      <c r="D1404" s="4">
        <f ca="1">TODAY()-280</f>
        <v>45757</v>
      </c>
      <c r="E1404" s="3" t="s">
        <v>1032</v>
      </c>
      <c r="F1404" s="43" t="b">
        <v>1</v>
      </c>
      <c r="G1404" s="43" t="b">
        <v>0</v>
      </c>
      <c r="H1404" s="44">
        <v>1750</v>
      </c>
    </row>
    <row r="1405" spans="1:8" x14ac:dyDescent="0.3">
      <c r="A1405" s="42" t="s">
        <v>1372</v>
      </c>
      <c r="B1405" s="3" t="s">
        <v>1373</v>
      </c>
      <c r="C1405" s="4">
        <f t="shared" ca="1" si="51"/>
        <v>45727</v>
      </c>
      <c r="D1405" s="42"/>
      <c r="E1405" s="3" t="s">
        <v>1101</v>
      </c>
      <c r="F1405" s="43" t="b">
        <v>0</v>
      </c>
      <c r="G1405" s="43" t="b">
        <v>0</v>
      </c>
      <c r="H1405" s="44">
        <v>850</v>
      </c>
    </row>
    <row r="1406" spans="1:8" x14ac:dyDescent="0.3">
      <c r="A1406" s="42" t="s">
        <v>1934</v>
      </c>
      <c r="B1406" s="3" t="s">
        <v>1935</v>
      </c>
      <c r="C1406" s="4">
        <f t="shared" ca="1" si="51"/>
        <v>45727</v>
      </c>
      <c r="D1406" s="4">
        <f ca="1">TODAY()-295</f>
        <v>45742</v>
      </c>
      <c r="E1406" s="3" t="s">
        <v>1029</v>
      </c>
      <c r="F1406" s="43" t="b">
        <v>1</v>
      </c>
      <c r="G1406" s="43" t="b">
        <v>1</v>
      </c>
      <c r="H1406" s="44">
        <v>150</v>
      </c>
    </row>
    <row r="1407" spans="1:8" x14ac:dyDescent="0.3">
      <c r="A1407" s="42" t="s">
        <v>1203</v>
      </c>
      <c r="B1407" s="3" t="s">
        <v>1560</v>
      </c>
      <c r="C1407" s="4">
        <f t="shared" ca="1" si="51"/>
        <v>45727</v>
      </c>
      <c r="D1407" s="42"/>
      <c r="E1407" s="3" t="s">
        <v>1070</v>
      </c>
      <c r="F1407" s="43" t="b">
        <v>0</v>
      </c>
      <c r="G1407" s="43" t="b">
        <v>0</v>
      </c>
      <c r="H1407" s="44">
        <v>1250</v>
      </c>
    </row>
    <row r="1408" spans="1:8" x14ac:dyDescent="0.3">
      <c r="A1408" s="42" t="s">
        <v>1640</v>
      </c>
      <c r="B1408" s="3" t="s">
        <v>1745</v>
      </c>
      <c r="C1408" s="4">
        <f t="shared" ca="1" si="51"/>
        <v>45727</v>
      </c>
      <c r="D1408" s="42"/>
      <c r="E1408" s="3" t="s">
        <v>1037</v>
      </c>
      <c r="F1408" s="43" t="b">
        <v>0</v>
      </c>
      <c r="G1408" s="43" t="b">
        <v>0</v>
      </c>
      <c r="H1408" s="44">
        <v>1490</v>
      </c>
    </row>
    <row r="1409" spans="1:8" x14ac:dyDescent="0.3">
      <c r="A1409" s="42" t="s">
        <v>1598</v>
      </c>
      <c r="B1409" s="3" t="s">
        <v>1275</v>
      </c>
      <c r="C1409" s="4">
        <f t="shared" ca="1" si="51"/>
        <v>45727</v>
      </c>
      <c r="D1409" s="4">
        <f ca="1">TODAY()-282</f>
        <v>45755</v>
      </c>
      <c r="E1409" s="3" t="s">
        <v>1029</v>
      </c>
      <c r="F1409" s="43" t="b">
        <v>1</v>
      </c>
      <c r="G1409" s="43" t="b">
        <v>1</v>
      </c>
      <c r="H1409" s="44">
        <v>1570</v>
      </c>
    </row>
    <row r="1410" spans="1:8" x14ac:dyDescent="0.3">
      <c r="A1410" s="42" t="s">
        <v>1374</v>
      </c>
      <c r="B1410" s="3" t="s">
        <v>1959</v>
      </c>
      <c r="C1410" s="4">
        <f t="shared" ca="1" si="51"/>
        <v>45727</v>
      </c>
      <c r="D1410" s="4">
        <f ca="1">TODAY()-298</f>
        <v>45739</v>
      </c>
      <c r="E1410" s="3" t="s">
        <v>1029</v>
      </c>
      <c r="F1410" s="43" t="b">
        <v>1</v>
      </c>
      <c r="G1410" s="43" t="b">
        <v>1</v>
      </c>
      <c r="H1410" s="44">
        <v>240</v>
      </c>
    </row>
    <row r="1411" spans="1:8" x14ac:dyDescent="0.3">
      <c r="A1411" s="42" t="s">
        <v>1808</v>
      </c>
      <c r="B1411" s="3" t="s">
        <v>1809</v>
      </c>
      <c r="C1411" s="4">
        <f t="shared" ca="1" si="51"/>
        <v>45727</v>
      </c>
      <c r="D1411" s="42"/>
      <c r="E1411" s="3" t="s">
        <v>1070</v>
      </c>
      <c r="F1411" s="43" t="b">
        <v>0</v>
      </c>
      <c r="G1411" s="43" t="b">
        <v>0</v>
      </c>
      <c r="H1411" s="44">
        <v>740</v>
      </c>
    </row>
    <row r="1412" spans="1:8" x14ac:dyDescent="0.3">
      <c r="A1412" s="42" t="s">
        <v>1169</v>
      </c>
      <c r="B1412" s="3" t="s">
        <v>1170</v>
      </c>
      <c r="C1412" s="4">
        <f t="shared" ca="1" si="51"/>
        <v>45727</v>
      </c>
      <c r="D1412" s="4">
        <f ca="1">TODAY()-283</f>
        <v>45754</v>
      </c>
      <c r="E1412" s="3" t="s">
        <v>1029</v>
      </c>
      <c r="F1412" s="43" t="b">
        <v>1</v>
      </c>
      <c r="G1412" s="43" t="b">
        <v>1</v>
      </c>
      <c r="H1412" s="44">
        <v>1220</v>
      </c>
    </row>
    <row r="1413" spans="1:8" x14ac:dyDescent="0.3">
      <c r="A1413" s="42" t="s">
        <v>1576</v>
      </c>
      <c r="B1413" s="3" t="s">
        <v>1275</v>
      </c>
      <c r="C1413" s="4">
        <f t="shared" ca="1" si="51"/>
        <v>45727</v>
      </c>
      <c r="D1413" s="4">
        <f ca="1">TODAY()-286</f>
        <v>45751</v>
      </c>
      <c r="E1413" s="3" t="s">
        <v>1032</v>
      </c>
      <c r="F1413" s="43" t="b">
        <v>1</v>
      </c>
      <c r="G1413" s="43" t="b">
        <v>0</v>
      </c>
      <c r="H1413" s="44">
        <v>1140</v>
      </c>
    </row>
    <row r="1414" spans="1:8" x14ac:dyDescent="0.3">
      <c r="A1414" s="42" t="s">
        <v>1328</v>
      </c>
      <c r="B1414" s="3" t="s">
        <v>1329</v>
      </c>
      <c r="C1414" s="4">
        <f t="shared" ca="1" si="51"/>
        <v>45727</v>
      </c>
      <c r="D1414" s="4">
        <f ca="1">TODAY()-293</f>
        <v>45744</v>
      </c>
      <c r="E1414" s="3" t="s">
        <v>1029</v>
      </c>
      <c r="F1414" s="43" t="b">
        <v>1</v>
      </c>
      <c r="G1414" s="43" t="b">
        <v>1</v>
      </c>
      <c r="H1414" s="44">
        <v>1940</v>
      </c>
    </row>
    <row r="1415" spans="1:8" x14ac:dyDescent="0.3">
      <c r="A1415" s="42" t="s">
        <v>1953</v>
      </c>
      <c r="B1415" s="3" t="s">
        <v>1954</v>
      </c>
      <c r="C1415" s="4">
        <f t="shared" ca="1" si="51"/>
        <v>45727</v>
      </c>
      <c r="D1415" s="4">
        <f ca="1">TODAY()-291</f>
        <v>45746</v>
      </c>
      <c r="E1415" s="3" t="s">
        <v>1032</v>
      </c>
      <c r="F1415" s="43" t="b">
        <v>1</v>
      </c>
      <c r="G1415" s="43" t="b">
        <v>0</v>
      </c>
      <c r="H1415" s="44">
        <v>840</v>
      </c>
    </row>
    <row r="1416" spans="1:8" x14ac:dyDescent="0.3">
      <c r="A1416" s="42" t="s">
        <v>1783</v>
      </c>
      <c r="B1416" s="3" t="s">
        <v>1784</v>
      </c>
      <c r="C1416" s="4">
        <f t="shared" ca="1" si="51"/>
        <v>45727</v>
      </c>
      <c r="D1416" s="42"/>
      <c r="E1416" s="3" t="s">
        <v>1108</v>
      </c>
      <c r="F1416" s="43" t="b">
        <v>0</v>
      </c>
      <c r="G1416" s="43" t="b">
        <v>0</v>
      </c>
      <c r="H1416" s="44">
        <v>1020</v>
      </c>
    </row>
    <row r="1417" spans="1:8" x14ac:dyDescent="0.3">
      <c r="A1417" s="42" t="s">
        <v>1689</v>
      </c>
      <c r="B1417" s="3" t="s">
        <v>1701</v>
      </c>
      <c r="C1417" s="4">
        <f t="shared" ca="1" si="51"/>
        <v>45727</v>
      </c>
      <c r="D1417" s="4">
        <f ca="1">TODAY()-294</f>
        <v>45743</v>
      </c>
      <c r="E1417" s="3" t="s">
        <v>1029</v>
      </c>
      <c r="F1417" s="43" t="b">
        <v>1</v>
      </c>
      <c r="G1417" s="43" t="b">
        <v>1</v>
      </c>
      <c r="H1417" s="44">
        <v>4230</v>
      </c>
    </row>
    <row r="1418" spans="1:8" x14ac:dyDescent="0.3">
      <c r="A1418" s="42" t="s">
        <v>1460</v>
      </c>
      <c r="B1418" s="3" t="s">
        <v>1664</v>
      </c>
      <c r="C1418" s="4">
        <f t="shared" ca="1" si="51"/>
        <v>45727</v>
      </c>
      <c r="D1418" s="4">
        <f ca="1">TODAY()-293</f>
        <v>45744</v>
      </c>
      <c r="E1418" s="3" t="s">
        <v>1029</v>
      </c>
      <c r="F1418" s="43" t="b">
        <v>1</v>
      </c>
      <c r="G1418" s="43" t="b">
        <v>1</v>
      </c>
      <c r="H1418" s="44">
        <v>1180</v>
      </c>
    </row>
    <row r="1419" spans="1:8" x14ac:dyDescent="0.3">
      <c r="A1419" s="42" t="s">
        <v>1535</v>
      </c>
      <c r="B1419" s="3" t="s">
        <v>1536</v>
      </c>
      <c r="C1419" s="4">
        <f t="shared" ca="1" si="51"/>
        <v>45727</v>
      </c>
      <c r="D1419" s="4">
        <f ca="1">TODAY()-299</f>
        <v>45738</v>
      </c>
      <c r="E1419" s="3" t="s">
        <v>1029</v>
      </c>
      <c r="F1419" s="43" t="b">
        <v>1</v>
      </c>
      <c r="G1419" s="43" t="b">
        <v>1</v>
      </c>
      <c r="H1419" s="44">
        <v>150</v>
      </c>
    </row>
    <row r="1420" spans="1:8" x14ac:dyDescent="0.3">
      <c r="A1420" s="42" t="s">
        <v>1200</v>
      </c>
      <c r="B1420" s="3" t="s">
        <v>1875</v>
      </c>
      <c r="C1420" s="4">
        <f t="shared" ca="1" si="51"/>
        <v>45727</v>
      </c>
      <c r="D1420" s="42"/>
      <c r="E1420" s="3" t="s">
        <v>1070</v>
      </c>
      <c r="F1420" s="43" t="b">
        <v>0</v>
      </c>
      <c r="G1420" s="43" t="b">
        <v>0</v>
      </c>
      <c r="H1420" s="44">
        <v>740</v>
      </c>
    </row>
    <row r="1421" spans="1:8" x14ac:dyDescent="0.3">
      <c r="A1421" s="42" t="s">
        <v>1603</v>
      </c>
      <c r="B1421" s="3" t="s">
        <v>1604</v>
      </c>
      <c r="C1421" s="4">
        <f t="shared" ca="1" si="51"/>
        <v>45727</v>
      </c>
      <c r="D1421" s="4">
        <f ca="1">TODAY()-291</f>
        <v>45746</v>
      </c>
      <c r="E1421" s="3" t="s">
        <v>1029</v>
      </c>
      <c r="F1421" s="43" t="b">
        <v>1</v>
      </c>
      <c r="G1421" s="43" t="b">
        <v>1</v>
      </c>
      <c r="H1421" s="44">
        <v>720</v>
      </c>
    </row>
    <row r="1422" spans="1:8" x14ac:dyDescent="0.3">
      <c r="A1422" s="42" t="s">
        <v>1960</v>
      </c>
      <c r="B1422" s="3" t="s">
        <v>1961</v>
      </c>
      <c r="C1422" s="4">
        <f t="shared" ca="1" si="51"/>
        <v>45727</v>
      </c>
      <c r="D1422" s="4">
        <f ca="1">TODAY()-297</f>
        <v>45740</v>
      </c>
      <c r="E1422" s="3" t="s">
        <v>1032</v>
      </c>
      <c r="F1422" s="43" t="b">
        <v>1</v>
      </c>
      <c r="G1422" s="43" t="b">
        <v>0</v>
      </c>
      <c r="H1422" s="44">
        <v>980</v>
      </c>
    </row>
    <row r="1423" spans="1:8" x14ac:dyDescent="0.3">
      <c r="A1423" s="42" t="s">
        <v>1460</v>
      </c>
      <c r="B1423" s="3" t="s">
        <v>1461</v>
      </c>
      <c r="C1423" s="4">
        <f t="shared" ca="1" si="51"/>
        <v>45727</v>
      </c>
      <c r="D1423" s="4">
        <f ca="1">TODAY()-287</f>
        <v>45750</v>
      </c>
      <c r="E1423" s="3" t="s">
        <v>1032</v>
      </c>
      <c r="F1423" s="43" t="b">
        <v>1</v>
      </c>
      <c r="G1423" s="43" t="b">
        <v>0</v>
      </c>
      <c r="H1423" s="44">
        <v>960</v>
      </c>
    </row>
    <row r="1424" spans="1:8" x14ac:dyDescent="0.3">
      <c r="A1424" s="42" t="s">
        <v>1562</v>
      </c>
      <c r="B1424" s="3" t="s">
        <v>1563</v>
      </c>
      <c r="C1424" s="4">
        <f t="shared" ca="1" si="51"/>
        <v>45727</v>
      </c>
      <c r="D1424" s="4">
        <f ca="1">TODAY()-293</f>
        <v>45744</v>
      </c>
      <c r="E1424" s="3" t="s">
        <v>1032</v>
      </c>
      <c r="F1424" s="43" t="b">
        <v>1</v>
      </c>
      <c r="G1424" s="43" t="b">
        <v>0</v>
      </c>
      <c r="H1424" s="44">
        <v>2400</v>
      </c>
    </row>
    <row r="1425" spans="1:8" x14ac:dyDescent="0.3">
      <c r="A1425" s="42" t="s">
        <v>1215</v>
      </c>
      <c r="B1425" s="3" t="s">
        <v>1511</v>
      </c>
      <c r="C1425" s="4">
        <f t="shared" ca="1" si="51"/>
        <v>45727</v>
      </c>
      <c r="D1425" s="42"/>
      <c r="E1425" s="3" t="s">
        <v>1037</v>
      </c>
      <c r="F1425" s="43" t="b">
        <v>0</v>
      </c>
      <c r="G1425" s="43" t="b">
        <v>0</v>
      </c>
      <c r="H1425" s="44">
        <v>940</v>
      </c>
    </row>
    <row r="1426" spans="1:8" x14ac:dyDescent="0.3">
      <c r="A1426" s="42" t="s">
        <v>1507</v>
      </c>
      <c r="B1426" s="3" t="s">
        <v>1508</v>
      </c>
      <c r="C1426" s="4">
        <f t="shared" ca="1" si="51"/>
        <v>45727</v>
      </c>
      <c r="D1426" s="4">
        <f ca="1">TODAY()-281</f>
        <v>45756</v>
      </c>
      <c r="E1426" s="3" t="s">
        <v>1029</v>
      </c>
      <c r="F1426" s="43" t="b">
        <v>1</v>
      </c>
      <c r="G1426" s="43" t="b">
        <v>1</v>
      </c>
      <c r="H1426" s="44">
        <v>1200</v>
      </c>
    </row>
    <row r="1427" spans="1:8" x14ac:dyDescent="0.3">
      <c r="A1427" s="42" t="s">
        <v>1713</v>
      </c>
      <c r="B1427" s="3" t="s">
        <v>1714</v>
      </c>
      <c r="C1427" s="4">
        <f t="shared" ca="1" si="51"/>
        <v>45727</v>
      </c>
      <c r="D1427" s="4">
        <f ca="1">TODAY()-283</f>
        <v>45754</v>
      </c>
      <c r="E1427" s="3" t="s">
        <v>1029</v>
      </c>
      <c r="F1427" s="43" t="b">
        <v>1</v>
      </c>
      <c r="G1427" s="43" t="b">
        <v>1</v>
      </c>
      <c r="H1427" s="44">
        <v>1460</v>
      </c>
    </row>
    <row r="1428" spans="1:8" x14ac:dyDescent="0.3">
      <c r="A1428" s="42" t="s">
        <v>1215</v>
      </c>
      <c r="B1428" s="3" t="s">
        <v>1511</v>
      </c>
      <c r="C1428" s="4">
        <f t="shared" ca="1" si="51"/>
        <v>45727</v>
      </c>
      <c r="D1428" s="42"/>
      <c r="E1428" s="3" t="s">
        <v>1037</v>
      </c>
      <c r="F1428" s="43" t="b">
        <v>0</v>
      </c>
      <c r="G1428" s="43" t="b">
        <v>0</v>
      </c>
      <c r="H1428" s="44">
        <v>940</v>
      </c>
    </row>
    <row r="1429" spans="1:8" x14ac:dyDescent="0.3">
      <c r="A1429" s="42" t="s">
        <v>1042</v>
      </c>
      <c r="B1429" s="3" t="s">
        <v>1615</v>
      </c>
      <c r="C1429" s="4">
        <f t="shared" ca="1" si="51"/>
        <v>45727</v>
      </c>
      <c r="D1429" s="4">
        <f ca="1">TODAY()-287</f>
        <v>45750</v>
      </c>
      <c r="E1429" s="3" t="s">
        <v>1029</v>
      </c>
      <c r="F1429" s="43" t="b">
        <v>1</v>
      </c>
      <c r="G1429" s="43" t="b">
        <v>1</v>
      </c>
      <c r="H1429" s="44">
        <v>3800</v>
      </c>
    </row>
    <row r="1430" spans="1:8" x14ac:dyDescent="0.3">
      <c r="A1430" s="42" t="s">
        <v>1104</v>
      </c>
      <c r="B1430" s="3" t="s">
        <v>1789</v>
      </c>
      <c r="C1430" s="4">
        <f t="shared" ca="1" si="51"/>
        <v>45727</v>
      </c>
      <c r="D1430" s="4">
        <f ca="1">TODAY()-280</f>
        <v>45757</v>
      </c>
      <c r="E1430" s="3" t="s">
        <v>1029</v>
      </c>
      <c r="F1430" s="43" t="b">
        <v>1</v>
      </c>
      <c r="G1430" s="43" t="b">
        <v>1</v>
      </c>
      <c r="H1430" s="44">
        <v>2170</v>
      </c>
    </row>
    <row r="1431" spans="1:8" x14ac:dyDescent="0.3">
      <c r="A1431" s="42" t="s">
        <v>1694</v>
      </c>
      <c r="B1431" s="3" t="s">
        <v>1608</v>
      </c>
      <c r="C1431" s="4">
        <f t="shared" ca="1" si="51"/>
        <v>45727</v>
      </c>
      <c r="D1431" s="4">
        <f ca="1">TODAY()-288</f>
        <v>45749</v>
      </c>
      <c r="E1431" s="3" t="s">
        <v>1032</v>
      </c>
      <c r="F1431" s="43" t="b">
        <v>1</v>
      </c>
      <c r="G1431" s="43" t="b">
        <v>0</v>
      </c>
      <c r="H1431" s="44">
        <v>1470</v>
      </c>
    </row>
    <row r="1432" spans="1:8" x14ac:dyDescent="0.3">
      <c r="A1432" s="42" t="s">
        <v>1517</v>
      </c>
      <c r="B1432" s="3" t="s">
        <v>1114</v>
      </c>
      <c r="C1432" s="4">
        <f t="shared" ca="1" si="51"/>
        <v>45727</v>
      </c>
      <c r="D1432" s="42"/>
      <c r="E1432" s="3" t="s">
        <v>1037</v>
      </c>
      <c r="F1432" s="43" t="b">
        <v>0</v>
      </c>
      <c r="G1432" s="43" t="b">
        <v>0</v>
      </c>
      <c r="H1432" s="44">
        <v>2180</v>
      </c>
    </row>
    <row r="1433" spans="1:8" x14ac:dyDescent="0.3">
      <c r="A1433" s="42" t="s">
        <v>1805</v>
      </c>
      <c r="B1433" s="3" t="s">
        <v>1806</v>
      </c>
      <c r="C1433" s="4">
        <f t="shared" ca="1" si="51"/>
        <v>45727</v>
      </c>
      <c r="D1433" s="4">
        <f ca="1">TODAY()-299</f>
        <v>45738</v>
      </c>
      <c r="E1433" s="3" t="s">
        <v>1032</v>
      </c>
      <c r="F1433" s="43" t="b">
        <v>1</v>
      </c>
      <c r="G1433" s="43" t="b">
        <v>0</v>
      </c>
      <c r="H1433" s="44">
        <v>960</v>
      </c>
    </row>
    <row r="1434" spans="1:8" x14ac:dyDescent="0.3">
      <c r="A1434" s="42" t="s">
        <v>1190</v>
      </c>
      <c r="B1434" s="3" t="s">
        <v>1534</v>
      </c>
      <c r="C1434" s="4">
        <f t="shared" ca="1" si="51"/>
        <v>45727</v>
      </c>
      <c r="D1434" s="4">
        <f ca="1">TODAY()-283</f>
        <v>45754</v>
      </c>
      <c r="E1434" s="3" t="s">
        <v>1029</v>
      </c>
      <c r="F1434" s="43" t="b">
        <v>1</v>
      </c>
      <c r="G1434" s="43" t="b">
        <v>1</v>
      </c>
      <c r="H1434" s="44">
        <v>1880</v>
      </c>
    </row>
    <row r="1435" spans="1:8" x14ac:dyDescent="0.3">
      <c r="A1435" s="42" t="s">
        <v>1091</v>
      </c>
      <c r="B1435" s="3" t="s">
        <v>1092</v>
      </c>
      <c r="C1435" s="4">
        <f t="shared" ca="1" si="51"/>
        <v>45727</v>
      </c>
      <c r="D1435" s="4">
        <f ca="1">TODAY()-298</f>
        <v>45739</v>
      </c>
      <c r="E1435" s="3" t="s">
        <v>1032</v>
      </c>
      <c r="F1435" s="43" t="b">
        <v>1</v>
      </c>
      <c r="G1435" s="43" t="b">
        <v>0</v>
      </c>
      <c r="H1435" s="44">
        <v>580</v>
      </c>
    </row>
    <row r="1436" spans="1:8" x14ac:dyDescent="0.3">
      <c r="A1436" s="42" t="s">
        <v>1087</v>
      </c>
      <c r="B1436" s="3" t="s">
        <v>1088</v>
      </c>
      <c r="C1436" s="4">
        <f t="shared" ca="1" si="51"/>
        <v>45727</v>
      </c>
      <c r="D1436" s="4">
        <f ca="1">TODAY()-289</f>
        <v>45748</v>
      </c>
      <c r="E1436" s="3" t="s">
        <v>1032</v>
      </c>
      <c r="F1436" s="43" t="b">
        <v>1</v>
      </c>
      <c r="G1436" s="43" t="b">
        <v>0</v>
      </c>
      <c r="H1436" s="44">
        <v>850</v>
      </c>
    </row>
    <row r="1437" spans="1:8" x14ac:dyDescent="0.3">
      <c r="A1437" s="42" t="s">
        <v>1529</v>
      </c>
      <c r="B1437" s="3" t="s">
        <v>1443</v>
      </c>
      <c r="C1437" s="4">
        <f t="shared" ca="1" si="51"/>
        <v>45727</v>
      </c>
      <c r="D1437" s="4">
        <f ca="1">TODAY()-288</f>
        <v>45749</v>
      </c>
      <c r="E1437" s="3" t="s">
        <v>1032</v>
      </c>
      <c r="F1437" s="43" t="b">
        <v>1</v>
      </c>
      <c r="G1437" s="43" t="b">
        <v>0</v>
      </c>
      <c r="H1437" s="44">
        <v>1570</v>
      </c>
    </row>
    <row r="1438" spans="1:8" x14ac:dyDescent="0.3">
      <c r="A1438" s="42" t="s">
        <v>1799</v>
      </c>
      <c r="B1438" s="3" t="s">
        <v>1889</v>
      </c>
      <c r="C1438" s="4">
        <f t="shared" ca="1" si="51"/>
        <v>45727</v>
      </c>
      <c r="D1438" s="4">
        <f ca="1">TODAY()-285</f>
        <v>45752</v>
      </c>
      <c r="E1438" s="3" t="s">
        <v>1032</v>
      </c>
      <c r="F1438" s="43" t="b">
        <v>1</v>
      </c>
      <c r="G1438" s="43" t="b">
        <v>0</v>
      </c>
      <c r="H1438" s="44">
        <v>1340</v>
      </c>
    </row>
    <row r="1439" spans="1:8" x14ac:dyDescent="0.3">
      <c r="A1439" s="42" t="s">
        <v>1399</v>
      </c>
      <c r="B1439" s="3" t="s">
        <v>1962</v>
      </c>
      <c r="C1439" s="4">
        <f t="shared" ca="1" si="51"/>
        <v>45727</v>
      </c>
      <c r="D1439" s="4">
        <f ca="1">TODAY()-284</f>
        <v>45753</v>
      </c>
      <c r="E1439" s="3" t="s">
        <v>1029</v>
      </c>
      <c r="F1439" s="43" t="b">
        <v>1</v>
      </c>
      <c r="G1439" s="43" t="b">
        <v>1</v>
      </c>
      <c r="H1439" s="44">
        <v>1830</v>
      </c>
    </row>
    <row r="1440" spans="1:8" x14ac:dyDescent="0.3">
      <c r="A1440" s="42" t="s">
        <v>1348</v>
      </c>
      <c r="B1440" s="3" t="s">
        <v>1480</v>
      </c>
      <c r="C1440" s="4">
        <f t="shared" ca="1" si="51"/>
        <v>45727</v>
      </c>
      <c r="D1440" s="42"/>
      <c r="E1440" s="3" t="s">
        <v>1108</v>
      </c>
      <c r="F1440" s="43" t="b">
        <v>0</v>
      </c>
      <c r="G1440" s="43" t="b">
        <v>0</v>
      </c>
      <c r="H1440" s="44">
        <v>2330</v>
      </c>
    </row>
    <row r="1441" spans="1:8" x14ac:dyDescent="0.3">
      <c r="A1441" s="42" t="s">
        <v>1161</v>
      </c>
      <c r="B1441" s="3" t="s">
        <v>1248</v>
      </c>
      <c r="C1441" s="4">
        <f t="shared" ca="1" si="51"/>
        <v>45727</v>
      </c>
      <c r="D1441" s="4">
        <f ca="1">TODAY()-285</f>
        <v>45752</v>
      </c>
      <c r="E1441" s="3" t="s">
        <v>1029</v>
      </c>
      <c r="F1441" s="43" t="b">
        <v>1</v>
      </c>
      <c r="G1441" s="43" t="b">
        <v>1</v>
      </c>
      <c r="H1441" s="44">
        <v>2440</v>
      </c>
    </row>
    <row r="1442" spans="1:8" x14ac:dyDescent="0.3">
      <c r="A1442" s="42" t="s">
        <v>1576</v>
      </c>
      <c r="B1442" s="3" t="s">
        <v>1577</v>
      </c>
      <c r="C1442" s="4">
        <f t="shared" ca="1" si="51"/>
        <v>45727</v>
      </c>
      <c r="D1442" s="42"/>
      <c r="E1442" s="3" t="s">
        <v>1077</v>
      </c>
      <c r="F1442" s="43" t="b">
        <v>0</v>
      </c>
      <c r="G1442" s="43" t="b">
        <v>0</v>
      </c>
      <c r="H1442" s="44">
        <v>590</v>
      </c>
    </row>
    <row r="1443" spans="1:8" x14ac:dyDescent="0.3">
      <c r="A1443" s="42" t="s">
        <v>1379</v>
      </c>
      <c r="B1443" s="3" t="s">
        <v>1380</v>
      </c>
      <c r="C1443" s="4">
        <f t="shared" ca="1" si="51"/>
        <v>45727</v>
      </c>
      <c r="D1443" s="42"/>
      <c r="E1443" s="3" t="s">
        <v>1037</v>
      </c>
      <c r="F1443" s="43" t="b">
        <v>0</v>
      </c>
      <c r="G1443" s="43" t="b">
        <v>0</v>
      </c>
      <c r="H1443" s="44">
        <v>1910</v>
      </c>
    </row>
    <row r="1444" spans="1:8" x14ac:dyDescent="0.3">
      <c r="A1444" s="42" t="s">
        <v>1825</v>
      </c>
      <c r="B1444" s="3" t="s">
        <v>1826</v>
      </c>
      <c r="C1444" s="4">
        <f t="shared" ca="1" si="51"/>
        <v>45727</v>
      </c>
      <c r="D1444" s="4">
        <f ca="1">TODAY()-298</f>
        <v>45739</v>
      </c>
      <c r="E1444" s="3" t="s">
        <v>1032</v>
      </c>
      <c r="F1444" s="43" t="b">
        <v>1</v>
      </c>
      <c r="G1444" s="43" t="b">
        <v>0</v>
      </c>
      <c r="H1444" s="44">
        <v>1780</v>
      </c>
    </row>
    <row r="1445" spans="1:8" x14ac:dyDescent="0.3">
      <c r="A1445" s="42" t="s">
        <v>1680</v>
      </c>
      <c r="B1445" s="3" t="s">
        <v>1681</v>
      </c>
      <c r="C1445" s="4">
        <f t="shared" ca="1" si="51"/>
        <v>45727</v>
      </c>
      <c r="D1445" s="4">
        <f ca="1">TODAY()-295</f>
        <v>45742</v>
      </c>
      <c r="E1445" s="3" t="s">
        <v>1029</v>
      </c>
      <c r="F1445" s="43" t="b">
        <v>1</v>
      </c>
      <c r="G1445" s="43" t="b">
        <v>1</v>
      </c>
      <c r="H1445" s="44">
        <v>2420</v>
      </c>
    </row>
    <row r="1446" spans="1:8" x14ac:dyDescent="0.3">
      <c r="A1446" s="42" t="s">
        <v>1955</v>
      </c>
      <c r="B1446" s="3" t="s">
        <v>1275</v>
      </c>
      <c r="C1446" s="4">
        <f t="shared" ca="1" si="51"/>
        <v>45727</v>
      </c>
      <c r="D1446" s="4">
        <f ca="1">TODAY()-280</f>
        <v>45757</v>
      </c>
      <c r="E1446" s="3" t="s">
        <v>1029</v>
      </c>
      <c r="F1446" s="43" t="b">
        <v>1</v>
      </c>
      <c r="G1446" s="43" t="b">
        <v>1</v>
      </c>
      <c r="H1446" s="44">
        <v>1900</v>
      </c>
    </row>
    <row r="1447" spans="1:8" x14ac:dyDescent="0.3">
      <c r="A1447" s="42" t="s">
        <v>1941</v>
      </c>
      <c r="B1447" s="3" t="s">
        <v>1114</v>
      </c>
      <c r="C1447" s="4">
        <f t="shared" ca="1" si="51"/>
        <v>45727</v>
      </c>
      <c r="D1447" s="4">
        <f ca="1">TODAY()-292</f>
        <v>45745</v>
      </c>
      <c r="E1447" s="3" t="s">
        <v>1029</v>
      </c>
      <c r="F1447" s="43" t="b">
        <v>1</v>
      </c>
      <c r="G1447" s="43" t="b">
        <v>1</v>
      </c>
      <c r="H1447" s="44">
        <v>4410</v>
      </c>
    </row>
    <row r="1448" spans="1:8" x14ac:dyDescent="0.3">
      <c r="A1448" s="42" t="s">
        <v>1620</v>
      </c>
      <c r="B1448" s="3" t="s">
        <v>1807</v>
      </c>
      <c r="C1448" s="4">
        <f t="shared" ca="1" si="51"/>
        <v>45727</v>
      </c>
      <c r="D1448" s="4">
        <f ca="1">TODAY()-300</f>
        <v>45737</v>
      </c>
      <c r="E1448" s="3" t="s">
        <v>1029</v>
      </c>
      <c r="F1448" s="43" t="b">
        <v>1</v>
      </c>
      <c r="G1448" s="43" t="b">
        <v>1</v>
      </c>
      <c r="H1448" s="44">
        <v>1000</v>
      </c>
    </row>
    <row r="1449" spans="1:8" x14ac:dyDescent="0.3">
      <c r="A1449" s="42" t="s">
        <v>1263</v>
      </c>
      <c r="B1449" s="3" t="s">
        <v>1629</v>
      </c>
      <c r="C1449" s="4">
        <f t="shared" ca="1" si="51"/>
        <v>45727</v>
      </c>
      <c r="D1449" s="42"/>
      <c r="E1449" s="3" t="s">
        <v>1103</v>
      </c>
      <c r="F1449" s="43" t="b">
        <v>0</v>
      </c>
      <c r="G1449" s="43" t="b">
        <v>0</v>
      </c>
      <c r="H1449" s="44">
        <v>960</v>
      </c>
    </row>
    <row r="1450" spans="1:8" x14ac:dyDescent="0.3">
      <c r="A1450" s="42" t="s">
        <v>1071</v>
      </c>
      <c r="B1450" s="3" t="s">
        <v>1072</v>
      </c>
      <c r="C1450" s="4">
        <f t="shared" ca="1" si="51"/>
        <v>45727</v>
      </c>
      <c r="D1450" s="4">
        <f ca="1">TODAY()-299</f>
        <v>45738</v>
      </c>
      <c r="E1450" s="3" t="s">
        <v>1029</v>
      </c>
      <c r="F1450" s="43" t="b">
        <v>1</v>
      </c>
      <c r="G1450" s="43" t="b">
        <v>1</v>
      </c>
      <c r="H1450" s="44">
        <v>760</v>
      </c>
    </row>
    <row r="1451" spans="1:8" x14ac:dyDescent="0.3">
      <c r="A1451" s="42" t="s">
        <v>1476</v>
      </c>
      <c r="B1451" s="3" t="s">
        <v>1477</v>
      </c>
      <c r="C1451" s="4">
        <f t="shared" ca="1" si="51"/>
        <v>45727</v>
      </c>
      <c r="D1451" s="4">
        <f ca="1">TODAY()-286</f>
        <v>45751</v>
      </c>
      <c r="E1451" s="3" t="s">
        <v>1029</v>
      </c>
      <c r="F1451" s="43" t="b">
        <v>1</v>
      </c>
      <c r="G1451" s="43" t="b">
        <v>1</v>
      </c>
      <c r="H1451" s="44">
        <v>1720</v>
      </c>
    </row>
    <row r="1452" spans="1:8" x14ac:dyDescent="0.3">
      <c r="A1452" s="42" t="s">
        <v>1894</v>
      </c>
      <c r="B1452" s="3" t="s">
        <v>1247</v>
      </c>
      <c r="C1452" s="4">
        <f t="shared" ca="1" si="51"/>
        <v>45727</v>
      </c>
      <c r="D1452" s="4">
        <f ca="1">TODAY()-280</f>
        <v>45757</v>
      </c>
      <c r="E1452" s="3" t="s">
        <v>1032</v>
      </c>
      <c r="F1452" s="43" t="b">
        <v>1</v>
      </c>
      <c r="G1452" s="43" t="b">
        <v>0</v>
      </c>
      <c r="H1452" s="44">
        <v>810</v>
      </c>
    </row>
    <row r="1453" spans="1:8" x14ac:dyDescent="0.3">
      <c r="A1453" s="42" t="s">
        <v>1466</v>
      </c>
      <c r="B1453" s="3" t="s">
        <v>1467</v>
      </c>
      <c r="C1453" s="4">
        <f t="shared" ca="1" si="51"/>
        <v>45727</v>
      </c>
      <c r="D1453" s="42"/>
      <c r="E1453" s="3" t="s">
        <v>1037</v>
      </c>
      <c r="F1453" s="43" t="b">
        <v>0</v>
      </c>
      <c r="G1453" s="43" t="b">
        <v>0</v>
      </c>
      <c r="H1453" s="44">
        <v>2400</v>
      </c>
    </row>
    <row r="1454" spans="1:8" x14ac:dyDescent="0.3">
      <c r="A1454" s="42" t="s">
        <v>1409</v>
      </c>
      <c r="B1454" s="3" t="s">
        <v>1410</v>
      </c>
      <c r="C1454" s="4">
        <f t="shared" ref="C1454:C1574" ca="1" si="57">TODAY()-280</f>
        <v>45757</v>
      </c>
      <c r="D1454" s="4">
        <f ca="1">TODAY()-270</f>
        <v>45767</v>
      </c>
      <c r="E1454" s="3" t="s">
        <v>1032</v>
      </c>
      <c r="F1454" s="43" t="b">
        <v>1</v>
      </c>
      <c r="G1454" s="43" t="b">
        <v>0</v>
      </c>
      <c r="H1454" s="44">
        <v>560</v>
      </c>
    </row>
    <row r="1455" spans="1:8" x14ac:dyDescent="0.3">
      <c r="A1455" s="42" t="s">
        <v>1605</v>
      </c>
      <c r="B1455" s="3" t="s">
        <v>1963</v>
      </c>
      <c r="C1455" s="4">
        <f t="shared" ca="1" si="57"/>
        <v>45757</v>
      </c>
      <c r="D1455" s="4">
        <f ca="1">TODAY()-263</f>
        <v>45774</v>
      </c>
      <c r="E1455" s="3" t="s">
        <v>1029</v>
      </c>
      <c r="F1455" s="43" t="b">
        <v>1</v>
      </c>
      <c r="G1455" s="43" t="b">
        <v>1</v>
      </c>
      <c r="H1455" s="44">
        <v>1430</v>
      </c>
    </row>
    <row r="1456" spans="1:8" x14ac:dyDescent="0.3">
      <c r="A1456" s="42" t="s">
        <v>1532</v>
      </c>
      <c r="B1456" s="3" t="s">
        <v>1906</v>
      </c>
      <c r="C1456" s="4">
        <f t="shared" ca="1" si="57"/>
        <v>45757</v>
      </c>
      <c r="D1456" s="4">
        <f ca="1">TODAY()-267</f>
        <v>45770</v>
      </c>
      <c r="E1456" s="3" t="s">
        <v>1032</v>
      </c>
      <c r="F1456" s="43" t="b">
        <v>1</v>
      </c>
      <c r="G1456" s="43" t="b">
        <v>0</v>
      </c>
      <c r="H1456" s="44">
        <v>1850</v>
      </c>
    </row>
    <row r="1457" spans="1:8" x14ac:dyDescent="0.3">
      <c r="A1457" s="42" t="s">
        <v>1352</v>
      </c>
      <c r="B1457" s="3" t="s">
        <v>1353</v>
      </c>
      <c r="C1457" s="4">
        <f t="shared" ca="1" si="57"/>
        <v>45757</v>
      </c>
      <c r="D1457" s="4">
        <f ca="1">TODAY()-253</f>
        <v>45784</v>
      </c>
      <c r="E1457" s="3" t="s">
        <v>1029</v>
      </c>
      <c r="F1457" s="43" t="b">
        <v>1</v>
      </c>
      <c r="G1457" s="43" t="b">
        <v>1</v>
      </c>
      <c r="H1457" s="44">
        <v>1170</v>
      </c>
    </row>
    <row r="1458" spans="1:8" x14ac:dyDescent="0.3">
      <c r="A1458" s="42" t="s">
        <v>1245</v>
      </c>
      <c r="B1458" s="3" t="s">
        <v>1275</v>
      </c>
      <c r="C1458" s="4">
        <f t="shared" ca="1" si="57"/>
        <v>45757</v>
      </c>
      <c r="D1458" s="4">
        <f ca="1">TODAY()-255</f>
        <v>45782</v>
      </c>
      <c r="E1458" s="3" t="s">
        <v>1029</v>
      </c>
      <c r="F1458" s="43" t="b">
        <v>1</v>
      </c>
      <c r="G1458" s="43" t="b">
        <v>1</v>
      </c>
      <c r="H1458" s="44">
        <v>1500</v>
      </c>
    </row>
    <row r="1459" spans="1:8" x14ac:dyDescent="0.3">
      <c r="A1459" s="42" t="s">
        <v>1211</v>
      </c>
      <c r="B1459" s="3" t="s">
        <v>1212</v>
      </c>
      <c r="C1459" s="4">
        <f t="shared" ca="1" si="57"/>
        <v>45757</v>
      </c>
      <c r="D1459" s="4">
        <f ca="1">TODAY()-250</f>
        <v>45787</v>
      </c>
      <c r="E1459" s="3" t="s">
        <v>1029</v>
      </c>
      <c r="F1459" s="43" t="b">
        <v>1</v>
      </c>
      <c r="G1459" s="43" t="b">
        <v>1</v>
      </c>
      <c r="H1459" s="44">
        <v>4300</v>
      </c>
    </row>
    <row r="1460" spans="1:8" x14ac:dyDescent="0.3">
      <c r="A1460" s="42" t="s">
        <v>1046</v>
      </c>
      <c r="B1460" s="3" t="s">
        <v>1047</v>
      </c>
      <c r="C1460" s="4">
        <f t="shared" ca="1" si="57"/>
        <v>45757</v>
      </c>
      <c r="D1460" s="4">
        <f ca="1">TODAY()-269</f>
        <v>45768</v>
      </c>
      <c r="E1460" s="3" t="s">
        <v>1029</v>
      </c>
      <c r="F1460" s="43" t="b">
        <v>1</v>
      </c>
      <c r="G1460" s="43" t="b">
        <v>1</v>
      </c>
      <c r="H1460" s="44">
        <v>2270</v>
      </c>
    </row>
    <row r="1461" spans="1:8" x14ac:dyDescent="0.3">
      <c r="A1461" s="42" t="s">
        <v>1964</v>
      </c>
      <c r="B1461" s="3" t="s">
        <v>1965</v>
      </c>
      <c r="C1461" s="4">
        <f t="shared" ca="1" si="57"/>
        <v>45757</v>
      </c>
      <c r="D1461" s="4">
        <f ca="1">TODAY()-262</f>
        <v>45775</v>
      </c>
      <c r="E1461" s="3" t="s">
        <v>1032</v>
      </c>
      <c r="F1461" s="43" t="b">
        <v>1</v>
      </c>
      <c r="G1461" s="43" t="b">
        <v>0</v>
      </c>
      <c r="H1461" s="44">
        <v>1470</v>
      </c>
    </row>
    <row r="1462" spans="1:8" x14ac:dyDescent="0.3">
      <c r="A1462" s="42" t="s">
        <v>1884</v>
      </c>
      <c r="B1462" s="3" t="s">
        <v>1885</v>
      </c>
      <c r="C1462" s="4">
        <f t="shared" ca="1" si="57"/>
        <v>45757</v>
      </c>
      <c r="D1462" s="4">
        <f ca="1">TODAY()-268</f>
        <v>45769</v>
      </c>
      <c r="E1462" s="3" t="s">
        <v>1032</v>
      </c>
      <c r="F1462" s="43" t="b">
        <v>1</v>
      </c>
      <c r="G1462" s="43" t="b">
        <v>0</v>
      </c>
      <c r="H1462" s="44">
        <v>380</v>
      </c>
    </row>
    <row r="1463" spans="1:8" x14ac:dyDescent="0.3">
      <c r="A1463" s="42" t="s">
        <v>1535</v>
      </c>
      <c r="B1463" s="3" t="s">
        <v>1597</v>
      </c>
      <c r="C1463" s="4">
        <f t="shared" ca="1" si="57"/>
        <v>45757</v>
      </c>
      <c r="D1463" s="4">
        <f ca="1">TODAY()-256</f>
        <v>45781</v>
      </c>
      <c r="E1463" s="3" t="s">
        <v>1029</v>
      </c>
      <c r="F1463" s="43" t="b">
        <v>1</v>
      </c>
      <c r="G1463" s="43" t="b">
        <v>1</v>
      </c>
      <c r="H1463" s="44">
        <v>1480</v>
      </c>
    </row>
    <row r="1464" spans="1:8" x14ac:dyDescent="0.3">
      <c r="A1464" s="42" t="s">
        <v>1446</v>
      </c>
      <c r="B1464" s="3" t="s">
        <v>1447</v>
      </c>
      <c r="C1464" s="4">
        <f t="shared" ca="1" si="57"/>
        <v>45757</v>
      </c>
      <c r="D1464" s="4">
        <f ca="1">TODAY()-264</f>
        <v>45773</v>
      </c>
      <c r="E1464" s="3" t="s">
        <v>1029</v>
      </c>
      <c r="F1464" s="43" t="b">
        <v>1</v>
      </c>
      <c r="G1464" s="43" t="b">
        <v>1</v>
      </c>
      <c r="H1464" s="44">
        <v>2460</v>
      </c>
    </row>
    <row r="1465" spans="1:8" x14ac:dyDescent="0.3">
      <c r="A1465" s="42" t="s">
        <v>1553</v>
      </c>
      <c r="B1465" s="3" t="s">
        <v>1945</v>
      </c>
      <c r="C1465" s="4">
        <f t="shared" ca="1" si="57"/>
        <v>45757</v>
      </c>
      <c r="D1465" s="4">
        <f ca="1">TODAY()-259</f>
        <v>45778</v>
      </c>
      <c r="E1465" s="3" t="s">
        <v>1032</v>
      </c>
      <c r="F1465" s="43" t="b">
        <v>1</v>
      </c>
      <c r="G1465" s="43" t="b">
        <v>0</v>
      </c>
      <c r="H1465" s="44">
        <v>640</v>
      </c>
    </row>
    <row r="1466" spans="1:8" x14ac:dyDescent="0.3">
      <c r="A1466" s="42" t="s">
        <v>1966</v>
      </c>
      <c r="B1466" s="3" t="s">
        <v>1967</v>
      </c>
      <c r="C1466" s="4">
        <f t="shared" ca="1" si="57"/>
        <v>45757</v>
      </c>
      <c r="D1466" s="4">
        <f ca="1">TODAY()-268</f>
        <v>45769</v>
      </c>
      <c r="E1466" s="3" t="s">
        <v>1032</v>
      </c>
      <c r="F1466" s="43" t="b">
        <v>1</v>
      </c>
      <c r="G1466" s="43" t="b">
        <v>0</v>
      </c>
      <c r="H1466" s="44">
        <v>1270</v>
      </c>
    </row>
    <row r="1467" spans="1:8" x14ac:dyDescent="0.3">
      <c r="A1467" s="42" t="s">
        <v>1304</v>
      </c>
      <c r="B1467" s="3" t="s">
        <v>1305</v>
      </c>
      <c r="C1467" s="4">
        <f t="shared" ca="1" si="57"/>
        <v>45757</v>
      </c>
      <c r="D1467" s="4">
        <f ca="1">TODAY()-261</f>
        <v>45776</v>
      </c>
      <c r="E1467" s="3" t="s">
        <v>1032</v>
      </c>
      <c r="F1467" s="43" t="b">
        <v>1</v>
      </c>
      <c r="G1467" s="43" t="b">
        <v>0</v>
      </c>
      <c r="H1467" s="44">
        <v>1300</v>
      </c>
    </row>
    <row r="1468" spans="1:8" x14ac:dyDescent="0.3">
      <c r="A1468" s="42" t="s">
        <v>1571</v>
      </c>
      <c r="B1468" s="3" t="s">
        <v>1432</v>
      </c>
      <c r="C1468" s="4">
        <f t="shared" ca="1" si="57"/>
        <v>45757</v>
      </c>
      <c r="D1468" s="4">
        <f ca="1">TODAY()-264</f>
        <v>45773</v>
      </c>
      <c r="E1468" s="3" t="s">
        <v>1029</v>
      </c>
      <c r="F1468" s="43" t="b">
        <v>1</v>
      </c>
      <c r="G1468" s="43" t="b">
        <v>1</v>
      </c>
      <c r="H1468" s="44">
        <v>1050</v>
      </c>
    </row>
    <row r="1469" spans="1:8" x14ac:dyDescent="0.3">
      <c r="A1469" s="42" t="s">
        <v>1137</v>
      </c>
      <c r="B1469" s="3" t="s">
        <v>1138</v>
      </c>
      <c r="C1469" s="4">
        <f t="shared" ca="1" si="57"/>
        <v>45757</v>
      </c>
      <c r="D1469" s="4">
        <f ca="1">TODAY()-261</f>
        <v>45776</v>
      </c>
      <c r="E1469" s="3" t="s">
        <v>1029</v>
      </c>
      <c r="F1469" s="43" t="b">
        <v>1</v>
      </c>
      <c r="G1469" s="43" t="b">
        <v>1</v>
      </c>
      <c r="H1469" s="44">
        <v>2440</v>
      </c>
    </row>
    <row r="1470" spans="1:8" x14ac:dyDescent="0.3">
      <c r="A1470" s="42" t="s">
        <v>1647</v>
      </c>
      <c r="B1470" s="3" t="s">
        <v>1648</v>
      </c>
      <c r="C1470" s="4">
        <f t="shared" ca="1" si="57"/>
        <v>45757</v>
      </c>
      <c r="D1470" s="42"/>
      <c r="E1470" s="3" t="s">
        <v>1070</v>
      </c>
      <c r="F1470" s="43" t="b">
        <v>0</v>
      </c>
      <c r="G1470" s="43" t="b">
        <v>0</v>
      </c>
      <c r="H1470" s="44">
        <v>1980</v>
      </c>
    </row>
    <row r="1471" spans="1:8" x14ac:dyDescent="0.3">
      <c r="A1471" s="42" t="s">
        <v>1708</v>
      </c>
      <c r="B1471" s="3" t="s">
        <v>1715</v>
      </c>
      <c r="C1471" s="4">
        <f t="shared" ca="1" si="57"/>
        <v>45757</v>
      </c>
      <c r="D1471" s="42"/>
      <c r="E1471" s="3" t="s">
        <v>1108</v>
      </c>
      <c r="F1471" s="43" t="b">
        <v>0</v>
      </c>
      <c r="G1471" s="43" t="b">
        <v>0</v>
      </c>
      <c r="H1471" s="44">
        <v>720</v>
      </c>
    </row>
    <row r="1472" spans="1:8" x14ac:dyDescent="0.3">
      <c r="A1472" s="42" t="s">
        <v>1087</v>
      </c>
      <c r="B1472" s="3" t="s">
        <v>1088</v>
      </c>
      <c r="C1472" s="4">
        <f t="shared" ca="1" si="57"/>
        <v>45757</v>
      </c>
      <c r="D1472" s="4">
        <f t="shared" ref="D1472:D1473" ca="1" si="58">TODAY()-269</f>
        <v>45768</v>
      </c>
      <c r="E1472" s="3" t="s">
        <v>1032</v>
      </c>
      <c r="F1472" s="43" t="b">
        <v>1</v>
      </c>
      <c r="G1472" s="43" t="b">
        <v>0</v>
      </c>
      <c r="H1472" s="44">
        <v>850</v>
      </c>
    </row>
    <row r="1473" spans="1:8" x14ac:dyDescent="0.3">
      <c r="A1473" s="42" t="s">
        <v>1127</v>
      </c>
      <c r="B1473" s="3" t="s">
        <v>1128</v>
      </c>
      <c r="C1473" s="4">
        <f t="shared" ca="1" si="57"/>
        <v>45757</v>
      </c>
      <c r="D1473" s="4">
        <f t="shared" ca="1" si="58"/>
        <v>45768</v>
      </c>
      <c r="E1473" s="3" t="s">
        <v>1032</v>
      </c>
      <c r="F1473" s="43" t="b">
        <v>1</v>
      </c>
      <c r="G1473" s="43" t="b">
        <v>0</v>
      </c>
      <c r="H1473" s="44">
        <v>820</v>
      </c>
    </row>
    <row r="1474" spans="1:8" x14ac:dyDescent="0.3">
      <c r="A1474" s="42" t="s">
        <v>1640</v>
      </c>
      <c r="B1474" s="3" t="s">
        <v>1745</v>
      </c>
      <c r="C1474" s="4">
        <f t="shared" ca="1" si="57"/>
        <v>45757</v>
      </c>
      <c r="D1474" s="42"/>
      <c r="E1474" s="3" t="s">
        <v>1037</v>
      </c>
      <c r="F1474" s="43" t="b">
        <v>0</v>
      </c>
      <c r="G1474" s="43" t="b">
        <v>0</v>
      </c>
      <c r="H1474" s="44">
        <v>1490</v>
      </c>
    </row>
    <row r="1475" spans="1:8" x14ac:dyDescent="0.3">
      <c r="A1475" s="42" t="s">
        <v>1376</v>
      </c>
      <c r="B1475" s="3" t="s">
        <v>1377</v>
      </c>
      <c r="C1475" s="4">
        <f t="shared" ca="1" si="57"/>
        <v>45757</v>
      </c>
      <c r="D1475" s="42"/>
      <c r="E1475" s="3" t="s">
        <v>1037</v>
      </c>
      <c r="F1475" s="43" t="b">
        <v>0</v>
      </c>
      <c r="G1475" s="43" t="b">
        <v>0</v>
      </c>
      <c r="H1475" s="44">
        <v>1600</v>
      </c>
    </row>
    <row r="1476" spans="1:8" x14ac:dyDescent="0.3">
      <c r="A1476" s="42" t="s">
        <v>1627</v>
      </c>
      <c r="B1476" s="3" t="s">
        <v>1628</v>
      </c>
      <c r="C1476" s="4">
        <f t="shared" ca="1" si="57"/>
        <v>45757</v>
      </c>
      <c r="D1476" s="4">
        <f ca="1">TODAY()-261</f>
        <v>45776</v>
      </c>
      <c r="E1476" s="3" t="s">
        <v>1029</v>
      </c>
      <c r="F1476" s="43" t="b">
        <v>1</v>
      </c>
      <c r="G1476" s="43" t="b">
        <v>1</v>
      </c>
      <c r="H1476" s="44">
        <v>4210</v>
      </c>
    </row>
    <row r="1477" spans="1:8" x14ac:dyDescent="0.3">
      <c r="A1477" s="42" t="s">
        <v>1141</v>
      </c>
      <c r="B1477" s="3" t="s">
        <v>1142</v>
      </c>
      <c r="C1477" s="4">
        <f t="shared" ca="1" si="57"/>
        <v>45757</v>
      </c>
      <c r="D1477" s="4">
        <f ca="1">TODAY()-262</f>
        <v>45775</v>
      </c>
      <c r="E1477" s="3" t="s">
        <v>1032</v>
      </c>
      <c r="F1477" s="43" t="b">
        <v>1</v>
      </c>
      <c r="G1477" s="43" t="b">
        <v>0</v>
      </c>
      <c r="H1477" s="44">
        <v>1670</v>
      </c>
    </row>
    <row r="1478" spans="1:8" x14ac:dyDescent="0.3">
      <c r="A1478" s="42" t="s">
        <v>1524</v>
      </c>
      <c r="B1478" s="3" t="s">
        <v>1574</v>
      </c>
      <c r="C1478" s="4">
        <f t="shared" ca="1" si="57"/>
        <v>45757</v>
      </c>
      <c r="D1478" s="4">
        <f ca="1">TODAY()-254</f>
        <v>45783</v>
      </c>
      <c r="E1478" s="3" t="s">
        <v>1029</v>
      </c>
      <c r="F1478" s="43" t="b">
        <v>1</v>
      </c>
      <c r="G1478" s="43" t="b">
        <v>1</v>
      </c>
      <c r="H1478" s="44">
        <v>530</v>
      </c>
    </row>
    <row r="1479" spans="1:8" x14ac:dyDescent="0.3">
      <c r="A1479" s="42" t="s">
        <v>1899</v>
      </c>
      <c r="B1479" s="3" t="s">
        <v>1900</v>
      </c>
      <c r="C1479" s="4">
        <f t="shared" ca="1" si="57"/>
        <v>45757</v>
      </c>
      <c r="D1479" s="4">
        <f ca="1">TODAY()-262</f>
        <v>45775</v>
      </c>
      <c r="E1479" s="3" t="s">
        <v>1029</v>
      </c>
      <c r="F1479" s="43" t="b">
        <v>1</v>
      </c>
      <c r="G1479" s="43" t="b">
        <v>1</v>
      </c>
      <c r="H1479" s="44">
        <v>410</v>
      </c>
    </row>
    <row r="1480" spans="1:8" x14ac:dyDescent="0.3">
      <c r="A1480" s="42" t="s">
        <v>1955</v>
      </c>
      <c r="B1480" s="3" t="s">
        <v>1968</v>
      </c>
      <c r="C1480" s="4">
        <f t="shared" ca="1" si="57"/>
        <v>45757</v>
      </c>
      <c r="D1480" s="4">
        <f ca="1">TODAY()-253</f>
        <v>45784</v>
      </c>
      <c r="E1480" s="3" t="s">
        <v>1029</v>
      </c>
      <c r="F1480" s="43" t="b">
        <v>1</v>
      </c>
      <c r="G1480" s="43" t="b">
        <v>1</v>
      </c>
      <c r="H1480" s="44">
        <v>1150</v>
      </c>
    </row>
    <row r="1481" spans="1:8" x14ac:dyDescent="0.3">
      <c r="A1481" s="42" t="s">
        <v>1175</v>
      </c>
      <c r="B1481" s="3" t="s">
        <v>1893</v>
      </c>
      <c r="C1481" s="4">
        <f t="shared" ca="1" si="57"/>
        <v>45757</v>
      </c>
      <c r="D1481" s="4">
        <f ca="1">TODAY()-263</f>
        <v>45774</v>
      </c>
      <c r="E1481" s="3" t="s">
        <v>1029</v>
      </c>
      <c r="F1481" s="43" t="b">
        <v>1</v>
      </c>
      <c r="G1481" s="43" t="b">
        <v>1</v>
      </c>
      <c r="H1481" s="44">
        <v>690</v>
      </c>
    </row>
    <row r="1482" spans="1:8" x14ac:dyDescent="0.3">
      <c r="A1482" s="42" t="s">
        <v>1213</v>
      </c>
      <c r="B1482" s="3" t="s">
        <v>1214</v>
      </c>
      <c r="C1482" s="4">
        <f t="shared" ca="1" si="57"/>
        <v>45757</v>
      </c>
      <c r="D1482" s="42"/>
      <c r="E1482" s="3" t="s">
        <v>1077</v>
      </c>
      <c r="F1482" s="43" t="b">
        <v>0</v>
      </c>
      <c r="G1482" s="43" t="b">
        <v>0</v>
      </c>
      <c r="H1482" s="44">
        <v>1440</v>
      </c>
    </row>
    <row r="1483" spans="1:8" x14ac:dyDescent="0.3">
      <c r="A1483" s="42" t="s">
        <v>1356</v>
      </c>
      <c r="B1483" s="3" t="s">
        <v>1871</v>
      </c>
      <c r="C1483" s="4">
        <f t="shared" ca="1" si="57"/>
        <v>45757</v>
      </c>
      <c r="D1483" s="4">
        <f ca="1">TODAY()-257</f>
        <v>45780</v>
      </c>
      <c r="E1483" s="3" t="s">
        <v>1029</v>
      </c>
      <c r="F1483" s="43" t="b">
        <v>1</v>
      </c>
      <c r="G1483" s="43" t="b">
        <v>1</v>
      </c>
      <c r="H1483" s="44">
        <v>2200</v>
      </c>
    </row>
    <row r="1484" spans="1:8" x14ac:dyDescent="0.3">
      <c r="A1484" s="42" t="s">
        <v>1237</v>
      </c>
      <c r="B1484" s="3" t="s">
        <v>1854</v>
      </c>
      <c r="C1484" s="4">
        <f t="shared" ca="1" si="57"/>
        <v>45757</v>
      </c>
      <c r="D1484" s="4">
        <f ca="1">TODAY()-266</f>
        <v>45771</v>
      </c>
      <c r="E1484" s="3" t="s">
        <v>1032</v>
      </c>
      <c r="F1484" s="43" t="b">
        <v>1</v>
      </c>
      <c r="G1484" s="43" t="b">
        <v>0</v>
      </c>
      <c r="H1484" s="44">
        <v>1940</v>
      </c>
    </row>
    <row r="1485" spans="1:8" x14ac:dyDescent="0.3">
      <c r="A1485" s="42" t="s">
        <v>1429</v>
      </c>
      <c r="B1485" s="3" t="s">
        <v>1969</v>
      </c>
      <c r="C1485" s="4">
        <f t="shared" ca="1" si="57"/>
        <v>45757</v>
      </c>
      <c r="D1485" s="4">
        <f ca="1">TODAY()-259</f>
        <v>45778</v>
      </c>
      <c r="E1485" s="3" t="s">
        <v>1032</v>
      </c>
      <c r="F1485" s="43" t="b">
        <v>1</v>
      </c>
      <c r="G1485" s="43" t="b">
        <v>0</v>
      </c>
      <c r="H1485" s="44">
        <v>580</v>
      </c>
    </row>
    <row r="1486" spans="1:8" x14ac:dyDescent="0.3">
      <c r="A1486" s="42" t="s">
        <v>1595</v>
      </c>
      <c r="B1486" s="3" t="s">
        <v>1596</v>
      </c>
      <c r="C1486" s="4">
        <f t="shared" ca="1" si="57"/>
        <v>45757</v>
      </c>
      <c r="D1486" s="4">
        <f ca="1">TODAY()-264</f>
        <v>45773</v>
      </c>
      <c r="E1486" s="3" t="s">
        <v>1029</v>
      </c>
      <c r="F1486" s="43" t="b">
        <v>1</v>
      </c>
      <c r="G1486" s="43" t="b">
        <v>1</v>
      </c>
      <c r="H1486" s="44">
        <v>2400</v>
      </c>
    </row>
    <row r="1487" spans="1:8" x14ac:dyDescent="0.3">
      <c r="A1487" s="42" t="s">
        <v>1970</v>
      </c>
      <c r="B1487" s="3" t="s">
        <v>1971</v>
      </c>
      <c r="C1487" s="4">
        <f t="shared" ca="1" si="57"/>
        <v>45757</v>
      </c>
      <c r="D1487" s="4">
        <f ca="1">TODAY()-259</f>
        <v>45778</v>
      </c>
      <c r="E1487" s="3" t="s">
        <v>1029</v>
      </c>
      <c r="F1487" s="43" t="b">
        <v>1</v>
      </c>
      <c r="G1487" s="43" t="b">
        <v>1</v>
      </c>
      <c r="H1487" s="44">
        <v>1450</v>
      </c>
    </row>
    <row r="1488" spans="1:8" x14ac:dyDescent="0.3">
      <c r="A1488" s="42" t="s">
        <v>1387</v>
      </c>
      <c r="B1488" s="3" t="s">
        <v>1388</v>
      </c>
      <c r="C1488" s="4">
        <f t="shared" ca="1" si="57"/>
        <v>45757</v>
      </c>
      <c r="D1488" s="4">
        <f ca="1">TODAY()-270</f>
        <v>45767</v>
      </c>
      <c r="E1488" s="3" t="s">
        <v>1032</v>
      </c>
      <c r="F1488" s="43" t="b">
        <v>1</v>
      </c>
      <c r="G1488" s="43" t="b">
        <v>0</v>
      </c>
      <c r="H1488" s="44">
        <v>2270</v>
      </c>
    </row>
    <row r="1489" spans="1:8" x14ac:dyDescent="0.3">
      <c r="A1489" s="42" t="s">
        <v>1743</v>
      </c>
      <c r="B1489" s="3" t="s">
        <v>1744</v>
      </c>
      <c r="C1489" s="4">
        <f t="shared" ca="1" si="57"/>
        <v>45757</v>
      </c>
      <c r="D1489" s="4">
        <f ca="1">TODAY()-252</f>
        <v>45785</v>
      </c>
      <c r="E1489" s="3" t="s">
        <v>1029</v>
      </c>
      <c r="F1489" s="43" t="b">
        <v>1</v>
      </c>
      <c r="G1489" s="43" t="b">
        <v>1</v>
      </c>
      <c r="H1489" s="44">
        <v>890</v>
      </c>
    </row>
    <row r="1490" spans="1:8" x14ac:dyDescent="0.3">
      <c r="A1490" s="42" t="s">
        <v>1415</v>
      </c>
      <c r="B1490" s="3" t="s">
        <v>1734</v>
      </c>
      <c r="C1490" s="4">
        <f t="shared" ca="1" si="57"/>
        <v>45757</v>
      </c>
      <c r="D1490" s="42"/>
      <c r="E1490" s="3" t="s">
        <v>1101</v>
      </c>
      <c r="F1490" s="43" t="b">
        <v>0</v>
      </c>
      <c r="G1490" s="43" t="b">
        <v>0</v>
      </c>
      <c r="H1490" s="44">
        <v>550</v>
      </c>
    </row>
    <row r="1491" spans="1:8" x14ac:dyDescent="0.3">
      <c r="A1491" s="42" t="s">
        <v>1970</v>
      </c>
      <c r="B1491" s="3" t="s">
        <v>1971</v>
      </c>
      <c r="C1491" s="4">
        <f t="shared" ca="1" si="57"/>
        <v>45757</v>
      </c>
      <c r="D1491" s="4">
        <f ca="1">TODAY()-258</f>
        <v>45779</v>
      </c>
      <c r="E1491" s="3" t="s">
        <v>1029</v>
      </c>
      <c r="F1491" s="43" t="b">
        <v>1</v>
      </c>
      <c r="G1491" s="43" t="b">
        <v>1</v>
      </c>
      <c r="H1491" s="44">
        <v>1450</v>
      </c>
    </row>
    <row r="1492" spans="1:8" x14ac:dyDescent="0.3">
      <c r="A1492" s="42" t="s">
        <v>1186</v>
      </c>
      <c r="B1492" s="3" t="s">
        <v>1886</v>
      </c>
      <c r="C1492" s="4">
        <f t="shared" ca="1" si="57"/>
        <v>45757</v>
      </c>
      <c r="D1492" s="42"/>
      <c r="E1492" s="3" t="s">
        <v>1101</v>
      </c>
      <c r="F1492" s="43" t="b">
        <v>0</v>
      </c>
      <c r="G1492" s="43" t="b">
        <v>0</v>
      </c>
      <c r="H1492" s="44">
        <v>250</v>
      </c>
    </row>
    <row r="1493" spans="1:8" x14ac:dyDescent="0.3">
      <c r="A1493" s="42" t="s">
        <v>1095</v>
      </c>
      <c r="B1493" s="3" t="s">
        <v>1395</v>
      </c>
      <c r="C1493" s="4">
        <f t="shared" ca="1" si="57"/>
        <v>45757</v>
      </c>
      <c r="D1493" s="4">
        <f ca="1">TODAY()-255</f>
        <v>45782</v>
      </c>
      <c r="E1493" s="3" t="s">
        <v>1029</v>
      </c>
      <c r="F1493" s="43" t="b">
        <v>1</v>
      </c>
      <c r="G1493" s="43" t="b">
        <v>1</v>
      </c>
      <c r="H1493" s="44">
        <v>440</v>
      </c>
    </row>
    <row r="1494" spans="1:8" x14ac:dyDescent="0.3">
      <c r="A1494" s="42" t="s">
        <v>1630</v>
      </c>
      <c r="B1494" s="3" t="s">
        <v>1949</v>
      </c>
      <c r="C1494" s="4">
        <f t="shared" ca="1" si="57"/>
        <v>45757</v>
      </c>
      <c r="D1494" s="42"/>
      <c r="E1494" s="3" t="s">
        <v>1077</v>
      </c>
      <c r="F1494" s="43" t="b">
        <v>0</v>
      </c>
      <c r="G1494" s="43" t="b">
        <v>0</v>
      </c>
      <c r="H1494" s="44">
        <v>210</v>
      </c>
    </row>
    <row r="1495" spans="1:8" x14ac:dyDescent="0.3">
      <c r="A1495" s="42" t="s">
        <v>1429</v>
      </c>
      <c r="B1495" s="3" t="s">
        <v>1969</v>
      </c>
      <c r="C1495" s="4">
        <f t="shared" ca="1" si="57"/>
        <v>45757</v>
      </c>
      <c r="D1495" s="4">
        <f ca="1">TODAY()-263</f>
        <v>45774</v>
      </c>
      <c r="E1495" s="3" t="s">
        <v>1032</v>
      </c>
      <c r="F1495" s="43" t="b">
        <v>1</v>
      </c>
      <c r="G1495" s="43" t="b">
        <v>0</v>
      </c>
      <c r="H1495" s="44">
        <v>580</v>
      </c>
    </row>
    <row r="1496" spans="1:8" x14ac:dyDescent="0.3">
      <c r="A1496" s="42" t="s">
        <v>1217</v>
      </c>
      <c r="B1496" s="3" t="s">
        <v>1218</v>
      </c>
      <c r="C1496" s="4">
        <f t="shared" ca="1" si="57"/>
        <v>45757</v>
      </c>
      <c r="D1496" s="4">
        <f ca="1">TODAY()-262</f>
        <v>45775</v>
      </c>
      <c r="E1496" s="3" t="s">
        <v>1032</v>
      </c>
      <c r="F1496" s="43" t="b">
        <v>1</v>
      </c>
      <c r="G1496" s="43" t="b">
        <v>0</v>
      </c>
      <c r="H1496" s="44">
        <v>1190</v>
      </c>
    </row>
    <row r="1497" spans="1:8" x14ac:dyDescent="0.3">
      <c r="A1497" s="42" t="s">
        <v>1783</v>
      </c>
      <c r="B1497" s="3" t="s">
        <v>1972</v>
      </c>
      <c r="C1497" s="4">
        <f t="shared" ca="1" si="57"/>
        <v>45757</v>
      </c>
      <c r="D1497" s="4">
        <f ca="1">TODAY()-257</f>
        <v>45780</v>
      </c>
      <c r="E1497" s="3" t="s">
        <v>1029</v>
      </c>
      <c r="F1497" s="43" t="b">
        <v>1</v>
      </c>
      <c r="G1497" s="43" t="b">
        <v>1</v>
      </c>
      <c r="H1497" s="44">
        <v>4020</v>
      </c>
    </row>
    <row r="1498" spans="1:8" x14ac:dyDescent="0.3">
      <c r="A1498" s="42" t="s">
        <v>1315</v>
      </c>
      <c r="B1498" s="3" t="s">
        <v>1588</v>
      </c>
      <c r="C1498" s="4">
        <f t="shared" ca="1" si="57"/>
        <v>45757</v>
      </c>
      <c r="D1498" s="4">
        <f ca="1">TODAY()-252</f>
        <v>45785</v>
      </c>
      <c r="E1498" s="3" t="s">
        <v>1032</v>
      </c>
      <c r="F1498" s="43" t="b">
        <v>1</v>
      </c>
      <c r="G1498" s="43" t="b">
        <v>0</v>
      </c>
      <c r="H1498" s="44">
        <v>1680</v>
      </c>
    </row>
    <row r="1499" spans="1:8" x14ac:dyDescent="0.3">
      <c r="A1499" s="42" t="s">
        <v>1263</v>
      </c>
      <c r="B1499" s="3" t="s">
        <v>1201</v>
      </c>
      <c r="C1499" s="4">
        <f t="shared" ca="1" si="57"/>
        <v>45757</v>
      </c>
      <c r="D1499" s="4">
        <f ca="1">TODAY()-263</f>
        <v>45774</v>
      </c>
      <c r="E1499" s="3" t="s">
        <v>1029</v>
      </c>
      <c r="F1499" s="43" t="b">
        <v>1</v>
      </c>
      <c r="G1499" s="43" t="b">
        <v>1</v>
      </c>
      <c r="H1499" s="44">
        <v>5880</v>
      </c>
    </row>
    <row r="1500" spans="1:8" x14ac:dyDescent="0.3">
      <c r="A1500" s="42" t="s">
        <v>1780</v>
      </c>
      <c r="B1500" s="3" t="s">
        <v>1781</v>
      </c>
      <c r="C1500" s="4">
        <f t="shared" ca="1" si="57"/>
        <v>45757</v>
      </c>
      <c r="D1500" s="42"/>
      <c r="E1500" s="3" t="s">
        <v>1103</v>
      </c>
      <c r="F1500" s="43" t="b">
        <v>0</v>
      </c>
      <c r="G1500" s="43" t="b">
        <v>0</v>
      </c>
      <c r="H1500" s="44">
        <v>1570</v>
      </c>
    </row>
    <row r="1501" spans="1:8" x14ac:dyDescent="0.3">
      <c r="A1501" s="42" t="s">
        <v>1695</v>
      </c>
      <c r="B1501" s="3" t="s">
        <v>1696</v>
      </c>
      <c r="C1501" s="4">
        <f t="shared" ca="1" si="57"/>
        <v>45757</v>
      </c>
      <c r="D1501" s="4">
        <f ca="1">TODAY()-264</f>
        <v>45773</v>
      </c>
      <c r="E1501" s="3" t="s">
        <v>1029</v>
      </c>
      <c r="F1501" s="43" t="b">
        <v>1</v>
      </c>
      <c r="G1501" s="43" t="b">
        <v>1</v>
      </c>
      <c r="H1501" s="44">
        <v>130</v>
      </c>
    </row>
    <row r="1502" spans="1:8" x14ac:dyDescent="0.3">
      <c r="A1502" s="42" t="s">
        <v>1221</v>
      </c>
      <c r="B1502" s="3" t="s">
        <v>1222</v>
      </c>
      <c r="C1502" s="4">
        <f t="shared" ca="1" si="57"/>
        <v>45757</v>
      </c>
      <c r="D1502" s="4">
        <f t="shared" ref="D1502:D1503" ca="1" si="59">TODAY()-269</f>
        <v>45768</v>
      </c>
      <c r="E1502" s="3" t="s">
        <v>1029</v>
      </c>
      <c r="F1502" s="43" t="b">
        <v>1</v>
      </c>
      <c r="G1502" s="43" t="b">
        <v>1</v>
      </c>
      <c r="H1502" s="44">
        <v>20000</v>
      </c>
    </row>
    <row r="1503" spans="1:8" x14ac:dyDescent="0.3">
      <c r="A1503" s="42" t="s">
        <v>1583</v>
      </c>
      <c r="B1503" s="3" t="s">
        <v>1775</v>
      </c>
      <c r="C1503" s="4">
        <f t="shared" ca="1" si="57"/>
        <v>45757</v>
      </c>
      <c r="D1503" s="4">
        <f t="shared" ca="1" si="59"/>
        <v>45768</v>
      </c>
      <c r="E1503" s="3" t="s">
        <v>1032</v>
      </c>
      <c r="F1503" s="43" t="b">
        <v>1</v>
      </c>
      <c r="G1503" s="43" t="b">
        <v>0</v>
      </c>
      <c r="H1503" s="44">
        <v>1020</v>
      </c>
    </row>
    <row r="1504" spans="1:8" x14ac:dyDescent="0.3">
      <c r="A1504" s="42" t="s">
        <v>1027</v>
      </c>
      <c r="B1504" s="3" t="s">
        <v>1028</v>
      </c>
      <c r="C1504" s="4">
        <f t="shared" ca="1" si="57"/>
        <v>45757</v>
      </c>
      <c r="D1504" s="4">
        <f ca="1">TODAY()-262</f>
        <v>45775</v>
      </c>
      <c r="E1504" s="3" t="s">
        <v>1029</v>
      </c>
      <c r="F1504" s="43" t="b">
        <v>1</v>
      </c>
      <c r="G1504" s="43" t="b">
        <v>1</v>
      </c>
      <c r="H1504" s="44">
        <v>1650</v>
      </c>
    </row>
    <row r="1505" spans="1:8" x14ac:dyDescent="0.3">
      <c r="A1505" s="42" t="s">
        <v>1821</v>
      </c>
      <c r="B1505" s="3" t="s">
        <v>1363</v>
      </c>
      <c r="C1505" s="4">
        <f t="shared" ca="1" si="57"/>
        <v>45757</v>
      </c>
      <c r="D1505" s="4">
        <f ca="1">TODAY()-261</f>
        <v>45776</v>
      </c>
      <c r="E1505" s="3" t="s">
        <v>1032</v>
      </c>
      <c r="F1505" s="43" t="b">
        <v>1</v>
      </c>
      <c r="G1505" s="43" t="b">
        <v>0</v>
      </c>
      <c r="H1505" s="44">
        <v>1010</v>
      </c>
    </row>
    <row r="1506" spans="1:8" x14ac:dyDescent="0.3">
      <c r="A1506" s="42" t="s">
        <v>1227</v>
      </c>
      <c r="B1506" s="3" t="s">
        <v>1228</v>
      </c>
      <c r="C1506" s="4">
        <f t="shared" ca="1" si="57"/>
        <v>45757</v>
      </c>
      <c r="D1506" s="4">
        <f ca="1">TODAY()-269</f>
        <v>45768</v>
      </c>
      <c r="E1506" s="3" t="s">
        <v>1029</v>
      </c>
      <c r="F1506" s="43" t="b">
        <v>1</v>
      </c>
      <c r="G1506" s="43" t="b">
        <v>1</v>
      </c>
      <c r="H1506" s="44">
        <v>480</v>
      </c>
    </row>
    <row r="1507" spans="1:8" x14ac:dyDescent="0.3">
      <c r="A1507" s="42" t="s">
        <v>1398</v>
      </c>
      <c r="B1507" s="3" t="s">
        <v>1201</v>
      </c>
      <c r="C1507" s="4">
        <f t="shared" ca="1" si="57"/>
        <v>45757</v>
      </c>
      <c r="D1507" s="4">
        <f ca="1">TODAY()-260</f>
        <v>45777</v>
      </c>
      <c r="E1507" s="3" t="s">
        <v>1029</v>
      </c>
      <c r="F1507" s="43" t="b">
        <v>1</v>
      </c>
      <c r="G1507" s="43" t="b">
        <v>1</v>
      </c>
      <c r="H1507" s="44">
        <v>350</v>
      </c>
    </row>
    <row r="1508" spans="1:8" x14ac:dyDescent="0.3">
      <c r="A1508" s="42" t="s">
        <v>1109</v>
      </c>
      <c r="B1508" s="3" t="s">
        <v>1201</v>
      </c>
      <c r="C1508" s="4">
        <f t="shared" ca="1" si="57"/>
        <v>45757</v>
      </c>
      <c r="D1508" s="4">
        <f ca="1">TODAY()-258</f>
        <v>45779</v>
      </c>
      <c r="E1508" s="3" t="s">
        <v>1029</v>
      </c>
      <c r="F1508" s="43" t="b">
        <v>1</v>
      </c>
      <c r="G1508" s="43" t="b">
        <v>1</v>
      </c>
      <c r="H1508" s="44">
        <v>5710</v>
      </c>
    </row>
    <row r="1509" spans="1:8" x14ac:dyDescent="0.3">
      <c r="A1509" s="42" t="s">
        <v>1808</v>
      </c>
      <c r="B1509" s="3" t="s">
        <v>1973</v>
      </c>
      <c r="C1509" s="4">
        <f t="shared" ca="1" si="57"/>
        <v>45757</v>
      </c>
      <c r="D1509" s="4">
        <f ca="1">TODAY()-256</f>
        <v>45781</v>
      </c>
      <c r="E1509" s="3" t="s">
        <v>1029</v>
      </c>
      <c r="F1509" s="43" t="b">
        <v>1</v>
      </c>
      <c r="G1509" s="43" t="b">
        <v>1</v>
      </c>
      <c r="H1509" s="44">
        <v>390</v>
      </c>
    </row>
    <row r="1510" spans="1:8" x14ac:dyDescent="0.3">
      <c r="A1510" s="42" t="s">
        <v>1235</v>
      </c>
      <c r="B1510" s="3" t="s">
        <v>1236</v>
      </c>
      <c r="C1510" s="4">
        <f t="shared" ca="1" si="57"/>
        <v>45757</v>
      </c>
      <c r="D1510" s="4">
        <f ca="1">TODAY()-265</f>
        <v>45772</v>
      </c>
      <c r="E1510" s="3" t="s">
        <v>1029</v>
      </c>
      <c r="F1510" s="43" t="b">
        <v>1</v>
      </c>
      <c r="G1510" s="43" t="b">
        <v>1</v>
      </c>
      <c r="H1510" s="44">
        <v>1000</v>
      </c>
    </row>
    <row r="1511" spans="1:8" x14ac:dyDescent="0.3">
      <c r="A1511" s="42" t="s">
        <v>1326</v>
      </c>
      <c r="B1511" s="3" t="s">
        <v>1327</v>
      </c>
      <c r="C1511" s="4">
        <f t="shared" ca="1" si="57"/>
        <v>45757</v>
      </c>
      <c r="D1511" s="4">
        <f ca="1">TODAY()-253</f>
        <v>45784</v>
      </c>
      <c r="E1511" s="3" t="s">
        <v>1032</v>
      </c>
      <c r="F1511" s="43" t="b">
        <v>1</v>
      </c>
      <c r="G1511" s="43" t="b">
        <v>0</v>
      </c>
      <c r="H1511" s="44">
        <v>2080</v>
      </c>
    </row>
    <row r="1512" spans="1:8" x14ac:dyDescent="0.3">
      <c r="A1512" s="42" t="s">
        <v>1970</v>
      </c>
      <c r="B1512" s="3" t="s">
        <v>1971</v>
      </c>
      <c r="C1512" s="4">
        <f t="shared" ca="1" si="57"/>
        <v>45757</v>
      </c>
      <c r="D1512" s="4">
        <f t="shared" ref="D1512:D1513" ca="1" si="60">TODAY()-252</f>
        <v>45785</v>
      </c>
      <c r="E1512" s="3" t="s">
        <v>1029</v>
      </c>
      <c r="F1512" s="43" t="b">
        <v>1</v>
      </c>
      <c r="G1512" s="43" t="b">
        <v>1</v>
      </c>
      <c r="H1512" s="44">
        <v>1450</v>
      </c>
    </row>
    <row r="1513" spans="1:8" x14ac:dyDescent="0.3">
      <c r="A1513" s="42" t="s">
        <v>1398</v>
      </c>
      <c r="B1513" s="3" t="s">
        <v>1201</v>
      </c>
      <c r="C1513" s="4">
        <f t="shared" ca="1" si="57"/>
        <v>45757</v>
      </c>
      <c r="D1513" s="4">
        <f t="shared" ca="1" si="60"/>
        <v>45785</v>
      </c>
      <c r="E1513" s="3" t="s">
        <v>1029</v>
      </c>
      <c r="F1513" s="43" t="b">
        <v>1</v>
      </c>
      <c r="G1513" s="43" t="b">
        <v>1</v>
      </c>
      <c r="H1513" s="44">
        <v>350</v>
      </c>
    </row>
    <row r="1514" spans="1:8" x14ac:dyDescent="0.3">
      <c r="A1514" s="42" t="s">
        <v>1856</v>
      </c>
      <c r="B1514" s="3" t="s">
        <v>1857</v>
      </c>
      <c r="C1514" s="4">
        <f t="shared" ca="1" si="57"/>
        <v>45757</v>
      </c>
      <c r="D1514" s="42"/>
      <c r="E1514" s="3" t="s">
        <v>1103</v>
      </c>
      <c r="F1514" s="43" t="b">
        <v>0</v>
      </c>
      <c r="G1514" s="43" t="b">
        <v>0</v>
      </c>
      <c r="H1514" s="44">
        <v>730</v>
      </c>
    </row>
    <row r="1515" spans="1:8" x14ac:dyDescent="0.3">
      <c r="A1515" s="42" t="s">
        <v>1419</v>
      </c>
      <c r="B1515" s="3" t="s">
        <v>1907</v>
      </c>
      <c r="C1515" s="4">
        <f t="shared" ca="1" si="57"/>
        <v>45757</v>
      </c>
      <c r="D1515" s="42"/>
      <c r="E1515" s="3" t="s">
        <v>1108</v>
      </c>
      <c r="F1515" s="43" t="b">
        <v>0</v>
      </c>
      <c r="G1515" s="43" t="b">
        <v>0</v>
      </c>
      <c r="H1515" s="44">
        <v>1180</v>
      </c>
    </row>
    <row r="1516" spans="1:8" x14ac:dyDescent="0.3">
      <c r="A1516" s="42" t="s">
        <v>1294</v>
      </c>
      <c r="B1516" s="3" t="s">
        <v>1528</v>
      </c>
      <c r="C1516" s="4">
        <f t="shared" ca="1" si="57"/>
        <v>45757</v>
      </c>
      <c r="D1516" s="4">
        <f ca="1">TODAY()-268</f>
        <v>45769</v>
      </c>
      <c r="E1516" s="3" t="s">
        <v>1032</v>
      </c>
      <c r="F1516" s="43" t="b">
        <v>1</v>
      </c>
      <c r="G1516" s="43" t="b">
        <v>0</v>
      </c>
      <c r="H1516" s="44">
        <v>530</v>
      </c>
    </row>
    <row r="1517" spans="1:8" x14ac:dyDescent="0.3">
      <c r="A1517" s="42" t="s">
        <v>1490</v>
      </c>
      <c r="B1517" s="3" t="s">
        <v>1491</v>
      </c>
      <c r="C1517" s="4">
        <f t="shared" ca="1" si="57"/>
        <v>45757</v>
      </c>
      <c r="D1517" s="42"/>
      <c r="E1517" s="3" t="s">
        <v>1037</v>
      </c>
      <c r="F1517" s="43" t="b">
        <v>0</v>
      </c>
      <c r="G1517" s="43" t="b">
        <v>0</v>
      </c>
      <c r="H1517" s="44">
        <v>980</v>
      </c>
    </row>
    <row r="1518" spans="1:8" x14ac:dyDescent="0.3">
      <c r="A1518" s="42" t="s">
        <v>1955</v>
      </c>
      <c r="B1518" s="3" t="s">
        <v>1968</v>
      </c>
      <c r="C1518" s="4">
        <f t="shared" ca="1" si="57"/>
        <v>45757</v>
      </c>
      <c r="D1518" s="4">
        <f ca="1">TODAY()-266</f>
        <v>45771</v>
      </c>
      <c r="E1518" s="3" t="s">
        <v>1029</v>
      </c>
      <c r="F1518" s="43" t="b">
        <v>1</v>
      </c>
      <c r="G1518" s="43" t="b">
        <v>1</v>
      </c>
      <c r="H1518" s="44">
        <v>1150</v>
      </c>
    </row>
    <row r="1519" spans="1:8" x14ac:dyDescent="0.3">
      <c r="A1519" s="42" t="s">
        <v>1302</v>
      </c>
      <c r="B1519" s="3" t="s">
        <v>1303</v>
      </c>
      <c r="C1519" s="4">
        <f t="shared" ca="1" si="57"/>
        <v>45757</v>
      </c>
      <c r="D1519" s="4">
        <f ca="1">TODAY()-270</f>
        <v>45767</v>
      </c>
      <c r="E1519" s="3" t="s">
        <v>1029</v>
      </c>
      <c r="F1519" s="43" t="b">
        <v>1</v>
      </c>
      <c r="G1519" s="43" t="b">
        <v>1</v>
      </c>
      <c r="H1519" s="44">
        <v>420</v>
      </c>
    </row>
    <row r="1520" spans="1:8" x14ac:dyDescent="0.3">
      <c r="A1520" s="42" t="s">
        <v>1266</v>
      </c>
      <c r="B1520" s="3" t="s">
        <v>1316</v>
      </c>
      <c r="C1520" s="4">
        <f t="shared" ca="1" si="57"/>
        <v>45757</v>
      </c>
      <c r="D1520" s="42"/>
      <c r="E1520" s="3" t="s">
        <v>1037</v>
      </c>
      <c r="F1520" s="43" t="b">
        <v>0</v>
      </c>
      <c r="G1520" s="43" t="b">
        <v>0</v>
      </c>
      <c r="H1520" s="44">
        <v>710</v>
      </c>
    </row>
    <row r="1521" spans="1:8" x14ac:dyDescent="0.3">
      <c r="A1521" s="42" t="s">
        <v>1233</v>
      </c>
      <c r="B1521" s="3" t="s">
        <v>1952</v>
      </c>
      <c r="C1521" s="4">
        <f t="shared" ca="1" si="57"/>
        <v>45757</v>
      </c>
      <c r="D1521" s="4">
        <f ca="1">TODAY()-264</f>
        <v>45773</v>
      </c>
      <c r="E1521" s="3" t="s">
        <v>1029</v>
      </c>
      <c r="F1521" s="43" t="b">
        <v>1</v>
      </c>
      <c r="G1521" s="43" t="b">
        <v>1</v>
      </c>
      <c r="H1521" s="44">
        <v>660</v>
      </c>
    </row>
    <row r="1522" spans="1:8" x14ac:dyDescent="0.3">
      <c r="A1522" s="42" t="s">
        <v>1346</v>
      </c>
      <c r="B1522" s="3" t="s">
        <v>1347</v>
      </c>
      <c r="C1522" s="4">
        <f t="shared" ca="1" si="57"/>
        <v>45757</v>
      </c>
      <c r="D1522" s="4">
        <f ca="1">TODAY()-268</f>
        <v>45769</v>
      </c>
      <c r="E1522" s="3" t="s">
        <v>1032</v>
      </c>
      <c r="F1522" s="43" t="b">
        <v>1</v>
      </c>
      <c r="G1522" s="43" t="b">
        <v>0</v>
      </c>
      <c r="H1522" s="44">
        <v>2020</v>
      </c>
    </row>
    <row r="1523" spans="1:8" x14ac:dyDescent="0.3">
      <c r="A1523" s="42" t="s">
        <v>1541</v>
      </c>
      <c r="B1523" s="3" t="s">
        <v>1542</v>
      </c>
      <c r="C1523" s="4">
        <f t="shared" ca="1" si="57"/>
        <v>45757</v>
      </c>
      <c r="D1523" s="4">
        <f ca="1">TODAY()-255</f>
        <v>45782</v>
      </c>
      <c r="E1523" s="3" t="s">
        <v>1032</v>
      </c>
      <c r="F1523" s="43" t="b">
        <v>1</v>
      </c>
      <c r="G1523" s="43" t="b">
        <v>0</v>
      </c>
      <c r="H1523" s="44">
        <v>1480</v>
      </c>
    </row>
    <row r="1524" spans="1:8" x14ac:dyDescent="0.3">
      <c r="A1524" s="42" t="s">
        <v>1472</v>
      </c>
      <c r="B1524" s="3" t="s">
        <v>1974</v>
      </c>
      <c r="C1524" s="4">
        <f t="shared" ca="1" si="57"/>
        <v>45757</v>
      </c>
      <c r="D1524" s="42"/>
      <c r="E1524" s="3" t="s">
        <v>1037</v>
      </c>
      <c r="F1524" s="43" t="b">
        <v>0</v>
      </c>
      <c r="G1524" s="43" t="b">
        <v>0</v>
      </c>
      <c r="H1524" s="44">
        <v>130</v>
      </c>
    </row>
    <row r="1525" spans="1:8" x14ac:dyDescent="0.3">
      <c r="A1525" s="42" t="s">
        <v>1679</v>
      </c>
      <c r="B1525" s="3" t="s">
        <v>1717</v>
      </c>
      <c r="C1525" s="4">
        <f t="shared" ca="1" si="57"/>
        <v>45757</v>
      </c>
      <c r="D1525" s="4">
        <f ca="1">TODAY()-267</f>
        <v>45770</v>
      </c>
      <c r="E1525" s="3" t="s">
        <v>1032</v>
      </c>
      <c r="F1525" s="43" t="b">
        <v>1</v>
      </c>
      <c r="G1525" s="43" t="b">
        <v>0</v>
      </c>
      <c r="H1525" s="44">
        <v>1730</v>
      </c>
    </row>
    <row r="1526" spans="1:8" x14ac:dyDescent="0.3">
      <c r="A1526" s="42" t="s">
        <v>1955</v>
      </c>
      <c r="B1526" s="3" t="s">
        <v>1275</v>
      </c>
      <c r="C1526" s="4">
        <f t="shared" ca="1" si="57"/>
        <v>45757</v>
      </c>
      <c r="D1526" s="4">
        <f ca="1">TODAY()-264</f>
        <v>45773</v>
      </c>
      <c r="E1526" s="3" t="s">
        <v>1029</v>
      </c>
      <c r="F1526" s="43" t="b">
        <v>1</v>
      </c>
      <c r="G1526" s="43" t="b">
        <v>1</v>
      </c>
      <c r="H1526" s="44">
        <v>1900</v>
      </c>
    </row>
    <row r="1527" spans="1:8" x14ac:dyDescent="0.3">
      <c r="A1527" s="42" t="s">
        <v>1211</v>
      </c>
      <c r="B1527" s="3" t="s">
        <v>1212</v>
      </c>
      <c r="C1527" s="4">
        <f t="shared" ca="1" si="57"/>
        <v>45757</v>
      </c>
      <c r="D1527" s="4">
        <f ca="1">TODAY()-256</f>
        <v>45781</v>
      </c>
      <c r="E1527" s="3" t="s">
        <v>1029</v>
      </c>
      <c r="F1527" s="43" t="b">
        <v>1</v>
      </c>
      <c r="G1527" s="43" t="b">
        <v>1</v>
      </c>
      <c r="H1527" s="44">
        <v>4300</v>
      </c>
    </row>
    <row r="1528" spans="1:8" x14ac:dyDescent="0.3">
      <c r="A1528" s="42" t="s">
        <v>1119</v>
      </c>
      <c r="B1528" s="3" t="s">
        <v>1120</v>
      </c>
      <c r="C1528" s="4">
        <f t="shared" ca="1" si="57"/>
        <v>45757</v>
      </c>
      <c r="D1528" s="4">
        <f ca="1">TODAY()-259</f>
        <v>45778</v>
      </c>
      <c r="E1528" s="3" t="s">
        <v>1029</v>
      </c>
      <c r="F1528" s="43" t="b">
        <v>1</v>
      </c>
      <c r="G1528" s="43" t="b">
        <v>1</v>
      </c>
      <c r="H1528" s="44">
        <v>1450</v>
      </c>
    </row>
    <row r="1529" spans="1:8" x14ac:dyDescent="0.3">
      <c r="A1529" s="42" t="s">
        <v>1277</v>
      </c>
      <c r="B1529" s="3" t="s">
        <v>1067</v>
      </c>
      <c r="C1529" s="4">
        <f t="shared" ca="1" si="57"/>
        <v>45757</v>
      </c>
      <c r="D1529" s="42"/>
      <c r="E1529" s="3" t="s">
        <v>1077</v>
      </c>
      <c r="F1529" s="43" t="b">
        <v>0</v>
      </c>
      <c r="G1529" s="43" t="b">
        <v>0</v>
      </c>
      <c r="H1529" s="44">
        <v>470</v>
      </c>
    </row>
    <row r="1530" spans="1:8" x14ac:dyDescent="0.3">
      <c r="A1530" s="42" t="s">
        <v>1046</v>
      </c>
      <c r="B1530" s="3" t="s">
        <v>1047</v>
      </c>
      <c r="C1530" s="4">
        <f t="shared" ca="1" si="57"/>
        <v>45757</v>
      </c>
      <c r="D1530" s="4">
        <f ca="1">TODAY()-269</f>
        <v>45768</v>
      </c>
      <c r="E1530" s="3" t="s">
        <v>1029</v>
      </c>
      <c r="F1530" s="43" t="b">
        <v>1</v>
      </c>
      <c r="G1530" s="43" t="b">
        <v>1</v>
      </c>
      <c r="H1530" s="44">
        <v>2270</v>
      </c>
    </row>
    <row r="1531" spans="1:8" x14ac:dyDescent="0.3">
      <c r="A1531" s="42" t="s">
        <v>1121</v>
      </c>
      <c r="B1531" s="3" t="s">
        <v>1122</v>
      </c>
      <c r="C1531" s="4">
        <f t="shared" ca="1" si="57"/>
        <v>45757</v>
      </c>
      <c r="D1531" s="4">
        <f ca="1">TODAY()-266</f>
        <v>45771</v>
      </c>
      <c r="E1531" s="3" t="s">
        <v>1029</v>
      </c>
      <c r="F1531" s="43" t="b">
        <v>1</v>
      </c>
      <c r="G1531" s="43" t="b">
        <v>1</v>
      </c>
      <c r="H1531" s="44">
        <v>1420</v>
      </c>
    </row>
    <row r="1532" spans="1:8" x14ac:dyDescent="0.3">
      <c r="A1532" s="42" t="s">
        <v>1062</v>
      </c>
      <c r="B1532" s="3" t="s">
        <v>1904</v>
      </c>
      <c r="C1532" s="4">
        <f t="shared" ca="1" si="57"/>
        <v>45757</v>
      </c>
      <c r="D1532" s="4">
        <f ca="1">TODAY()-259</f>
        <v>45778</v>
      </c>
      <c r="E1532" s="3" t="s">
        <v>1032</v>
      </c>
      <c r="F1532" s="43" t="b">
        <v>1</v>
      </c>
      <c r="G1532" s="43" t="b">
        <v>0</v>
      </c>
      <c r="H1532" s="44">
        <v>900</v>
      </c>
    </row>
    <row r="1533" spans="1:8" x14ac:dyDescent="0.3">
      <c r="A1533" s="42" t="s">
        <v>1934</v>
      </c>
      <c r="B1533" s="3" t="s">
        <v>1935</v>
      </c>
      <c r="C1533" s="4">
        <f t="shared" ca="1" si="57"/>
        <v>45757</v>
      </c>
      <c r="D1533" s="4">
        <f ca="1">TODAY()-252</f>
        <v>45785</v>
      </c>
      <c r="E1533" s="3" t="s">
        <v>1029</v>
      </c>
      <c r="F1533" s="43" t="b">
        <v>1</v>
      </c>
      <c r="G1533" s="43" t="b">
        <v>1</v>
      </c>
      <c r="H1533" s="44">
        <v>150</v>
      </c>
    </row>
    <row r="1534" spans="1:8" x14ac:dyDescent="0.3">
      <c r="A1534" s="42" t="s">
        <v>1941</v>
      </c>
      <c r="B1534" s="3" t="s">
        <v>1114</v>
      </c>
      <c r="C1534" s="4">
        <f t="shared" ca="1" si="57"/>
        <v>45757</v>
      </c>
      <c r="D1534" s="4">
        <f ca="1">TODAY()-267</f>
        <v>45770</v>
      </c>
      <c r="E1534" s="3" t="s">
        <v>1029</v>
      </c>
      <c r="F1534" s="43" t="b">
        <v>1</v>
      </c>
      <c r="G1534" s="43" t="b">
        <v>1</v>
      </c>
      <c r="H1534" s="44">
        <v>4410</v>
      </c>
    </row>
    <row r="1535" spans="1:8" x14ac:dyDescent="0.3">
      <c r="A1535" s="42" t="s">
        <v>1127</v>
      </c>
      <c r="B1535" s="3" t="s">
        <v>1128</v>
      </c>
      <c r="C1535" s="4">
        <f t="shared" ca="1" si="57"/>
        <v>45757</v>
      </c>
      <c r="D1535" s="4">
        <f ca="1">TODAY()-266</f>
        <v>45771</v>
      </c>
      <c r="E1535" s="3" t="s">
        <v>1032</v>
      </c>
      <c r="F1535" s="43" t="b">
        <v>1</v>
      </c>
      <c r="G1535" s="43" t="b">
        <v>0</v>
      </c>
      <c r="H1535" s="44">
        <v>820</v>
      </c>
    </row>
    <row r="1536" spans="1:8" x14ac:dyDescent="0.3">
      <c r="A1536" s="42" t="s">
        <v>1928</v>
      </c>
      <c r="B1536" s="3" t="s">
        <v>1929</v>
      </c>
      <c r="C1536" s="4">
        <f t="shared" ca="1" si="57"/>
        <v>45757</v>
      </c>
      <c r="D1536" s="4">
        <f ca="1">TODAY()-251</f>
        <v>45786</v>
      </c>
      <c r="E1536" s="3" t="s">
        <v>1032</v>
      </c>
      <c r="F1536" s="43" t="b">
        <v>1</v>
      </c>
      <c r="G1536" s="43" t="b">
        <v>0</v>
      </c>
      <c r="H1536" s="44">
        <v>170</v>
      </c>
    </row>
    <row r="1537" spans="1:8" x14ac:dyDescent="0.3">
      <c r="A1537" s="42" t="s">
        <v>1286</v>
      </c>
      <c r="B1537" s="3" t="s">
        <v>1287</v>
      </c>
      <c r="C1537" s="4">
        <f t="shared" ca="1" si="57"/>
        <v>45757</v>
      </c>
      <c r="D1537" s="4">
        <f ca="1">TODAY()-268</f>
        <v>45769</v>
      </c>
      <c r="E1537" s="3" t="s">
        <v>1032</v>
      </c>
      <c r="F1537" s="43" t="b">
        <v>1</v>
      </c>
      <c r="G1537" s="43" t="b">
        <v>0</v>
      </c>
      <c r="H1537" s="44">
        <v>2280</v>
      </c>
    </row>
    <row r="1538" spans="1:8" x14ac:dyDescent="0.3">
      <c r="A1538" s="42" t="s">
        <v>1104</v>
      </c>
      <c r="B1538" s="3" t="s">
        <v>1105</v>
      </c>
      <c r="C1538" s="4">
        <f t="shared" ca="1" si="57"/>
        <v>45757</v>
      </c>
      <c r="D1538" s="4">
        <f ca="1">TODAY()-265</f>
        <v>45772</v>
      </c>
      <c r="E1538" s="3" t="s">
        <v>1032</v>
      </c>
      <c r="F1538" s="43" t="b">
        <v>1</v>
      </c>
      <c r="G1538" s="43" t="b">
        <v>0</v>
      </c>
      <c r="H1538" s="44">
        <v>150</v>
      </c>
    </row>
    <row r="1539" spans="1:8" x14ac:dyDescent="0.3">
      <c r="A1539" s="42" t="s">
        <v>1626</v>
      </c>
      <c r="B1539" s="3" t="s">
        <v>1275</v>
      </c>
      <c r="C1539" s="4">
        <f t="shared" ca="1" si="57"/>
        <v>45757</v>
      </c>
      <c r="D1539" s="4">
        <f ca="1">TODAY()-267</f>
        <v>45770</v>
      </c>
      <c r="E1539" s="3" t="s">
        <v>1029</v>
      </c>
      <c r="F1539" s="43" t="b">
        <v>1</v>
      </c>
      <c r="G1539" s="43" t="b">
        <v>1</v>
      </c>
      <c r="H1539" s="44">
        <v>4510</v>
      </c>
    </row>
    <row r="1540" spans="1:8" x14ac:dyDescent="0.3">
      <c r="A1540" s="42" t="s">
        <v>1308</v>
      </c>
      <c r="B1540" s="3" t="s">
        <v>1309</v>
      </c>
      <c r="C1540" s="4">
        <f t="shared" ca="1" si="57"/>
        <v>45757</v>
      </c>
      <c r="D1540" s="4">
        <f ca="1">TODAY()-255</f>
        <v>45782</v>
      </c>
      <c r="E1540" s="3" t="s">
        <v>1029</v>
      </c>
      <c r="F1540" s="43" t="b">
        <v>1</v>
      </c>
      <c r="G1540" s="43" t="b">
        <v>1</v>
      </c>
      <c r="H1540" s="44">
        <v>1840</v>
      </c>
    </row>
    <row r="1541" spans="1:8" x14ac:dyDescent="0.3">
      <c r="A1541" s="42" t="s">
        <v>1928</v>
      </c>
      <c r="B1541" s="3" t="s">
        <v>1929</v>
      </c>
      <c r="C1541" s="4">
        <f t="shared" ca="1" si="57"/>
        <v>45757</v>
      </c>
      <c r="D1541" s="4">
        <f ca="1">TODAY()-254</f>
        <v>45783</v>
      </c>
      <c r="E1541" s="3" t="s">
        <v>1032</v>
      </c>
      <c r="F1541" s="43" t="b">
        <v>1</v>
      </c>
      <c r="G1541" s="43" t="b">
        <v>0</v>
      </c>
      <c r="H1541" s="44">
        <v>170</v>
      </c>
    </row>
    <row r="1542" spans="1:8" x14ac:dyDescent="0.3">
      <c r="A1542" s="42" t="s">
        <v>1894</v>
      </c>
      <c r="B1542" s="3" t="s">
        <v>1895</v>
      </c>
      <c r="C1542" s="4">
        <f t="shared" ca="1" si="57"/>
        <v>45757</v>
      </c>
      <c r="D1542" s="4">
        <f ca="1">TODAY()-256</f>
        <v>45781</v>
      </c>
      <c r="E1542" s="3" t="s">
        <v>1029</v>
      </c>
      <c r="F1542" s="43" t="b">
        <v>1</v>
      </c>
      <c r="G1542" s="43" t="b">
        <v>1</v>
      </c>
      <c r="H1542" s="44">
        <v>1490</v>
      </c>
    </row>
    <row r="1543" spans="1:8" x14ac:dyDescent="0.3">
      <c r="A1543" s="42" t="s">
        <v>1847</v>
      </c>
      <c r="B1543" s="3" t="s">
        <v>1848</v>
      </c>
      <c r="C1543" s="4">
        <f t="shared" ca="1" si="57"/>
        <v>45757</v>
      </c>
      <c r="D1543" s="4">
        <f ca="1">TODAY()-267</f>
        <v>45770</v>
      </c>
      <c r="E1543" s="3" t="s">
        <v>1029</v>
      </c>
      <c r="F1543" s="43" t="b">
        <v>1</v>
      </c>
      <c r="G1543" s="43" t="b">
        <v>1</v>
      </c>
      <c r="H1543" s="44">
        <v>470</v>
      </c>
    </row>
    <row r="1544" spans="1:8" x14ac:dyDescent="0.3">
      <c r="A1544" s="42" t="s">
        <v>1741</v>
      </c>
      <c r="B1544" s="3" t="s">
        <v>1742</v>
      </c>
      <c r="C1544" s="4">
        <f t="shared" ca="1" si="57"/>
        <v>45757</v>
      </c>
      <c r="D1544" s="4">
        <f ca="1">TODAY()-261</f>
        <v>45776</v>
      </c>
      <c r="E1544" s="3" t="s">
        <v>1032</v>
      </c>
      <c r="F1544" s="43" t="b">
        <v>1</v>
      </c>
      <c r="G1544" s="43" t="b">
        <v>0</v>
      </c>
      <c r="H1544" s="44">
        <v>690</v>
      </c>
    </row>
    <row r="1545" spans="1:8" x14ac:dyDescent="0.3">
      <c r="A1545" s="42" t="s">
        <v>1235</v>
      </c>
      <c r="B1545" s="3" t="s">
        <v>1939</v>
      </c>
      <c r="C1545" s="4">
        <f t="shared" ca="1" si="57"/>
        <v>45757</v>
      </c>
      <c r="D1545" s="4">
        <f ca="1">TODAY()-251</f>
        <v>45786</v>
      </c>
      <c r="E1545" s="3" t="s">
        <v>1029</v>
      </c>
      <c r="F1545" s="43" t="b">
        <v>1</v>
      </c>
      <c r="G1545" s="43" t="b">
        <v>1</v>
      </c>
      <c r="H1545" s="44">
        <v>2200</v>
      </c>
    </row>
    <row r="1546" spans="1:8" x14ac:dyDescent="0.3">
      <c r="A1546" s="42" t="s">
        <v>1532</v>
      </c>
      <c r="B1546" s="3" t="s">
        <v>1533</v>
      </c>
      <c r="C1546" s="4">
        <f t="shared" ca="1" si="57"/>
        <v>45757</v>
      </c>
      <c r="D1546" s="4">
        <f ca="1">TODAY()-252</f>
        <v>45785</v>
      </c>
      <c r="E1546" s="3" t="s">
        <v>1029</v>
      </c>
      <c r="F1546" s="43" t="b">
        <v>1</v>
      </c>
      <c r="G1546" s="43" t="b">
        <v>1</v>
      </c>
      <c r="H1546" s="44">
        <v>1640</v>
      </c>
    </row>
    <row r="1547" spans="1:8" x14ac:dyDescent="0.3">
      <c r="A1547" s="42" t="s">
        <v>1264</v>
      </c>
      <c r="B1547" s="3" t="s">
        <v>1663</v>
      </c>
      <c r="C1547" s="4">
        <f t="shared" ca="1" si="57"/>
        <v>45757</v>
      </c>
      <c r="D1547" s="4">
        <f ca="1">TODAY()-268</f>
        <v>45769</v>
      </c>
      <c r="E1547" s="3" t="s">
        <v>1032</v>
      </c>
      <c r="F1547" s="43" t="b">
        <v>1</v>
      </c>
      <c r="G1547" s="43" t="b">
        <v>0</v>
      </c>
      <c r="H1547" s="44">
        <v>2080</v>
      </c>
    </row>
    <row r="1548" spans="1:8" x14ac:dyDescent="0.3">
      <c r="A1548" s="42" t="s">
        <v>1099</v>
      </c>
      <c r="B1548" s="3" t="s">
        <v>1975</v>
      </c>
      <c r="C1548" s="4">
        <f t="shared" ca="1" si="57"/>
        <v>45757</v>
      </c>
      <c r="D1548" s="4">
        <f t="shared" ref="D1548:D1549" ca="1" si="61">TODAY()-258</f>
        <v>45779</v>
      </c>
      <c r="E1548" s="3" t="s">
        <v>1029</v>
      </c>
      <c r="F1548" s="43" t="b">
        <v>1</v>
      </c>
      <c r="G1548" s="43" t="b">
        <v>1</v>
      </c>
      <c r="H1548" s="44">
        <v>1530</v>
      </c>
    </row>
    <row r="1549" spans="1:8" x14ac:dyDescent="0.3">
      <c r="A1549" s="42" t="s">
        <v>1671</v>
      </c>
      <c r="B1549" s="3" t="s">
        <v>1824</v>
      </c>
      <c r="C1549" s="4">
        <f t="shared" ca="1" si="57"/>
        <v>45757</v>
      </c>
      <c r="D1549" s="4">
        <f t="shared" ca="1" si="61"/>
        <v>45779</v>
      </c>
      <c r="E1549" s="3" t="s">
        <v>1029</v>
      </c>
      <c r="F1549" s="43" t="b">
        <v>1</v>
      </c>
      <c r="G1549" s="43" t="b">
        <v>1</v>
      </c>
      <c r="H1549" s="44">
        <v>2010</v>
      </c>
    </row>
    <row r="1550" spans="1:8" x14ac:dyDescent="0.3">
      <c r="A1550" s="42" t="s">
        <v>1845</v>
      </c>
      <c r="B1550" s="3" t="s">
        <v>1846</v>
      </c>
      <c r="C1550" s="4">
        <f t="shared" ca="1" si="57"/>
        <v>45757</v>
      </c>
      <c r="D1550" s="4">
        <f ca="1">TODAY()-250</f>
        <v>45787</v>
      </c>
      <c r="E1550" s="3" t="s">
        <v>1032</v>
      </c>
      <c r="F1550" s="43" t="b">
        <v>1</v>
      </c>
      <c r="G1550" s="43" t="b">
        <v>0</v>
      </c>
      <c r="H1550" s="44">
        <v>1300</v>
      </c>
    </row>
    <row r="1551" spans="1:8" x14ac:dyDescent="0.3">
      <c r="A1551" s="42" t="s">
        <v>1336</v>
      </c>
      <c r="B1551" s="3" t="s">
        <v>1337</v>
      </c>
      <c r="C1551" s="4">
        <f t="shared" ca="1" si="57"/>
        <v>45757</v>
      </c>
      <c r="D1551" s="42"/>
      <c r="E1551" s="3" t="s">
        <v>1077</v>
      </c>
      <c r="F1551" s="43" t="b">
        <v>0</v>
      </c>
      <c r="G1551" s="43" t="b">
        <v>0</v>
      </c>
      <c r="H1551" s="44">
        <v>1300</v>
      </c>
    </row>
    <row r="1552" spans="1:8" x14ac:dyDescent="0.3">
      <c r="A1552" s="42" t="s">
        <v>1111</v>
      </c>
      <c r="B1552" s="3" t="s">
        <v>1112</v>
      </c>
      <c r="C1552" s="4">
        <f t="shared" ca="1" si="57"/>
        <v>45757</v>
      </c>
      <c r="D1552" s="4">
        <f ca="1">TODAY()-268</f>
        <v>45769</v>
      </c>
      <c r="E1552" s="3" t="s">
        <v>1029</v>
      </c>
      <c r="F1552" s="43" t="b">
        <v>1</v>
      </c>
      <c r="G1552" s="43" t="b">
        <v>1</v>
      </c>
      <c r="H1552" s="44">
        <v>2180</v>
      </c>
    </row>
    <row r="1553" spans="1:8" x14ac:dyDescent="0.3">
      <c r="A1553" s="42" t="s">
        <v>1808</v>
      </c>
      <c r="B1553" s="3" t="s">
        <v>1973</v>
      </c>
      <c r="C1553" s="4">
        <f t="shared" ca="1" si="57"/>
        <v>45757</v>
      </c>
      <c r="D1553" s="4">
        <f ca="1">TODAY()-252</f>
        <v>45785</v>
      </c>
      <c r="E1553" s="3" t="s">
        <v>1029</v>
      </c>
      <c r="F1553" s="43" t="b">
        <v>1</v>
      </c>
      <c r="G1553" s="43" t="b">
        <v>1</v>
      </c>
      <c r="H1553" s="44">
        <v>390</v>
      </c>
    </row>
    <row r="1554" spans="1:8" x14ac:dyDescent="0.3">
      <c r="A1554" s="42" t="s">
        <v>1594</v>
      </c>
      <c r="B1554" s="3" t="s">
        <v>1976</v>
      </c>
      <c r="C1554" s="4">
        <f t="shared" ca="1" si="57"/>
        <v>45757</v>
      </c>
      <c r="D1554" s="4">
        <f ca="1">TODAY()-263</f>
        <v>45774</v>
      </c>
      <c r="E1554" s="3" t="s">
        <v>1032</v>
      </c>
      <c r="F1554" s="43" t="b">
        <v>1</v>
      </c>
      <c r="G1554" s="43" t="b">
        <v>0</v>
      </c>
      <c r="H1554" s="44">
        <v>1850</v>
      </c>
    </row>
    <row r="1555" spans="1:8" x14ac:dyDescent="0.3">
      <c r="A1555" s="42" t="s">
        <v>1765</v>
      </c>
      <c r="B1555" s="3" t="s">
        <v>1766</v>
      </c>
      <c r="C1555" s="4">
        <f t="shared" ca="1" si="57"/>
        <v>45757</v>
      </c>
      <c r="D1555" s="42"/>
      <c r="E1555" s="3" t="s">
        <v>1103</v>
      </c>
      <c r="F1555" s="43" t="b">
        <v>0</v>
      </c>
      <c r="G1555" s="43" t="b">
        <v>0</v>
      </c>
      <c r="H1555" s="44">
        <v>1790</v>
      </c>
    </row>
    <row r="1556" spans="1:8" x14ac:dyDescent="0.3">
      <c r="A1556" s="42" t="s">
        <v>1141</v>
      </c>
      <c r="B1556" s="3" t="s">
        <v>1142</v>
      </c>
      <c r="C1556" s="4">
        <f t="shared" ca="1" si="57"/>
        <v>45757</v>
      </c>
      <c r="D1556" s="4">
        <f t="shared" ref="D1556:D1557" ca="1" si="62">TODAY()-257</f>
        <v>45780</v>
      </c>
      <c r="E1556" s="3" t="s">
        <v>1032</v>
      </c>
      <c r="F1556" s="43" t="b">
        <v>1</v>
      </c>
      <c r="G1556" s="43" t="b">
        <v>0</v>
      </c>
      <c r="H1556" s="44">
        <v>1670</v>
      </c>
    </row>
    <row r="1557" spans="1:8" x14ac:dyDescent="0.3">
      <c r="A1557" s="42" t="s">
        <v>1196</v>
      </c>
      <c r="B1557" s="3" t="s">
        <v>1197</v>
      </c>
      <c r="C1557" s="4">
        <f t="shared" ca="1" si="57"/>
        <v>45757</v>
      </c>
      <c r="D1557" s="4">
        <f t="shared" ca="1" si="62"/>
        <v>45780</v>
      </c>
      <c r="E1557" s="3" t="s">
        <v>1029</v>
      </c>
      <c r="F1557" s="43" t="b">
        <v>1</v>
      </c>
      <c r="G1557" s="43" t="b">
        <v>1</v>
      </c>
      <c r="H1557" s="44">
        <v>650</v>
      </c>
    </row>
    <row r="1558" spans="1:8" x14ac:dyDescent="0.3">
      <c r="A1558" s="42" t="s">
        <v>1470</v>
      </c>
      <c r="B1558" s="3" t="s">
        <v>1471</v>
      </c>
      <c r="C1558" s="4">
        <f t="shared" ca="1" si="57"/>
        <v>45757</v>
      </c>
      <c r="D1558" s="4">
        <f ca="1">TODAY()-266</f>
        <v>45771</v>
      </c>
      <c r="E1558" s="3" t="s">
        <v>1029</v>
      </c>
      <c r="F1558" s="43" t="b">
        <v>1</v>
      </c>
      <c r="G1558" s="43" t="b">
        <v>1</v>
      </c>
      <c r="H1558" s="44">
        <v>260</v>
      </c>
    </row>
    <row r="1559" spans="1:8" x14ac:dyDescent="0.3">
      <c r="A1559" s="42" t="s">
        <v>1765</v>
      </c>
      <c r="B1559" s="3" t="s">
        <v>1766</v>
      </c>
      <c r="C1559" s="4">
        <f t="shared" ca="1" si="57"/>
        <v>45757</v>
      </c>
      <c r="D1559" s="42"/>
      <c r="E1559" s="3" t="s">
        <v>1103</v>
      </c>
      <c r="F1559" s="43" t="b">
        <v>0</v>
      </c>
      <c r="G1559" s="43" t="b">
        <v>0</v>
      </c>
      <c r="H1559" s="44">
        <v>1790</v>
      </c>
    </row>
    <row r="1560" spans="1:8" x14ac:dyDescent="0.3">
      <c r="A1560" s="42" t="s">
        <v>1490</v>
      </c>
      <c r="B1560" s="3" t="s">
        <v>1491</v>
      </c>
      <c r="C1560" s="4">
        <f t="shared" ca="1" si="57"/>
        <v>45757</v>
      </c>
      <c r="D1560" s="42"/>
      <c r="E1560" s="3" t="s">
        <v>1037</v>
      </c>
      <c r="F1560" s="43" t="b">
        <v>0</v>
      </c>
      <c r="G1560" s="43" t="b">
        <v>0</v>
      </c>
      <c r="H1560" s="44">
        <v>980</v>
      </c>
    </row>
    <row r="1561" spans="1:8" x14ac:dyDescent="0.3">
      <c r="A1561" s="42" t="s">
        <v>1330</v>
      </c>
      <c r="B1561" s="3" t="s">
        <v>1114</v>
      </c>
      <c r="C1561" s="4">
        <f t="shared" ca="1" si="57"/>
        <v>45757</v>
      </c>
      <c r="D1561" s="4">
        <f ca="1">TODAY()-251</f>
        <v>45786</v>
      </c>
      <c r="E1561" s="3" t="s">
        <v>1029</v>
      </c>
      <c r="F1561" s="43" t="b">
        <v>1</v>
      </c>
      <c r="G1561" s="43" t="b">
        <v>1</v>
      </c>
      <c r="H1561" s="44">
        <v>1950</v>
      </c>
    </row>
    <row r="1562" spans="1:8" x14ac:dyDescent="0.3">
      <c r="A1562" s="42" t="s">
        <v>1042</v>
      </c>
      <c r="B1562" s="3" t="s">
        <v>1615</v>
      </c>
      <c r="C1562" s="4">
        <f t="shared" ca="1" si="57"/>
        <v>45757</v>
      </c>
      <c r="D1562" s="4">
        <f ca="1">TODAY()-253</f>
        <v>45784</v>
      </c>
      <c r="E1562" s="3" t="s">
        <v>1029</v>
      </c>
      <c r="F1562" s="43" t="b">
        <v>1</v>
      </c>
      <c r="G1562" s="43" t="b">
        <v>1</v>
      </c>
      <c r="H1562" s="44">
        <v>3800</v>
      </c>
    </row>
    <row r="1563" spans="1:8" x14ac:dyDescent="0.3">
      <c r="A1563" s="42" t="s">
        <v>1426</v>
      </c>
      <c r="B1563" s="3" t="s">
        <v>1201</v>
      </c>
      <c r="C1563" s="4">
        <f t="shared" ca="1" si="57"/>
        <v>45757</v>
      </c>
      <c r="D1563" s="4">
        <f ca="1">TODAY()-267</f>
        <v>45770</v>
      </c>
      <c r="E1563" s="3" t="s">
        <v>1032</v>
      </c>
      <c r="F1563" s="43" t="b">
        <v>1</v>
      </c>
      <c r="G1563" s="43" t="b">
        <v>0</v>
      </c>
      <c r="H1563" s="44">
        <v>910</v>
      </c>
    </row>
    <row r="1564" spans="1:8" x14ac:dyDescent="0.3">
      <c r="A1564" s="42" t="s">
        <v>1429</v>
      </c>
      <c r="B1564" s="3" t="s">
        <v>1430</v>
      </c>
      <c r="C1564" s="4">
        <f t="shared" ca="1" si="57"/>
        <v>45757</v>
      </c>
      <c r="D1564" s="4">
        <f ca="1">TODAY()-270</f>
        <v>45767</v>
      </c>
      <c r="E1564" s="3" t="s">
        <v>1029</v>
      </c>
      <c r="F1564" s="43" t="b">
        <v>1</v>
      </c>
      <c r="G1564" s="43" t="b">
        <v>1</v>
      </c>
      <c r="H1564" s="44">
        <v>2560</v>
      </c>
    </row>
    <row r="1565" spans="1:8" x14ac:dyDescent="0.3">
      <c r="A1565" s="42" t="s">
        <v>1361</v>
      </c>
      <c r="B1565" s="3" t="s">
        <v>1664</v>
      </c>
      <c r="C1565" s="4">
        <f t="shared" ca="1" si="57"/>
        <v>45757</v>
      </c>
      <c r="D1565" s="4">
        <f ca="1">TODAY()-263</f>
        <v>45774</v>
      </c>
      <c r="E1565" s="3" t="s">
        <v>1029</v>
      </c>
      <c r="F1565" s="43" t="b">
        <v>1</v>
      </c>
      <c r="G1565" s="43" t="b">
        <v>1</v>
      </c>
      <c r="H1565" s="44">
        <v>1990</v>
      </c>
    </row>
    <row r="1566" spans="1:8" x14ac:dyDescent="0.3">
      <c r="A1566" s="42" t="s">
        <v>1213</v>
      </c>
      <c r="B1566" s="3" t="s">
        <v>1214</v>
      </c>
      <c r="C1566" s="4">
        <f t="shared" ca="1" si="57"/>
        <v>45757</v>
      </c>
      <c r="D1566" s="42"/>
      <c r="E1566" s="3" t="s">
        <v>1077</v>
      </c>
      <c r="F1566" s="43" t="b">
        <v>0</v>
      </c>
      <c r="G1566" s="43" t="b">
        <v>0</v>
      </c>
      <c r="H1566" s="44">
        <v>1440</v>
      </c>
    </row>
    <row r="1567" spans="1:8" x14ac:dyDescent="0.3">
      <c r="A1567" s="42" t="s">
        <v>1324</v>
      </c>
      <c r="B1567" s="3" t="s">
        <v>1363</v>
      </c>
      <c r="C1567" s="4">
        <f t="shared" ca="1" si="57"/>
        <v>45757</v>
      </c>
      <c r="D1567" s="4">
        <f ca="1">TODAY()-251</f>
        <v>45786</v>
      </c>
      <c r="E1567" s="3" t="s">
        <v>1029</v>
      </c>
      <c r="F1567" s="43" t="b">
        <v>1</v>
      </c>
      <c r="G1567" s="43" t="b">
        <v>1</v>
      </c>
      <c r="H1567" s="44">
        <v>1250</v>
      </c>
    </row>
    <row r="1568" spans="1:8" x14ac:dyDescent="0.3">
      <c r="A1568" s="42" t="s">
        <v>1498</v>
      </c>
      <c r="B1568" s="3" t="s">
        <v>1136</v>
      </c>
      <c r="C1568" s="4">
        <f t="shared" ca="1" si="57"/>
        <v>45757</v>
      </c>
      <c r="D1568" s="4">
        <f ca="1">TODAY()-261</f>
        <v>45776</v>
      </c>
      <c r="E1568" s="3" t="s">
        <v>1029</v>
      </c>
      <c r="F1568" s="43" t="b">
        <v>1</v>
      </c>
      <c r="G1568" s="43" t="b">
        <v>1</v>
      </c>
      <c r="H1568" s="44">
        <v>1500</v>
      </c>
    </row>
    <row r="1569" spans="1:8" x14ac:dyDescent="0.3">
      <c r="A1569" s="42" t="s">
        <v>1280</v>
      </c>
      <c r="B1569" s="3" t="s">
        <v>1977</v>
      </c>
      <c r="C1569" s="4">
        <f t="shared" ca="1" si="57"/>
        <v>45757</v>
      </c>
      <c r="D1569" s="42"/>
      <c r="E1569" s="3" t="s">
        <v>1077</v>
      </c>
      <c r="F1569" s="43" t="b">
        <v>0</v>
      </c>
      <c r="G1569" s="43" t="b">
        <v>0</v>
      </c>
      <c r="H1569" s="44">
        <v>1080</v>
      </c>
    </row>
    <row r="1570" spans="1:8" x14ac:dyDescent="0.3">
      <c r="A1570" s="42" t="s">
        <v>1680</v>
      </c>
      <c r="B1570" s="3" t="s">
        <v>1681</v>
      </c>
      <c r="C1570" s="4">
        <f t="shared" ca="1" si="57"/>
        <v>45757</v>
      </c>
      <c r="D1570" s="4">
        <f t="shared" ref="D1570:D1571" ca="1" si="63">TODAY()-251</f>
        <v>45786</v>
      </c>
      <c r="E1570" s="3" t="s">
        <v>1029</v>
      </c>
      <c r="F1570" s="43" t="b">
        <v>1</v>
      </c>
      <c r="G1570" s="43" t="b">
        <v>1</v>
      </c>
      <c r="H1570" s="44">
        <v>2420</v>
      </c>
    </row>
    <row r="1571" spans="1:8" x14ac:dyDescent="0.3">
      <c r="A1571" s="42" t="s">
        <v>1605</v>
      </c>
      <c r="B1571" s="3" t="s">
        <v>1606</v>
      </c>
      <c r="C1571" s="4">
        <f t="shared" ca="1" si="57"/>
        <v>45757</v>
      </c>
      <c r="D1571" s="4">
        <f t="shared" ca="1" si="63"/>
        <v>45786</v>
      </c>
      <c r="E1571" s="3" t="s">
        <v>1029</v>
      </c>
      <c r="F1571" s="43" t="b">
        <v>1</v>
      </c>
      <c r="G1571" s="43" t="b">
        <v>1</v>
      </c>
      <c r="H1571" s="44">
        <v>730</v>
      </c>
    </row>
    <row r="1572" spans="1:8" x14ac:dyDescent="0.3">
      <c r="A1572" s="42" t="s">
        <v>1941</v>
      </c>
      <c r="B1572" s="3" t="s">
        <v>1978</v>
      </c>
      <c r="C1572" s="4">
        <f t="shared" ca="1" si="57"/>
        <v>45757</v>
      </c>
      <c r="D1572" s="4">
        <f ca="1">TODAY()-260</f>
        <v>45777</v>
      </c>
      <c r="E1572" s="3" t="s">
        <v>1032</v>
      </c>
      <c r="F1572" s="43" t="b">
        <v>1</v>
      </c>
      <c r="G1572" s="43" t="b">
        <v>0</v>
      </c>
      <c r="H1572" s="44">
        <v>720</v>
      </c>
    </row>
    <row r="1573" spans="1:8" x14ac:dyDescent="0.3">
      <c r="A1573" s="42" t="s">
        <v>1620</v>
      </c>
      <c r="B1573" s="3" t="s">
        <v>1807</v>
      </c>
      <c r="C1573" s="4">
        <f t="shared" ca="1" si="57"/>
        <v>45757</v>
      </c>
      <c r="D1573" s="4">
        <f ca="1">TODAY()-266</f>
        <v>45771</v>
      </c>
      <c r="E1573" s="3" t="s">
        <v>1029</v>
      </c>
      <c r="F1573" s="43" t="b">
        <v>1</v>
      </c>
      <c r="G1573" s="43" t="b">
        <v>1</v>
      </c>
      <c r="H1573" s="44">
        <v>1000</v>
      </c>
    </row>
    <row r="1574" spans="1:8" x14ac:dyDescent="0.3">
      <c r="A1574" s="42" t="s">
        <v>1538</v>
      </c>
      <c r="B1574" s="3" t="s">
        <v>1539</v>
      </c>
      <c r="C1574" s="4">
        <f t="shared" ca="1" si="57"/>
        <v>45757</v>
      </c>
      <c r="D1574" s="42"/>
      <c r="E1574" s="3" t="s">
        <v>1037</v>
      </c>
      <c r="F1574" s="43" t="b">
        <v>0</v>
      </c>
      <c r="G1574" s="43" t="b">
        <v>0</v>
      </c>
      <c r="H1574" s="44">
        <v>780</v>
      </c>
    </row>
    <row r="1575" spans="1:8" x14ac:dyDescent="0.3">
      <c r="A1575" s="42" t="s">
        <v>1280</v>
      </c>
      <c r="B1575" s="3" t="s">
        <v>1977</v>
      </c>
      <c r="C1575" s="4">
        <f t="shared" ref="C1575:C1697" ca="1" si="64">TODAY()-249</f>
        <v>45788</v>
      </c>
      <c r="D1575" s="42"/>
      <c r="E1575" s="3" t="s">
        <v>1077</v>
      </c>
      <c r="F1575" s="43" t="b">
        <v>0</v>
      </c>
      <c r="G1575" s="43" t="b">
        <v>0</v>
      </c>
      <c r="H1575" s="44">
        <v>1080</v>
      </c>
    </row>
    <row r="1576" spans="1:8" x14ac:dyDescent="0.3">
      <c r="A1576" s="42" t="s">
        <v>1364</v>
      </c>
      <c r="B1576" s="3" t="s">
        <v>1365</v>
      </c>
      <c r="C1576" s="4">
        <f t="shared" ca="1" si="64"/>
        <v>45788</v>
      </c>
      <c r="D1576" s="4">
        <f ca="1">TODAY()-221</f>
        <v>45816</v>
      </c>
      <c r="E1576" s="3" t="s">
        <v>1029</v>
      </c>
      <c r="F1576" s="43" t="b">
        <v>1</v>
      </c>
      <c r="G1576" s="43" t="b">
        <v>1</v>
      </c>
      <c r="H1576" s="44">
        <v>1190</v>
      </c>
    </row>
    <row r="1577" spans="1:8" x14ac:dyDescent="0.3">
      <c r="A1577" s="42" t="s">
        <v>1656</v>
      </c>
      <c r="B1577" s="3" t="s">
        <v>1657</v>
      </c>
      <c r="C1577" s="4">
        <f t="shared" ca="1" si="64"/>
        <v>45788</v>
      </c>
      <c r="D1577" s="4">
        <f ca="1">TODAY()-225</f>
        <v>45812</v>
      </c>
      <c r="E1577" s="3" t="s">
        <v>1029</v>
      </c>
      <c r="F1577" s="43" t="b">
        <v>1</v>
      </c>
      <c r="G1577" s="43" t="b">
        <v>1</v>
      </c>
      <c r="H1577" s="44">
        <v>120</v>
      </c>
    </row>
    <row r="1578" spans="1:8" x14ac:dyDescent="0.3">
      <c r="A1578" s="42" t="s">
        <v>1417</v>
      </c>
      <c r="B1578" s="3" t="s">
        <v>1725</v>
      </c>
      <c r="C1578" s="4">
        <f t="shared" ca="1" si="64"/>
        <v>45788</v>
      </c>
      <c r="D1578" s="4">
        <f ca="1">TODAY()-223</f>
        <v>45814</v>
      </c>
      <c r="E1578" s="3" t="s">
        <v>1029</v>
      </c>
      <c r="F1578" s="43" t="b">
        <v>1</v>
      </c>
      <c r="G1578" s="43" t="b">
        <v>1</v>
      </c>
      <c r="H1578" s="44">
        <v>470</v>
      </c>
    </row>
    <row r="1579" spans="1:8" x14ac:dyDescent="0.3">
      <c r="A1579" s="42" t="s">
        <v>1635</v>
      </c>
      <c r="B1579" s="3" t="s">
        <v>1883</v>
      </c>
      <c r="C1579" s="4">
        <f t="shared" ca="1" si="64"/>
        <v>45788</v>
      </c>
      <c r="D1579" s="4">
        <f ca="1">TODAY()-219</f>
        <v>45818</v>
      </c>
      <c r="E1579" s="3" t="s">
        <v>1032</v>
      </c>
      <c r="F1579" s="43" t="b">
        <v>1</v>
      </c>
      <c r="G1579" s="43" t="b">
        <v>0</v>
      </c>
      <c r="H1579" s="44">
        <v>1370</v>
      </c>
    </row>
    <row r="1580" spans="1:8" x14ac:dyDescent="0.3">
      <c r="A1580" s="42" t="s">
        <v>1348</v>
      </c>
      <c r="B1580" s="3" t="s">
        <v>1349</v>
      </c>
      <c r="C1580" s="4">
        <f t="shared" ca="1" si="64"/>
        <v>45788</v>
      </c>
      <c r="D1580" s="4">
        <f ca="1">TODAY()-223</f>
        <v>45814</v>
      </c>
      <c r="E1580" s="3" t="s">
        <v>1032</v>
      </c>
      <c r="F1580" s="43" t="b">
        <v>1</v>
      </c>
      <c r="G1580" s="43" t="b">
        <v>0</v>
      </c>
      <c r="H1580" s="44">
        <v>570</v>
      </c>
    </row>
    <row r="1581" spans="1:8" x14ac:dyDescent="0.3">
      <c r="A1581" s="42" t="s">
        <v>1932</v>
      </c>
      <c r="B1581" s="3" t="s">
        <v>1187</v>
      </c>
      <c r="C1581" s="4">
        <f t="shared" ca="1" si="64"/>
        <v>45788</v>
      </c>
      <c r="D1581" s="4">
        <f t="shared" ref="D1581:D1582" ca="1" si="65">TODAY()-239</f>
        <v>45798</v>
      </c>
      <c r="E1581" s="3" t="s">
        <v>1029</v>
      </c>
      <c r="F1581" s="43" t="b">
        <v>1</v>
      </c>
      <c r="G1581" s="43" t="b">
        <v>1</v>
      </c>
      <c r="H1581" s="44">
        <v>660</v>
      </c>
    </row>
    <row r="1582" spans="1:8" x14ac:dyDescent="0.3">
      <c r="A1582" s="42" t="s">
        <v>1627</v>
      </c>
      <c r="B1582" s="3" t="s">
        <v>1628</v>
      </c>
      <c r="C1582" s="4">
        <f t="shared" ca="1" si="64"/>
        <v>45788</v>
      </c>
      <c r="D1582" s="4">
        <f t="shared" ca="1" si="65"/>
        <v>45798</v>
      </c>
      <c r="E1582" s="3" t="s">
        <v>1029</v>
      </c>
      <c r="F1582" s="43" t="b">
        <v>1</v>
      </c>
      <c r="G1582" s="43" t="b">
        <v>1</v>
      </c>
      <c r="H1582" s="44">
        <v>4210</v>
      </c>
    </row>
    <row r="1583" spans="1:8" x14ac:dyDescent="0.3">
      <c r="A1583" s="42" t="s">
        <v>1598</v>
      </c>
      <c r="B1583" s="3" t="s">
        <v>1858</v>
      </c>
      <c r="C1583" s="4">
        <f t="shared" ca="1" si="64"/>
        <v>45788</v>
      </c>
      <c r="D1583" s="42"/>
      <c r="E1583" s="3" t="s">
        <v>1108</v>
      </c>
      <c r="F1583" s="43" t="b">
        <v>0</v>
      </c>
      <c r="G1583" s="43" t="b">
        <v>0</v>
      </c>
      <c r="H1583" s="44">
        <v>1270</v>
      </c>
    </row>
    <row r="1584" spans="1:8" x14ac:dyDescent="0.3">
      <c r="A1584" s="42" t="s">
        <v>1595</v>
      </c>
      <c r="B1584" s="3" t="s">
        <v>1596</v>
      </c>
      <c r="C1584" s="4">
        <f t="shared" ca="1" si="64"/>
        <v>45788</v>
      </c>
      <c r="D1584" s="4">
        <f ca="1">TODAY()-239</f>
        <v>45798</v>
      </c>
      <c r="E1584" s="3" t="s">
        <v>1029</v>
      </c>
      <c r="F1584" s="43" t="b">
        <v>1</v>
      </c>
      <c r="G1584" s="43" t="b">
        <v>1</v>
      </c>
      <c r="H1584" s="44">
        <v>2400</v>
      </c>
    </row>
    <row r="1585" spans="1:8" x14ac:dyDescent="0.3">
      <c r="A1585" s="42" t="s">
        <v>1922</v>
      </c>
      <c r="B1585" s="3" t="s">
        <v>1545</v>
      </c>
      <c r="C1585" s="4">
        <f t="shared" ca="1" si="64"/>
        <v>45788</v>
      </c>
      <c r="D1585" s="42"/>
      <c r="E1585" s="3" t="s">
        <v>1037</v>
      </c>
      <c r="F1585" s="43" t="b">
        <v>0</v>
      </c>
      <c r="G1585" s="43" t="b">
        <v>0</v>
      </c>
      <c r="H1585" s="44">
        <v>2360</v>
      </c>
    </row>
    <row r="1586" spans="1:8" x14ac:dyDescent="0.3">
      <c r="A1586" s="42" t="s">
        <v>1394</v>
      </c>
      <c r="B1586" s="3" t="s">
        <v>1829</v>
      </c>
      <c r="C1586" s="4">
        <f t="shared" ca="1" si="64"/>
        <v>45788</v>
      </c>
      <c r="D1586" s="4">
        <f ca="1">TODAY()-229</f>
        <v>45808</v>
      </c>
      <c r="E1586" s="3" t="s">
        <v>1032</v>
      </c>
      <c r="F1586" s="43" t="b">
        <v>1</v>
      </c>
      <c r="G1586" s="43" t="b">
        <v>0</v>
      </c>
      <c r="H1586" s="44">
        <v>970</v>
      </c>
    </row>
    <row r="1587" spans="1:8" x14ac:dyDescent="0.3">
      <c r="A1587" s="42" t="s">
        <v>1470</v>
      </c>
      <c r="B1587" s="3" t="s">
        <v>1471</v>
      </c>
      <c r="C1587" s="4">
        <f t="shared" ca="1" si="64"/>
        <v>45788</v>
      </c>
      <c r="D1587" s="4">
        <f ca="1">TODAY()-235</f>
        <v>45802</v>
      </c>
      <c r="E1587" s="3" t="s">
        <v>1029</v>
      </c>
      <c r="F1587" s="43" t="b">
        <v>1</v>
      </c>
      <c r="G1587" s="43" t="b">
        <v>1</v>
      </c>
      <c r="H1587" s="44">
        <v>260</v>
      </c>
    </row>
    <row r="1588" spans="1:8" x14ac:dyDescent="0.3">
      <c r="A1588" s="42" t="s">
        <v>1822</v>
      </c>
      <c r="B1588" s="3" t="s">
        <v>1823</v>
      </c>
      <c r="C1588" s="4">
        <f t="shared" ca="1" si="64"/>
        <v>45788</v>
      </c>
      <c r="D1588" s="4">
        <f ca="1">TODAY()-226</f>
        <v>45811</v>
      </c>
      <c r="E1588" s="3" t="s">
        <v>1029</v>
      </c>
      <c r="F1588" s="43" t="b">
        <v>1</v>
      </c>
      <c r="G1588" s="43" t="b">
        <v>1</v>
      </c>
      <c r="H1588" s="44">
        <v>1020</v>
      </c>
    </row>
    <row r="1589" spans="1:8" x14ac:dyDescent="0.3">
      <c r="A1589" s="42" t="s">
        <v>1131</v>
      </c>
      <c r="B1589" s="3" t="s">
        <v>1222</v>
      </c>
      <c r="C1589" s="4">
        <f t="shared" ca="1" si="64"/>
        <v>45788</v>
      </c>
      <c r="D1589" s="4">
        <f ca="1">TODAY()-231</f>
        <v>45806</v>
      </c>
      <c r="E1589" s="3" t="s">
        <v>1029</v>
      </c>
      <c r="F1589" s="43" t="b">
        <v>1</v>
      </c>
      <c r="G1589" s="43" t="b">
        <v>1</v>
      </c>
      <c r="H1589" s="44">
        <v>930</v>
      </c>
    </row>
    <row r="1590" spans="1:8" x14ac:dyDescent="0.3">
      <c r="A1590" s="42" t="s">
        <v>1396</v>
      </c>
      <c r="B1590" s="3" t="s">
        <v>1732</v>
      </c>
      <c r="C1590" s="4">
        <f t="shared" ca="1" si="64"/>
        <v>45788</v>
      </c>
      <c r="D1590" s="4">
        <f ca="1">TODAY()-219</f>
        <v>45818</v>
      </c>
      <c r="E1590" s="3" t="s">
        <v>1032</v>
      </c>
      <c r="F1590" s="43" t="b">
        <v>1</v>
      </c>
      <c r="G1590" s="43" t="b">
        <v>0</v>
      </c>
      <c r="H1590" s="44">
        <v>1850</v>
      </c>
    </row>
    <row r="1591" spans="1:8" x14ac:dyDescent="0.3">
      <c r="A1591" s="42" t="s">
        <v>1476</v>
      </c>
      <c r="B1591" s="3" t="s">
        <v>1114</v>
      </c>
      <c r="C1591" s="4">
        <f t="shared" ca="1" si="64"/>
        <v>45788</v>
      </c>
      <c r="D1591" s="4">
        <f ca="1">TODAY()-221</f>
        <v>45816</v>
      </c>
      <c r="E1591" s="3" t="s">
        <v>1029</v>
      </c>
      <c r="F1591" s="43" t="b">
        <v>1</v>
      </c>
      <c r="G1591" s="43" t="b">
        <v>1</v>
      </c>
      <c r="H1591" s="44">
        <v>740</v>
      </c>
    </row>
    <row r="1592" spans="1:8" x14ac:dyDescent="0.3">
      <c r="A1592" s="42" t="s">
        <v>1783</v>
      </c>
      <c r="B1592" s="3" t="s">
        <v>1972</v>
      </c>
      <c r="C1592" s="4">
        <f t="shared" ca="1" si="64"/>
        <v>45788</v>
      </c>
      <c r="D1592" s="4">
        <f ca="1">TODAY()-231</f>
        <v>45806</v>
      </c>
      <c r="E1592" s="3" t="s">
        <v>1029</v>
      </c>
      <c r="F1592" s="43" t="b">
        <v>1</v>
      </c>
      <c r="G1592" s="43" t="b">
        <v>1</v>
      </c>
      <c r="H1592" s="44">
        <v>4020</v>
      </c>
    </row>
    <row r="1593" spans="1:8" x14ac:dyDescent="0.3">
      <c r="A1593" s="42" t="s">
        <v>1808</v>
      </c>
      <c r="B1593" s="3" t="s">
        <v>1973</v>
      </c>
      <c r="C1593" s="4">
        <f t="shared" ca="1" si="64"/>
        <v>45788</v>
      </c>
      <c r="D1593" s="4">
        <f ca="1">TODAY()-227</f>
        <v>45810</v>
      </c>
      <c r="E1593" s="3" t="s">
        <v>1029</v>
      </c>
      <c r="F1593" s="43" t="b">
        <v>1</v>
      </c>
      <c r="G1593" s="43" t="b">
        <v>1</v>
      </c>
      <c r="H1593" s="44">
        <v>390</v>
      </c>
    </row>
    <row r="1594" spans="1:8" x14ac:dyDescent="0.3">
      <c r="A1594" s="42" t="s">
        <v>1800</v>
      </c>
      <c r="B1594" s="3" t="s">
        <v>1801</v>
      </c>
      <c r="C1594" s="4">
        <f t="shared" ca="1" si="64"/>
        <v>45788</v>
      </c>
      <c r="D1594" s="4">
        <f ca="1">TODAY()-226</f>
        <v>45811</v>
      </c>
      <c r="E1594" s="3" t="s">
        <v>1029</v>
      </c>
      <c r="F1594" s="43" t="b">
        <v>1</v>
      </c>
      <c r="G1594" s="43" t="b">
        <v>1</v>
      </c>
      <c r="H1594" s="44">
        <v>1120</v>
      </c>
    </row>
    <row r="1595" spans="1:8" x14ac:dyDescent="0.3">
      <c r="A1595" s="42" t="s">
        <v>1649</v>
      </c>
      <c r="B1595" s="3" t="s">
        <v>1650</v>
      </c>
      <c r="C1595" s="4">
        <f t="shared" ca="1" si="64"/>
        <v>45788</v>
      </c>
      <c r="D1595" s="4">
        <f ca="1">TODAY()-228</f>
        <v>45809</v>
      </c>
      <c r="E1595" s="3" t="s">
        <v>1029</v>
      </c>
      <c r="F1595" s="43" t="b">
        <v>1</v>
      </c>
      <c r="G1595" s="43" t="b">
        <v>1</v>
      </c>
      <c r="H1595" s="44">
        <v>350</v>
      </c>
    </row>
    <row r="1596" spans="1:8" x14ac:dyDescent="0.3">
      <c r="A1596" s="42" t="s">
        <v>1932</v>
      </c>
      <c r="B1596" s="3" t="s">
        <v>1933</v>
      </c>
      <c r="C1596" s="4">
        <f t="shared" ca="1" si="64"/>
        <v>45788</v>
      </c>
      <c r="D1596" s="4">
        <f ca="1">TODAY()-229</f>
        <v>45808</v>
      </c>
      <c r="E1596" s="3" t="s">
        <v>1029</v>
      </c>
      <c r="F1596" s="43" t="b">
        <v>1</v>
      </c>
      <c r="G1596" s="43" t="b">
        <v>1</v>
      </c>
      <c r="H1596" s="44">
        <v>510</v>
      </c>
    </row>
    <row r="1597" spans="1:8" x14ac:dyDescent="0.3">
      <c r="A1597" s="42" t="s">
        <v>1052</v>
      </c>
      <c r="B1597" s="3" t="s">
        <v>1053</v>
      </c>
      <c r="C1597" s="4">
        <f t="shared" ca="1" si="64"/>
        <v>45788</v>
      </c>
      <c r="D1597" s="4">
        <f ca="1">TODAY()-220</f>
        <v>45817</v>
      </c>
      <c r="E1597" s="3" t="s">
        <v>1032</v>
      </c>
      <c r="F1597" s="43" t="b">
        <v>1</v>
      </c>
      <c r="G1597" s="43" t="b">
        <v>0</v>
      </c>
      <c r="H1597" s="44">
        <v>640</v>
      </c>
    </row>
    <row r="1598" spans="1:8" x14ac:dyDescent="0.3">
      <c r="A1598" s="42" t="s">
        <v>1161</v>
      </c>
      <c r="B1598" s="3" t="s">
        <v>1248</v>
      </c>
      <c r="C1598" s="4">
        <f t="shared" ca="1" si="64"/>
        <v>45788</v>
      </c>
      <c r="D1598" s="4">
        <f ca="1">TODAY()-226</f>
        <v>45811</v>
      </c>
      <c r="E1598" s="3" t="s">
        <v>1029</v>
      </c>
      <c r="F1598" s="43" t="b">
        <v>1</v>
      </c>
      <c r="G1598" s="43" t="b">
        <v>1</v>
      </c>
      <c r="H1598" s="44">
        <v>2440</v>
      </c>
    </row>
    <row r="1599" spans="1:8" x14ac:dyDescent="0.3">
      <c r="A1599" s="42" t="s">
        <v>1135</v>
      </c>
      <c r="B1599" s="3" t="s">
        <v>1946</v>
      </c>
      <c r="C1599" s="4">
        <f t="shared" ca="1" si="64"/>
        <v>45788</v>
      </c>
      <c r="D1599" s="4">
        <f ca="1">TODAY()-235</f>
        <v>45802</v>
      </c>
      <c r="E1599" s="3" t="s">
        <v>1032</v>
      </c>
      <c r="F1599" s="43" t="b">
        <v>1</v>
      </c>
      <c r="G1599" s="43" t="b">
        <v>0</v>
      </c>
      <c r="H1599" s="44">
        <v>590</v>
      </c>
    </row>
    <row r="1600" spans="1:8" x14ac:dyDescent="0.3">
      <c r="A1600" s="42" t="s">
        <v>1186</v>
      </c>
      <c r="B1600" s="3" t="s">
        <v>1187</v>
      </c>
      <c r="C1600" s="4">
        <f t="shared" ca="1" si="64"/>
        <v>45788</v>
      </c>
      <c r="D1600" s="4">
        <f ca="1">TODAY()-225</f>
        <v>45812</v>
      </c>
      <c r="E1600" s="3" t="s">
        <v>1032</v>
      </c>
      <c r="F1600" s="43" t="b">
        <v>1</v>
      </c>
      <c r="G1600" s="43" t="b">
        <v>0</v>
      </c>
      <c r="H1600" s="44">
        <v>2330</v>
      </c>
    </row>
    <row r="1601" spans="1:8" x14ac:dyDescent="0.3">
      <c r="A1601" s="42" t="s">
        <v>1979</v>
      </c>
      <c r="B1601" s="3" t="s">
        <v>1980</v>
      </c>
      <c r="C1601" s="4">
        <f t="shared" ca="1" si="64"/>
        <v>45788</v>
      </c>
      <c r="D1601" s="4">
        <f ca="1">TODAY()-231</f>
        <v>45806</v>
      </c>
      <c r="E1601" s="3" t="s">
        <v>1029</v>
      </c>
      <c r="F1601" s="43" t="b">
        <v>1</v>
      </c>
      <c r="G1601" s="43" t="b">
        <v>1</v>
      </c>
      <c r="H1601" s="44">
        <v>510</v>
      </c>
    </row>
    <row r="1602" spans="1:8" x14ac:dyDescent="0.3">
      <c r="A1602" s="42" t="s">
        <v>1379</v>
      </c>
      <c r="B1602" s="3" t="s">
        <v>1380</v>
      </c>
      <c r="C1602" s="4">
        <f t="shared" ca="1" si="64"/>
        <v>45788</v>
      </c>
      <c r="D1602" s="42"/>
      <c r="E1602" s="3" t="s">
        <v>1037</v>
      </c>
      <c r="F1602" s="43" t="b">
        <v>0</v>
      </c>
      <c r="G1602" s="43" t="b">
        <v>0</v>
      </c>
      <c r="H1602" s="44">
        <v>1910</v>
      </c>
    </row>
    <row r="1603" spans="1:8" x14ac:dyDescent="0.3">
      <c r="A1603" s="42" t="s">
        <v>1642</v>
      </c>
      <c r="B1603" s="3" t="s">
        <v>1643</v>
      </c>
      <c r="C1603" s="4">
        <f t="shared" ca="1" si="64"/>
        <v>45788</v>
      </c>
      <c r="D1603" s="4">
        <f ca="1">TODAY()-225</f>
        <v>45812</v>
      </c>
      <c r="E1603" s="3" t="s">
        <v>1032</v>
      </c>
      <c r="F1603" s="43" t="b">
        <v>1</v>
      </c>
      <c r="G1603" s="43" t="b">
        <v>0</v>
      </c>
      <c r="H1603" s="44">
        <v>970</v>
      </c>
    </row>
    <row r="1604" spans="1:8" x14ac:dyDescent="0.3">
      <c r="A1604" s="42" t="s">
        <v>1415</v>
      </c>
      <c r="B1604" s="3" t="s">
        <v>1734</v>
      </c>
      <c r="C1604" s="4">
        <f t="shared" ca="1" si="64"/>
        <v>45788</v>
      </c>
      <c r="D1604" s="42"/>
      <c r="E1604" s="3" t="s">
        <v>1101</v>
      </c>
      <c r="F1604" s="43" t="b">
        <v>0</v>
      </c>
      <c r="G1604" s="43" t="b">
        <v>0</v>
      </c>
      <c r="H1604" s="44">
        <v>550</v>
      </c>
    </row>
    <row r="1605" spans="1:8" x14ac:dyDescent="0.3">
      <c r="A1605" s="42" t="s">
        <v>1411</v>
      </c>
      <c r="B1605" s="3" t="s">
        <v>1412</v>
      </c>
      <c r="C1605" s="4">
        <f t="shared" ca="1" si="64"/>
        <v>45788</v>
      </c>
      <c r="D1605" s="4">
        <f ca="1">TODAY()-219</f>
        <v>45818</v>
      </c>
      <c r="E1605" s="3" t="s">
        <v>1029</v>
      </c>
      <c r="F1605" s="43" t="b">
        <v>1</v>
      </c>
      <c r="G1605" s="43" t="b">
        <v>1</v>
      </c>
      <c r="H1605" s="44">
        <v>980</v>
      </c>
    </row>
    <row r="1606" spans="1:8" x14ac:dyDescent="0.3">
      <c r="A1606" s="42" t="s">
        <v>1066</v>
      </c>
      <c r="B1606" s="3" t="s">
        <v>1067</v>
      </c>
      <c r="C1606" s="4">
        <f t="shared" ca="1" si="64"/>
        <v>45788</v>
      </c>
      <c r="D1606" s="4">
        <f ca="1">TODAY()-232</f>
        <v>45805</v>
      </c>
      <c r="E1606" s="3" t="s">
        <v>1029</v>
      </c>
      <c r="F1606" s="43" t="b">
        <v>1</v>
      </c>
      <c r="G1606" s="43" t="b">
        <v>1</v>
      </c>
      <c r="H1606" s="44">
        <v>820</v>
      </c>
    </row>
    <row r="1607" spans="1:8" x14ac:dyDescent="0.3">
      <c r="A1607" s="42" t="s">
        <v>1510</v>
      </c>
      <c r="B1607" s="3" t="s">
        <v>1589</v>
      </c>
      <c r="C1607" s="4">
        <f t="shared" ca="1" si="64"/>
        <v>45788</v>
      </c>
      <c r="D1607" s="4">
        <f ca="1">TODAY()-220</f>
        <v>45817</v>
      </c>
      <c r="E1607" s="3" t="s">
        <v>1032</v>
      </c>
      <c r="F1607" s="43" t="b">
        <v>1</v>
      </c>
      <c r="G1607" s="43" t="b">
        <v>0</v>
      </c>
      <c r="H1607" s="44">
        <v>820</v>
      </c>
    </row>
    <row r="1608" spans="1:8" x14ac:dyDescent="0.3">
      <c r="A1608" s="42" t="s">
        <v>1235</v>
      </c>
      <c r="B1608" s="3" t="s">
        <v>1939</v>
      </c>
      <c r="C1608" s="4">
        <f t="shared" ca="1" si="64"/>
        <v>45788</v>
      </c>
      <c r="D1608" s="4">
        <f ca="1">TODAY()-227</f>
        <v>45810</v>
      </c>
      <c r="E1608" s="3" t="s">
        <v>1029</v>
      </c>
      <c r="F1608" s="43" t="b">
        <v>1</v>
      </c>
      <c r="G1608" s="43" t="b">
        <v>1</v>
      </c>
      <c r="H1608" s="44">
        <v>2200</v>
      </c>
    </row>
    <row r="1609" spans="1:8" x14ac:dyDescent="0.3">
      <c r="A1609" s="42" t="s">
        <v>1915</v>
      </c>
      <c r="B1609" s="3" t="s">
        <v>1831</v>
      </c>
      <c r="C1609" s="4">
        <f t="shared" ca="1" si="64"/>
        <v>45788</v>
      </c>
      <c r="D1609" s="4">
        <f ca="1">TODAY()-221</f>
        <v>45816</v>
      </c>
      <c r="E1609" s="3" t="s">
        <v>1032</v>
      </c>
      <c r="F1609" s="43" t="b">
        <v>1</v>
      </c>
      <c r="G1609" s="43" t="b">
        <v>0</v>
      </c>
      <c r="H1609" s="44">
        <v>250</v>
      </c>
    </row>
    <row r="1610" spans="1:8" x14ac:dyDescent="0.3">
      <c r="A1610" s="42" t="s">
        <v>1512</v>
      </c>
      <c r="B1610" s="3" t="s">
        <v>1912</v>
      </c>
      <c r="C1610" s="4">
        <f t="shared" ca="1" si="64"/>
        <v>45788</v>
      </c>
      <c r="D1610" s="4">
        <f ca="1">TODAY()-222</f>
        <v>45815</v>
      </c>
      <c r="E1610" s="3" t="s">
        <v>1032</v>
      </c>
      <c r="F1610" s="43" t="b">
        <v>1</v>
      </c>
      <c r="G1610" s="43" t="b">
        <v>0</v>
      </c>
      <c r="H1610" s="44">
        <v>890</v>
      </c>
    </row>
    <row r="1611" spans="1:8" x14ac:dyDescent="0.3">
      <c r="A1611" s="42" t="s">
        <v>1814</v>
      </c>
      <c r="B1611" s="3" t="s">
        <v>1891</v>
      </c>
      <c r="C1611" s="4">
        <f t="shared" ca="1" si="64"/>
        <v>45788</v>
      </c>
      <c r="D1611" s="4">
        <f ca="1">TODAY()-232</f>
        <v>45805</v>
      </c>
      <c r="E1611" s="3" t="s">
        <v>1032</v>
      </c>
      <c r="F1611" s="43" t="b">
        <v>1</v>
      </c>
      <c r="G1611" s="43" t="b">
        <v>0</v>
      </c>
      <c r="H1611" s="44">
        <v>1000</v>
      </c>
    </row>
    <row r="1612" spans="1:8" x14ac:dyDescent="0.3">
      <c r="A1612" s="42" t="s">
        <v>1458</v>
      </c>
      <c r="B1612" s="3" t="s">
        <v>1610</v>
      </c>
      <c r="C1612" s="4">
        <f t="shared" ca="1" si="64"/>
        <v>45788</v>
      </c>
      <c r="D1612" s="4">
        <f ca="1">TODAY()-233</f>
        <v>45804</v>
      </c>
      <c r="E1612" s="3" t="s">
        <v>1029</v>
      </c>
      <c r="F1612" s="43" t="b">
        <v>1</v>
      </c>
      <c r="G1612" s="43" t="b">
        <v>1</v>
      </c>
      <c r="H1612" s="44">
        <v>2340</v>
      </c>
    </row>
    <row r="1613" spans="1:8" x14ac:dyDescent="0.3">
      <c r="A1613" s="42" t="s">
        <v>1529</v>
      </c>
      <c r="B1613" s="45" t="s">
        <v>1981</v>
      </c>
      <c r="C1613" s="4">
        <f t="shared" ca="1" si="64"/>
        <v>45788</v>
      </c>
      <c r="D1613" s="4">
        <f ca="1">TODAY()-220</f>
        <v>45817</v>
      </c>
      <c r="E1613" s="3" t="s">
        <v>1032</v>
      </c>
      <c r="F1613" s="43" t="b">
        <v>1</v>
      </c>
      <c r="G1613" s="43" t="b">
        <v>0</v>
      </c>
      <c r="H1613" s="44">
        <v>950</v>
      </c>
    </row>
    <row r="1614" spans="1:8" x14ac:dyDescent="0.3">
      <c r="A1614" s="42" t="s">
        <v>1916</v>
      </c>
      <c r="B1614" s="3" t="s">
        <v>1917</v>
      </c>
      <c r="C1614" s="4">
        <f t="shared" ca="1" si="64"/>
        <v>45788</v>
      </c>
      <c r="D1614" s="42"/>
      <c r="E1614" s="3" t="s">
        <v>1103</v>
      </c>
      <c r="F1614" s="43" t="b">
        <v>0</v>
      </c>
      <c r="G1614" s="43" t="b">
        <v>0</v>
      </c>
      <c r="H1614" s="44">
        <v>1760</v>
      </c>
    </row>
    <row r="1615" spans="1:8" x14ac:dyDescent="0.3">
      <c r="A1615" s="42" t="s">
        <v>1947</v>
      </c>
      <c r="B1615" s="3" t="s">
        <v>1706</v>
      </c>
      <c r="C1615" s="4">
        <f t="shared" ca="1" si="64"/>
        <v>45788</v>
      </c>
      <c r="D1615" s="4">
        <f ca="1">TODAY()-237</f>
        <v>45800</v>
      </c>
      <c r="E1615" s="3" t="s">
        <v>1029</v>
      </c>
      <c r="F1615" s="43" t="b">
        <v>1</v>
      </c>
      <c r="G1615" s="43" t="b">
        <v>1</v>
      </c>
      <c r="H1615" s="44">
        <v>1310</v>
      </c>
    </row>
    <row r="1616" spans="1:8" x14ac:dyDescent="0.3">
      <c r="A1616" s="42" t="s">
        <v>1982</v>
      </c>
      <c r="B1616" s="3" t="s">
        <v>1983</v>
      </c>
      <c r="C1616" s="4">
        <f t="shared" ca="1" si="64"/>
        <v>45788</v>
      </c>
      <c r="D1616" s="4">
        <f ca="1">TODAY()-227</f>
        <v>45810</v>
      </c>
      <c r="E1616" s="3" t="s">
        <v>1032</v>
      </c>
      <c r="F1616" s="43" t="b">
        <v>1</v>
      </c>
      <c r="G1616" s="43" t="b">
        <v>0</v>
      </c>
      <c r="H1616" s="44">
        <v>1950</v>
      </c>
    </row>
    <row r="1617" spans="1:8" x14ac:dyDescent="0.3">
      <c r="A1617" s="42" t="s">
        <v>1982</v>
      </c>
      <c r="B1617" s="3" t="s">
        <v>1983</v>
      </c>
      <c r="C1617" s="4">
        <f t="shared" ca="1" si="64"/>
        <v>45788</v>
      </c>
      <c r="D1617" s="4">
        <f ca="1">TODAY()-232</f>
        <v>45805</v>
      </c>
      <c r="E1617" s="3" t="s">
        <v>1032</v>
      </c>
      <c r="F1617" s="43" t="b">
        <v>1</v>
      </c>
      <c r="G1617" s="43" t="b">
        <v>0</v>
      </c>
      <c r="H1617" s="44">
        <v>1950</v>
      </c>
    </row>
    <row r="1618" spans="1:8" x14ac:dyDescent="0.3">
      <c r="A1618" s="42" t="s">
        <v>1603</v>
      </c>
      <c r="B1618" s="3" t="s">
        <v>1666</v>
      </c>
      <c r="C1618" s="4">
        <f t="shared" ca="1" si="64"/>
        <v>45788</v>
      </c>
      <c r="D1618" s="4">
        <f ca="1">TODAY()-239</f>
        <v>45798</v>
      </c>
      <c r="E1618" s="3" t="s">
        <v>1029</v>
      </c>
      <c r="F1618" s="43" t="b">
        <v>1</v>
      </c>
      <c r="G1618" s="43" t="b">
        <v>1</v>
      </c>
      <c r="H1618" s="44">
        <v>240</v>
      </c>
    </row>
    <row r="1619" spans="1:8" x14ac:dyDescent="0.3">
      <c r="A1619" s="42" t="s">
        <v>1318</v>
      </c>
      <c r="B1619" s="3" t="s">
        <v>1319</v>
      </c>
      <c r="C1619" s="4">
        <f t="shared" ca="1" si="64"/>
        <v>45788</v>
      </c>
      <c r="D1619" s="4">
        <f ca="1">TODAY()-228</f>
        <v>45809</v>
      </c>
      <c r="E1619" s="3" t="s">
        <v>1029</v>
      </c>
      <c r="F1619" s="43" t="b">
        <v>1</v>
      </c>
      <c r="G1619" s="43" t="b">
        <v>1</v>
      </c>
      <c r="H1619" s="44">
        <v>390</v>
      </c>
    </row>
    <row r="1620" spans="1:8" x14ac:dyDescent="0.3">
      <c r="A1620" s="42" t="s">
        <v>1654</v>
      </c>
      <c r="B1620" s="3" t="s">
        <v>1655</v>
      </c>
      <c r="C1620" s="4">
        <f t="shared" ca="1" si="64"/>
        <v>45788</v>
      </c>
      <c r="D1620" s="4">
        <f ca="1">TODAY()-222</f>
        <v>45815</v>
      </c>
      <c r="E1620" s="3" t="s">
        <v>1029</v>
      </c>
      <c r="F1620" s="43" t="b">
        <v>1</v>
      </c>
      <c r="G1620" s="43" t="b">
        <v>1</v>
      </c>
      <c r="H1620" s="44">
        <v>2780</v>
      </c>
    </row>
    <row r="1621" spans="1:8" x14ac:dyDescent="0.3">
      <c r="A1621" s="42" t="s">
        <v>1389</v>
      </c>
      <c r="B1621" s="3" t="s">
        <v>1390</v>
      </c>
      <c r="C1621" s="4">
        <f t="shared" ca="1" si="64"/>
        <v>45788</v>
      </c>
      <c r="D1621" s="42"/>
      <c r="E1621" s="3" t="s">
        <v>1077</v>
      </c>
      <c r="F1621" s="43" t="b">
        <v>0</v>
      </c>
      <c r="G1621" s="43" t="b">
        <v>0</v>
      </c>
      <c r="H1621" s="44">
        <v>1860</v>
      </c>
    </row>
    <row r="1622" spans="1:8" x14ac:dyDescent="0.3">
      <c r="A1622" s="42" t="s">
        <v>1417</v>
      </c>
      <c r="B1622" s="3" t="s">
        <v>1725</v>
      </c>
      <c r="C1622" s="4">
        <f t="shared" ca="1" si="64"/>
        <v>45788</v>
      </c>
      <c r="D1622" s="4">
        <f ca="1">TODAY()-233</f>
        <v>45804</v>
      </c>
      <c r="E1622" s="3" t="s">
        <v>1029</v>
      </c>
      <c r="F1622" s="43" t="b">
        <v>1</v>
      </c>
      <c r="G1622" s="43" t="b">
        <v>1</v>
      </c>
      <c r="H1622" s="44">
        <v>470</v>
      </c>
    </row>
    <row r="1623" spans="1:8" x14ac:dyDescent="0.3">
      <c r="A1623" s="42" t="s">
        <v>1630</v>
      </c>
      <c r="B1623" s="3" t="s">
        <v>1949</v>
      </c>
      <c r="C1623" s="4">
        <f t="shared" ca="1" si="64"/>
        <v>45788</v>
      </c>
      <c r="D1623" s="42"/>
      <c r="E1623" s="3" t="s">
        <v>1077</v>
      </c>
      <c r="F1623" s="43" t="b">
        <v>0</v>
      </c>
      <c r="G1623" s="43" t="b">
        <v>0</v>
      </c>
      <c r="H1623" s="44">
        <v>210</v>
      </c>
    </row>
    <row r="1624" spans="1:8" x14ac:dyDescent="0.3">
      <c r="A1624" s="42" t="s">
        <v>1417</v>
      </c>
      <c r="B1624" s="3" t="s">
        <v>1418</v>
      </c>
      <c r="C1624" s="4">
        <f t="shared" ca="1" si="64"/>
        <v>45788</v>
      </c>
      <c r="D1624" s="42"/>
      <c r="E1624" s="3" t="s">
        <v>1077</v>
      </c>
      <c r="F1624" s="43" t="b">
        <v>0</v>
      </c>
      <c r="G1624" s="43" t="b">
        <v>0</v>
      </c>
      <c r="H1624" s="44">
        <v>2270</v>
      </c>
    </row>
    <row r="1625" spans="1:8" x14ac:dyDescent="0.3">
      <c r="A1625" s="42" t="s">
        <v>1364</v>
      </c>
      <c r="B1625" s="3" t="s">
        <v>1365</v>
      </c>
      <c r="C1625" s="4">
        <f t="shared" ca="1" si="64"/>
        <v>45788</v>
      </c>
      <c r="D1625" s="4">
        <f ca="1">TODAY()-230</f>
        <v>45807</v>
      </c>
      <c r="E1625" s="3" t="s">
        <v>1029</v>
      </c>
      <c r="F1625" s="43" t="b">
        <v>1</v>
      </c>
      <c r="G1625" s="43" t="b">
        <v>1</v>
      </c>
      <c r="H1625" s="44">
        <v>1190</v>
      </c>
    </row>
    <row r="1626" spans="1:8" x14ac:dyDescent="0.3">
      <c r="A1626" s="42" t="s">
        <v>1419</v>
      </c>
      <c r="B1626" s="3" t="s">
        <v>1420</v>
      </c>
      <c r="C1626" s="4">
        <f t="shared" ca="1" si="64"/>
        <v>45788</v>
      </c>
      <c r="D1626" s="42"/>
      <c r="E1626" s="3" t="s">
        <v>1037</v>
      </c>
      <c r="F1626" s="43" t="b">
        <v>0</v>
      </c>
      <c r="G1626" s="43" t="b">
        <v>0</v>
      </c>
      <c r="H1626" s="44">
        <v>1360</v>
      </c>
    </row>
    <row r="1627" spans="1:8" x14ac:dyDescent="0.3">
      <c r="A1627" s="42" t="s">
        <v>1356</v>
      </c>
      <c r="B1627" s="3" t="s">
        <v>1871</v>
      </c>
      <c r="C1627" s="4">
        <f t="shared" ca="1" si="64"/>
        <v>45788</v>
      </c>
      <c r="D1627" s="4">
        <f ca="1">TODAY()-230</f>
        <v>45807</v>
      </c>
      <c r="E1627" s="3" t="s">
        <v>1029</v>
      </c>
      <c r="F1627" s="43" t="b">
        <v>1</v>
      </c>
      <c r="G1627" s="43" t="b">
        <v>1</v>
      </c>
      <c r="H1627" s="44">
        <v>2200</v>
      </c>
    </row>
    <row r="1628" spans="1:8" x14ac:dyDescent="0.3">
      <c r="A1628" s="42" t="s">
        <v>1490</v>
      </c>
      <c r="B1628" s="3" t="s">
        <v>1575</v>
      </c>
      <c r="C1628" s="4">
        <f t="shared" ca="1" si="64"/>
        <v>45788</v>
      </c>
      <c r="D1628" s="4">
        <f ca="1">TODAY()-224</f>
        <v>45813</v>
      </c>
      <c r="E1628" s="3" t="s">
        <v>1029</v>
      </c>
      <c r="F1628" s="43" t="b">
        <v>1</v>
      </c>
      <c r="G1628" s="43" t="b">
        <v>1</v>
      </c>
      <c r="H1628" s="44">
        <v>910</v>
      </c>
    </row>
    <row r="1629" spans="1:8" x14ac:dyDescent="0.3">
      <c r="A1629" s="42" t="s">
        <v>1720</v>
      </c>
      <c r="B1629" s="3" t="s">
        <v>1721</v>
      </c>
      <c r="C1629" s="4">
        <f t="shared" ca="1" si="64"/>
        <v>45788</v>
      </c>
      <c r="D1629" s="42"/>
      <c r="E1629" s="3" t="s">
        <v>1037</v>
      </c>
      <c r="F1629" s="43" t="b">
        <v>0</v>
      </c>
      <c r="G1629" s="43" t="b">
        <v>0</v>
      </c>
      <c r="H1629" s="44">
        <v>2250</v>
      </c>
    </row>
    <row r="1630" spans="1:8" x14ac:dyDescent="0.3">
      <c r="A1630" s="42" t="s">
        <v>1030</v>
      </c>
      <c r="B1630" s="3" t="s">
        <v>1031</v>
      </c>
      <c r="C1630" s="4">
        <f t="shared" ca="1" si="64"/>
        <v>45788</v>
      </c>
      <c r="D1630" s="4">
        <f ca="1">TODAY()-226</f>
        <v>45811</v>
      </c>
      <c r="E1630" s="3" t="s">
        <v>1032</v>
      </c>
      <c r="F1630" s="43" t="b">
        <v>1</v>
      </c>
      <c r="G1630" s="43" t="b">
        <v>0</v>
      </c>
      <c r="H1630" s="44">
        <v>2170</v>
      </c>
    </row>
    <row r="1631" spans="1:8" x14ac:dyDescent="0.3">
      <c r="A1631" s="42" t="s">
        <v>1411</v>
      </c>
      <c r="B1631" s="3" t="s">
        <v>1136</v>
      </c>
      <c r="C1631" s="4">
        <f t="shared" ca="1" si="64"/>
        <v>45788</v>
      </c>
      <c r="D1631" s="4">
        <f ca="1">TODAY()-233</f>
        <v>45804</v>
      </c>
      <c r="E1631" s="3" t="s">
        <v>1029</v>
      </c>
      <c r="F1631" s="43" t="b">
        <v>1</v>
      </c>
      <c r="G1631" s="43" t="b">
        <v>1</v>
      </c>
      <c r="H1631" s="44">
        <v>490</v>
      </c>
    </row>
    <row r="1632" spans="1:8" x14ac:dyDescent="0.3">
      <c r="A1632" s="42" t="s">
        <v>1302</v>
      </c>
      <c r="B1632" s="3" t="s">
        <v>1575</v>
      </c>
      <c r="C1632" s="4">
        <f t="shared" ca="1" si="64"/>
        <v>45788</v>
      </c>
      <c r="D1632" s="42"/>
      <c r="E1632" s="3" t="s">
        <v>1077</v>
      </c>
      <c r="F1632" s="43" t="b">
        <v>0</v>
      </c>
      <c r="G1632" s="43" t="b">
        <v>0</v>
      </c>
      <c r="H1632" s="44">
        <v>650</v>
      </c>
    </row>
    <row r="1633" spans="1:8" x14ac:dyDescent="0.3">
      <c r="A1633" s="42" t="s">
        <v>1290</v>
      </c>
      <c r="B1633" s="3" t="s">
        <v>1291</v>
      </c>
      <c r="C1633" s="4">
        <f t="shared" ca="1" si="64"/>
        <v>45788</v>
      </c>
      <c r="D1633" s="4">
        <f ca="1">TODAY()-219</f>
        <v>45818</v>
      </c>
      <c r="E1633" s="3" t="s">
        <v>1029</v>
      </c>
      <c r="F1633" s="43" t="b">
        <v>1</v>
      </c>
      <c r="G1633" s="43" t="b">
        <v>1</v>
      </c>
      <c r="H1633" s="44">
        <v>430</v>
      </c>
    </row>
    <row r="1634" spans="1:8" x14ac:dyDescent="0.3">
      <c r="A1634" s="42" t="s">
        <v>1526</v>
      </c>
      <c r="B1634" s="3" t="s">
        <v>1527</v>
      </c>
      <c r="C1634" s="4">
        <f t="shared" ca="1" si="64"/>
        <v>45788</v>
      </c>
      <c r="D1634" s="4">
        <f ca="1">TODAY()-221</f>
        <v>45816</v>
      </c>
      <c r="E1634" s="3" t="s">
        <v>1029</v>
      </c>
      <c r="F1634" s="43" t="b">
        <v>1</v>
      </c>
      <c r="G1634" s="43" t="b">
        <v>1</v>
      </c>
      <c r="H1634" s="44">
        <v>1110</v>
      </c>
    </row>
    <row r="1635" spans="1:8" x14ac:dyDescent="0.3">
      <c r="A1635" s="42" t="s">
        <v>1704</v>
      </c>
      <c r="B1635" s="3" t="s">
        <v>1984</v>
      </c>
      <c r="C1635" s="4">
        <f t="shared" ca="1" si="64"/>
        <v>45788</v>
      </c>
      <c r="D1635" s="4">
        <f ca="1">TODAY()-230</f>
        <v>45807</v>
      </c>
      <c r="E1635" s="3" t="s">
        <v>1029</v>
      </c>
      <c r="F1635" s="43" t="b">
        <v>1</v>
      </c>
      <c r="G1635" s="43" t="b">
        <v>1</v>
      </c>
      <c r="H1635" s="44">
        <v>2260</v>
      </c>
    </row>
    <row r="1636" spans="1:8" x14ac:dyDescent="0.3">
      <c r="A1636" s="42" t="s">
        <v>1758</v>
      </c>
      <c r="B1636" s="3" t="s">
        <v>1903</v>
      </c>
      <c r="C1636" s="4">
        <f t="shared" ca="1" si="64"/>
        <v>45788</v>
      </c>
      <c r="D1636" s="4">
        <f ca="1">TODAY()-236</f>
        <v>45801</v>
      </c>
      <c r="E1636" s="3" t="s">
        <v>1029</v>
      </c>
      <c r="F1636" s="43" t="b">
        <v>1</v>
      </c>
      <c r="G1636" s="43" t="b">
        <v>1</v>
      </c>
      <c r="H1636" s="44">
        <v>1260</v>
      </c>
    </row>
    <row r="1637" spans="1:8" x14ac:dyDescent="0.3">
      <c r="A1637" s="42" t="s">
        <v>1928</v>
      </c>
      <c r="B1637" s="3" t="s">
        <v>1929</v>
      </c>
      <c r="C1637" s="4">
        <f t="shared" ca="1" si="64"/>
        <v>45788</v>
      </c>
      <c r="D1637" s="4">
        <f ca="1">TODAY()-230</f>
        <v>45807</v>
      </c>
      <c r="E1637" s="3" t="s">
        <v>1032</v>
      </c>
      <c r="F1637" s="43" t="b">
        <v>1</v>
      </c>
      <c r="G1637" s="43" t="b">
        <v>0</v>
      </c>
      <c r="H1637" s="44">
        <v>170</v>
      </c>
    </row>
    <row r="1638" spans="1:8" x14ac:dyDescent="0.3">
      <c r="A1638" s="42" t="s">
        <v>1439</v>
      </c>
      <c r="B1638" s="3" t="s">
        <v>1440</v>
      </c>
      <c r="C1638" s="4">
        <f t="shared" ca="1" si="64"/>
        <v>45788</v>
      </c>
      <c r="D1638" s="4">
        <f t="shared" ref="D1638:D1639" ca="1" si="66">TODAY()-232</f>
        <v>45805</v>
      </c>
      <c r="E1638" s="3" t="s">
        <v>1029</v>
      </c>
      <c r="F1638" s="43" t="b">
        <v>1</v>
      </c>
      <c r="G1638" s="43" t="b">
        <v>1</v>
      </c>
      <c r="H1638" s="44">
        <v>930</v>
      </c>
    </row>
    <row r="1639" spans="1:8" x14ac:dyDescent="0.3">
      <c r="A1639" s="42" t="s">
        <v>1125</v>
      </c>
      <c r="B1639" s="3" t="s">
        <v>1126</v>
      </c>
      <c r="C1639" s="4">
        <f t="shared" ca="1" si="64"/>
        <v>45788</v>
      </c>
      <c r="D1639" s="4">
        <f t="shared" ca="1" si="66"/>
        <v>45805</v>
      </c>
      <c r="E1639" s="3" t="s">
        <v>1029</v>
      </c>
      <c r="F1639" s="43" t="b">
        <v>1</v>
      </c>
      <c r="G1639" s="43" t="b">
        <v>1</v>
      </c>
      <c r="H1639" s="44">
        <v>1840</v>
      </c>
    </row>
    <row r="1640" spans="1:8" x14ac:dyDescent="0.3">
      <c r="A1640" s="42" t="s">
        <v>1635</v>
      </c>
      <c r="B1640" s="3" t="s">
        <v>1883</v>
      </c>
      <c r="C1640" s="4">
        <f t="shared" ca="1" si="64"/>
        <v>45788</v>
      </c>
      <c r="D1640" s="4">
        <f ca="1">TODAY()-229</f>
        <v>45808</v>
      </c>
      <c r="E1640" s="3" t="s">
        <v>1032</v>
      </c>
      <c r="F1640" s="43" t="b">
        <v>1</v>
      </c>
      <c r="G1640" s="43" t="b">
        <v>0</v>
      </c>
      <c r="H1640" s="44">
        <v>1370</v>
      </c>
    </row>
    <row r="1641" spans="1:8" x14ac:dyDescent="0.3">
      <c r="A1641" s="42" t="s">
        <v>1429</v>
      </c>
      <c r="B1641" s="3" t="s">
        <v>1969</v>
      </c>
      <c r="C1641" s="4">
        <f t="shared" ca="1" si="64"/>
        <v>45788</v>
      </c>
      <c r="D1641" s="4">
        <f ca="1">TODAY()-235</f>
        <v>45802</v>
      </c>
      <c r="E1641" s="3" t="s">
        <v>1032</v>
      </c>
      <c r="F1641" s="43" t="b">
        <v>1</v>
      </c>
      <c r="G1641" s="43" t="b">
        <v>0</v>
      </c>
      <c r="H1641" s="44">
        <v>580</v>
      </c>
    </row>
    <row r="1642" spans="1:8" x14ac:dyDescent="0.3">
      <c r="A1642" s="42" t="s">
        <v>1799</v>
      </c>
      <c r="B1642" s="3" t="s">
        <v>1311</v>
      </c>
      <c r="C1642" s="4">
        <f t="shared" ca="1" si="64"/>
        <v>45788</v>
      </c>
      <c r="D1642" s="4">
        <f ca="1">TODAY()-236</f>
        <v>45801</v>
      </c>
      <c r="E1642" s="3" t="s">
        <v>1032</v>
      </c>
      <c r="F1642" s="43" t="b">
        <v>1</v>
      </c>
      <c r="G1642" s="43" t="b">
        <v>0</v>
      </c>
      <c r="H1642" s="44">
        <v>2090</v>
      </c>
    </row>
    <row r="1643" spans="1:8" x14ac:dyDescent="0.3">
      <c r="A1643" s="42" t="s">
        <v>1562</v>
      </c>
      <c r="B1643" s="3" t="s">
        <v>1563</v>
      </c>
      <c r="C1643" s="4">
        <f t="shared" ca="1" si="64"/>
        <v>45788</v>
      </c>
      <c r="D1643" s="4">
        <f t="shared" ref="D1643:D1644" ca="1" si="67">TODAY()-222</f>
        <v>45815</v>
      </c>
      <c r="E1643" s="3" t="s">
        <v>1032</v>
      </c>
      <c r="F1643" s="43" t="b">
        <v>1</v>
      </c>
      <c r="G1643" s="43" t="b">
        <v>0</v>
      </c>
      <c r="H1643" s="44">
        <v>2400</v>
      </c>
    </row>
    <row r="1644" spans="1:8" x14ac:dyDescent="0.3">
      <c r="A1644" s="42" t="s">
        <v>1812</v>
      </c>
      <c r="B1644" s="3" t="s">
        <v>1813</v>
      </c>
      <c r="C1644" s="4">
        <f t="shared" ca="1" si="64"/>
        <v>45788</v>
      </c>
      <c r="D1644" s="4">
        <f t="shared" ca="1" si="67"/>
        <v>45815</v>
      </c>
      <c r="E1644" s="3" t="s">
        <v>1029</v>
      </c>
      <c r="F1644" s="43" t="b">
        <v>1</v>
      </c>
      <c r="G1644" s="43" t="b">
        <v>1</v>
      </c>
      <c r="H1644" s="44">
        <v>910</v>
      </c>
    </row>
    <row r="1645" spans="1:8" x14ac:dyDescent="0.3">
      <c r="A1645" s="42" t="s">
        <v>1758</v>
      </c>
      <c r="B1645" s="3" t="s">
        <v>1903</v>
      </c>
      <c r="C1645" s="4">
        <f t="shared" ca="1" si="64"/>
        <v>45788</v>
      </c>
      <c r="D1645" s="4">
        <f ca="1">TODAY()-231</f>
        <v>45806</v>
      </c>
      <c r="E1645" s="3" t="s">
        <v>1029</v>
      </c>
      <c r="F1645" s="43" t="b">
        <v>1</v>
      </c>
      <c r="G1645" s="43" t="b">
        <v>1</v>
      </c>
      <c r="H1645" s="44">
        <v>1260</v>
      </c>
    </row>
    <row r="1646" spans="1:8" x14ac:dyDescent="0.3">
      <c r="A1646" s="42" t="s">
        <v>1549</v>
      </c>
      <c r="B1646" s="3" t="s">
        <v>1898</v>
      </c>
      <c r="C1646" s="4">
        <f t="shared" ca="1" si="64"/>
        <v>45788</v>
      </c>
      <c r="D1646" s="4">
        <f ca="1">TODAY()-225</f>
        <v>45812</v>
      </c>
      <c r="E1646" s="3" t="s">
        <v>1029</v>
      </c>
      <c r="F1646" s="43" t="b">
        <v>1</v>
      </c>
      <c r="G1646" s="43" t="b">
        <v>1</v>
      </c>
      <c r="H1646" s="44">
        <v>770</v>
      </c>
    </row>
    <row r="1647" spans="1:8" x14ac:dyDescent="0.3">
      <c r="A1647" s="42" t="s">
        <v>1318</v>
      </c>
      <c r="B1647" s="3" t="s">
        <v>1956</v>
      </c>
      <c r="C1647" s="4">
        <f t="shared" ca="1" si="64"/>
        <v>45788</v>
      </c>
      <c r="D1647" s="4">
        <f ca="1">TODAY()-229</f>
        <v>45808</v>
      </c>
      <c r="E1647" s="3" t="s">
        <v>1032</v>
      </c>
      <c r="F1647" s="43" t="b">
        <v>1</v>
      </c>
      <c r="G1647" s="43" t="b">
        <v>0</v>
      </c>
      <c r="H1647" s="44">
        <v>1090</v>
      </c>
    </row>
    <row r="1648" spans="1:8" x14ac:dyDescent="0.3">
      <c r="A1648" s="42" t="s">
        <v>1184</v>
      </c>
      <c r="B1648" s="3" t="s">
        <v>1185</v>
      </c>
      <c r="C1648" s="4">
        <f t="shared" ca="1" si="64"/>
        <v>45788</v>
      </c>
      <c r="D1648" s="4">
        <f ca="1">TODAY()-237</f>
        <v>45800</v>
      </c>
      <c r="E1648" s="3" t="s">
        <v>1029</v>
      </c>
      <c r="F1648" s="43" t="b">
        <v>1</v>
      </c>
      <c r="G1648" s="43" t="b">
        <v>1</v>
      </c>
      <c r="H1648" s="44">
        <v>340</v>
      </c>
    </row>
    <row r="1649" spans="1:8" x14ac:dyDescent="0.3">
      <c r="A1649" s="42" t="s">
        <v>1697</v>
      </c>
      <c r="B1649" s="3" t="s">
        <v>1834</v>
      </c>
      <c r="C1649" s="4">
        <f t="shared" ca="1" si="64"/>
        <v>45788</v>
      </c>
      <c r="D1649" s="4">
        <f t="shared" ref="D1649:D1650" ca="1" si="68">TODAY()-224</f>
        <v>45813</v>
      </c>
      <c r="E1649" s="3" t="s">
        <v>1032</v>
      </c>
      <c r="F1649" s="43" t="b">
        <v>1</v>
      </c>
      <c r="G1649" s="43" t="b">
        <v>0</v>
      </c>
      <c r="H1649" s="44">
        <v>1340</v>
      </c>
    </row>
    <row r="1650" spans="1:8" x14ac:dyDescent="0.3">
      <c r="A1650" s="42" t="s">
        <v>1605</v>
      </c>
      <c r="B1650" s="3" t="s">
        <v>1963</v>
      </c>
      <c r="C1650" s="4">
        <f t="shared" ca="1" si="64"/>
        <v>45788</v>
      </c>
      <c r="D1650" s="4">
        <f t="shared" ca="1" si="68"/>
        <v>45813</v>
      </c>
      <c r="E1650" s="3" t="s">
        <v>1029</v>
      </c>
      <c r="F1650" s="43" t="b">
        <v>1</v>
      </c>
      <c r="G1650" s="43" t="b">
        <v>1</v>
      </c>
      <c r="H1650" s="44">
        <v>1430</v>
      </c>
    </row>
    <row r="1651" spans="1:8" x14ac:dyDescent="0.3">
      <c r="A1651" s="42" t="s">
        <v>1832</v>
      </c>
      <c r="B1651" s="3" t="s">
        <v>1833</v>
      </c>
      <c r="C1651" s="4">
        <f t="shared" ca="1" si="64"/>
        <v>45788</v>
      </c>
      <c r="D1651" s="42"/>
      <c r="E1651" s="3" t="s">
        <v>1108</v>
      </c>
      <c r="F1651" s="43" t="b">
        <v>0</v>
      </c>
      <c r="G1651" s="43" t="b">
        <v>0</v>
      </c>
      <c r="H1651" s="44">
        <v>1300</v>
      </c>
    </row>
    <row r="1652" spans="1:8" x14ac:dyDescent="0.3">
      <c r="A1652" s="42" t="s">
        <v>1030</v>
      </c>
      <c r="B1652" s="3" t="s">
        <v>1031</v>
      </c>
      <c r="C1652" s="4">
        <f t="shared" ca="1" si="64"/>
        <v>45788</v>
      </c>
      <c r="D1652" s="4">
        <f ca="1">TODAY()-221</f>
        <v>45816</v>
      </c>
      <c r="E1652" s="3" t="s">
        <v>1032</v>
      </c>
      <c r="F1652" s="43" t="b">
        <v>1</v>
      </c>
      <c r="G1652" s="43" t="b">
        <v>0</v>
      </c>
      <c r="H1652" s="44">
        <v>2170</v>
      </c>
    </row>
    <row r="1653" spans="1:8" x14ac:dyDescent="0.3">
      <c r="A1653" s="42" t="s">
        <v>1270</v>
      </c>
      <c r="B1653" s="3" t="s">
        <v>1271</v>
      </c>
      <c r="C1653" s="4">
        <f t="shared" ca="1" si="64"/>
        <v>45788</v>
      </c>
      <c r="D1653" s="42"/>
      <c r="E1653" s="3" t="s">
        <v>1101</v>
      </c>
      <c r="F1653" s="43" t="b">
        <v>0</v>
      </c>
      <c r="G1653" s="43" t="b">
        <v>0</v>
      </c>
      <c r="H1653" s="44">
        <v>1140</v>
      </c>
    </row>
    <row r="1654" spans="1:8" x14ac:dyDescent="0.3">
      <c r="A1654" s="42" t="s">
        <v>1487</v>
      </c>
      <c r="B1654" s="3" t="s">
        <v>1488</v>
      </c>
      <c r="C1654" s="4">
        <f t="shared" ca="1" si="64"/>
        <v>45788</v>
      </c>
      <c r="D1654" s="4">
        <f ca="1">TODAY()-227</f>
        <v>45810</v>
      </c>
      <c r="E1654" s="3" t="s">
        <v>1032</v>
      </c>
      <c r="F1654" s="43" t="b">
        <v>1</v>
      </c>
      <c r="G1654" s="43" t="b">
        <v>0</v>
      </c>
      <c r="H1654" s="44">
        <v>2470</v>
      </c>
    </row>
    <row r="1655" spans="1:8" x14ac:dyDescent="0.3">
      <c r="A1655" s="42" t="s">
        <v>1957</v>
      </c>
      <c r="B1655" s="3" t="s">
        <v>1367</v>
      </c>
      <c r="C1655" s="4">
        <f t="shared" ca="1" si="64"/>
        <v>45788</v>
      </c>
      <c r="D1655" s="4">
        <f ca="1">TODAY()-219</f>
        <v>45818</v>
      </c>
      <c r="E1655" s="3" t="s">
        <v>1029</v>
      </c>
      <c r="F1655" s="43" t="b">
        <v>1</v>
      </c>
      <c r="G1655" s="43" t="b">
        <v>1</v>
      </c>
      <c r="H1655" s="44">
        <v>950</v>
      </c>
    </row>
    <row r="1656" spans="1:8" x14ac:dyDescent="0.3">
      <c r="A1656" s="42" t="s">
        <v>1865</v>
      </c>
      <c r="B1656" s="3" t="s">
        <v>1866</v>
      </c>
      <c r="C1656" s="4">
        <f t="shared" ca="1" si="64"/>
        <v>45788</v>
      </c>
      <c r="D1656" s="4">
        <f ca="1">TODAY()-238</f>
        <v>45799</v>
      </c>
      <c r="E1656" s="3" t="s">
        <v>1029</v>
      </c>
      <c r="F1656" s="43" t="b">
        <v>1</v>
      </c>
      <c r="G1656" s="43" t="b">
        <v>1</v>
      </c>
      <c r="H1656" s="44">
        <v>2450</v>
      </c>
    </row>
    <row r="1657" spans="1:8" x14ac:dyDescent="0.3">
      <c r="A1657" s="42" t="s">
        <v>1985</v>
      </c>
      <c r="B1657" s="3" t="s">
        <v>1986</v>
      </c>
      <c r="C1657" s="4">
        <f t="shared" ca="1" si="64"/>
        <v>45788</v>
      </c>
      <c r="D1657" s="4">
        <f ca="1">TODAY()-220</f>
        <v>45817</v>
      </c>
      <c r="E1657" s="3" t="s">
        <v>1029</v>
      </c>
      <c r="F1657" s="43" t="b">
        <v>1</v>
      </c>
      <c r="G1657" s="43" t="b">
        <v>1</v>
      </c>
      <c r="H1657" s="44">
        <v>890</v>
      </c>
    </row>
    <row r="1658" spans="1:8" x14ac:dyDescent="0.3">
      <c r="A1658" s="42" t="s">
        <v>1409</v>
      </c>
      <c r="B1658" s="3" t="s">
        <v>1410</v>
      </c>
      <c r="C1658" s="4">
        <f t="shared" ca="1" si="64"/>
        <v>45788</v>
      </c>
      <c r="D1658" s="4">
        <f ca="1">TODAY()-226</f>
        <v>45811</v>
      </c>
      <c r="E1658" s="3" t="s">
        <v>1032</v>
      </c>
      <c r="F1658" s="43" t="b">
        <v>1</v>
      </c>
      <c r="G1658" s="43" t="b">
        <v>0</v>
      </c>
      <c r="H1658" s="44">
        <v>560</v>
      </c>
    </row>
    <row r="1659" spans="1:8" x14ac:dyDescent="0.3">
      <c r="A1659" s="42" t="s">
        <v>1468</v>
      </c>
      <c r="B1659" s="3" t="s">
        <v>1469</v>
      </c>
      <c r="C1659" s="4">
        <f t="shared" ca="1" si="64"/>
        <v>45788</v>
      </c>
      <c r="D1659" s="4">
        <f ca="1">TODAY()-229</f>
        <v>45808</v>
      </c>
      <c r="E1659" s="3" t="s">
        <v>1029</v>
      </c>
      <c r="F1659" s="43" t="b">
        <v>1</v>
      </c>
      <c r="G1659" s="43" t="b">
        <v>1</v>
      </c>
      <c r="H1659" s="44">
        <v>200</v>
      </c>
    </row>
    <row r="1660" spans="1:8" x14ac:dyDescent="0.3">
      <c r="A1660" s="42" t="s">
        <v>1200</v>
      </c>
      <c r="B1660" s="3" t="s">
        <v>1875</v>
      </c>
      <c r="C1660" s="4">
        <f t="shared" ca="1" si="64"/>
        <v>45788</v>
      </c>
      <c r="D1660" s="42"/>
      <c r="E1660" s="3" t="s">
        <v>1070</v>
      </c>
      <c r="F1660" s="43" t="b">
        <v>0</v>
      </c>
      <c r="G1660" s="43" t="b">
        <v>0</v>
      </c>
      <c r="H1660" s="44">
        <v>740</v>
      </c>
    </row>
    <row r="1661" spans="1:8" x14ac:dyDescent="0.3">
      <c r="A1661" s="42" t="s">
        <v>1203</v>
      </c>
      <c r="B1661" s="3" t="s">
        <v>1204</v>
      </c>
      <c r="C1661" s="4">
        <f t="shared" ca="1" si="64"/>
        <v>45788</v>
      </c>
      <c r="D1661" s="4">
        <f ca="1">TODAY()-223</f>
        <v>45814</v>
      </c>
      <c r="E1661" s="3" t="s">
        <v>1032</v>
      </c>
      <c r="F1661" s="43" t="b">
        <v>1</v>
      </c>
      <c r="G1661" s="43" t="b">
        <v>0</v>
      </c>
      <c r="H1661" s="44">
        <v>410</v>
      </c>
    </row>
    <row r="1662" spans="1:8" x14ac:dyDescent="0.3">
      <c r="A1662" s="42" t="s">
        <v>1689</v>
      </c>
      <c r="B1662" s="3" t="s">
        <v>1701</v>
      </c>
      <c r="C1662" s="4">
        <f t="shared" ca="1" si="64"/>
        <v>45788</v>
      </c>
      <c r="D1662" s="4">
        <f ca="1">TODAY()-231</f>
        <v>45806</v>
      </c>
      <c r="E1662" s="3" t="s">
        <v>1029</v>
      </c>
      <c r="F1662" s="43" t="b">
        <v>1</v>
      </c>
      <c r="G1662" s="43" t="b">
        <v>1</v>
      </c>
      <c r="H1662" s="44">
        <v>4230</v>
      </c>
    </row>
    <row r="1663" spans="1:8" x14ac:dyDescent="0.3">
      <c r="A1663" s="42" t="s">
        <v>1549</v>
      </c>
      <c r="B1663" s="3" t="s">
        <v>1898</v>
      </c>
      <c r="C1663" s="4">
        <f t="shared" ca="1" si="64"/>
        <v>45788</v>
      </c>
      <c r="D1663" s="4">
        <f ca="1">TODAY()-239</f>
        <v>45798</v>
      </c>
      <c r="E1663" s="3" t="s">
        <v>1029</v>
      </c>
      <c r="F1663" s="43" t="b">
        <v>1</v>
      </c>
      <c r="G1663" s="43" t="b">
        <v>1</v>
      </c>
      <c r="H1663" s="44">
        <v>770</v>
      </c>
    </row>
    <row r="1664" spans="1:8" x14ac:dyDescent="0.3">
      <c r="A1664" s="42" t="s">
        <v>1223</v>
      </c>
      <c r="B1664" s="3" t="s">
        <v>1427</v>
      </c>
      <c r="C1664" s="4">
        <f t="shared" ca="1" si="64"/>
        <v>45788</v>
      </c>
      <c r="D1664" s="4">
        <f ca="1">TODAY()-233</f>
        <v>45804</v>
      </c>
      <c r="E1664" s="3" t="s">
        <v>1029</v>
      </c>
      <c r="F1664" s="43" t="b">
        <v>1</v>
      </c>
      <c r="G1664" s="43" t="b">
        <v>1</v>
      </c>
      <c r="H1664" s="44">
        <v>2360</v>
      </c>
    </row>
    <row r="1665" spans="1:8" x14ac:dyDescent="0.3">
      <c r="A1665" s="42" t="s">
        <v>1783</v>
      </c>
      <c r="B1665" s="3" t="s">
        <v>1972</v>
      </c>
      <c r="C1665" s="4">
        <f t="shared" ca="1" si="64"/>
        <v>45788</v>
      </c>
      <c r="D1665" s="4">
        <f ca="1">TODAY()-236</f>
        <v>45801</v>
      </c>
      <c r="E1665" s="3" t="s">
        <v>1029</v>
      </c>
      <c r="F1665" s="43" t="b">
        <v>1</v>
      </c>
      <c r="G1665" s="43" t="b">
        <v>1</v>
      </c>
      <c r="H1665" s="44">
        <v>4020</v>
      </c>
    </row>
    <row r="1666" spans="1:8" x14ac:dyDescent="0.3">
      <c r="A1666" s="42" t="s">
        <v>1141</v>
      </c>
      <c r="B1666" s="3" t="s">
        <v>1183</v>
      </c>
      <c r="C1666" s="4">
        <f t="shared" ca="1" si="64"/>
        <v>45788</v>
      </c>
      <c r="D1666" s="42"/>
      <c r="E1666" s="3" t="s">
        <v>1101</v>
      </c>
      <c r="F1666" s="43" t="b">
        <v>0</v>
      </c>
      <c r="G1666" s="43" t="b">
        <v>0</v>
      </c>
      <c r="H1666" s="44">
        <v>130</v>
      </c>
    </row>
    <row r="1667" spans="1:8" x14ac:dyDescent="0.3">
      <c r="A1667" s="42" t="s">
        <v>1437</v>
      </c>
      <c r="B1667" s="3" t="s">
        <v>1438</v>
      </c>
      <c r="C1667" s="4">
        <f t="shared" ca="1" si="64"/>
        <v>45788</v>
      </c>
      <c r="D1667" s="4">
        <f ca="1">TODAY()-227</f>
        <v>45810</v>
      </c>
      <c r="E1667" s="3" t="s">
        <v>1029</v>
      </c>
      <c r="F1667" s="43" t="b">
        <v>1</v>
      </c>
      <c r="G1667" s="43" t="b">
        <v>1</v>
      </c>
      <c r="H1667" s="44">
        <v>560</v>
      </c>
    </row>
    <row r="1668" spans="1:8" x14ac:dyDescent="0.3">
      <c r="A1668" s="42" t="s">
        <v>1113</v>
      </c>
      <c r="B1668" s="3" t="s">
        <v>1855</v>
      </c>
      <c r="C1668" s="4">
        <f t="shared" ca="1" si="64"/>
        <v>45788</v>
      </c>
      <c r="D1668" s="4">
        <f ca="1">TODAY()-225</f>
        <v>45812</v>
      </c>
      <c r="E1668" s="3" t="s">
        <v>1029</v>
      </c>
      <c r="F1668" s="43" t="b">
        <v>1</v>
      </c>
      <c r="G1668" s="43" t="b">
        <v>1</v>
      </c>
      <c r="H1668" s="44">
        <v>1240</v>
      </c>
    </row>
    <row r="1669" spans="1:8" x14ac:dyDescent="0.3">
      <c r="A1669" s="42" t="s">
        <v>1872</v>
      </c>
      <c r="B1669" s="3" t="s">
        <v>1873</v>
      </c>
      <c r="C1669" s="4">
        <f t="shared" ca="1" si="64"/>
        <v>45788</v>
      </c>
      <c r="D1669" s="4">
        <f ca="1">TODAY()-238</f>
        <v>45799</v>
      </c>
      <c r="E1669" s="3" t="s">
        <v>1029</v>
      </c>
      <c r="F1669" s="43" t="b">
        <v>1</v>
      </c>
      <c r="G1669" s="43" t="b">
        <v>1</v>
      </c>
      <c r="H1669" s="44">
        <v>2070</v>
      </c>
    </row>
    <row r="1670" spans="1:8" x14ac:dyDescent="0.3">
      <c r="A1670" s="42" t="s">
        <v>1415</v>
      </c>
      <c r="B1670" s="3" t="s">
        <v>1416</v>
      </c>
      <c r="C1670" s="4">
        <f t="shared" ca="1" si="64"/>
        <v>45788</v>
      </c>
      <c r="D1670" s="4">
        <f ca="1">TODAY()-219</f>
        <v>45818</v>
      </c>
      <c r="E1670" s="3" t="s">
        <v>1029</v>
      </c>
      <c r="F1670" s="43" t="b">
        <v>1</v>
      </c>
      <c r="G1670" s="43" t="b">
        <v>1</v>
      </c>
      <c r="H1670" s="44">
        <v>580</v>
      </c>
    </row>
    <row r="1671" spans="1:8" x14ac:dyDescent="0.3">
      <c r="A1671" s="42" t="s">
        <v>1361</v>
      </c>
      <c r="B1671" s="3" t="s">
        <v>1664</v>
      </c>
      <c r="C1671" s="4">
        <f t="shared" ca="1" si="64"/>
        <v>45788</v>
      </c>
      <c r="D1671" s="4">
        <f ca="1">TODAY()-239</f>
        <v>45798</v>
      </c>
      <c r="E1671" s="3" t="s">
        <v>1029</v>
      </c>
      <c r="F1671" s="43" t="b">
        <v>1</v>
      </c>
      <c r="G1671" s="43" t="b">
        <v>1</v>
      </c>
      <c r="H1671" s="44">
        <v>1990</v>
      </c>
    </row>
    <row r="1672" spans="1:8" x14ac:dyDescent="0.3">
      <c r="A1672" s="42" t="s">
        <v>1722</v>
      </c>
      <c r="B1672" s="3" t="s">
        <v>1114</v>
      </c>
      <c r="C1672" s="4">
        <f t="shared" ca="1" si="64"/>
        <v>45788</v>
      </c>
      <c r="D1672" s="42"/>
      <c r="E1672" s="3" t="s">
        <v>1108</v>
      </c>
      <c r="F1672" s="43" t="b">
        <v>0</v>
      </c>
      <c r="G1672" s="43" t="b">
        <v>0</v>
      </c>
      <c r="H1672" s="44">
        <v>1680</v>
      </c>
    </row>
    <row r="1673" spans="1:8" x14ac:dyDescent="0.3">
      <c r="A1673" s="42" t="s">
        <v>1922</v>
      </c>
      <c r="B1673" s="3" t="s">
        <v>1545</v>
      </c>
      <c r="C1673" s="4">
        <f t="shared" ca="1" si="64"/>
        <v>45788</v>
      </c>
      <c r="D1673" s="42"/>
      <c r="E1673" s="3" t="s">
        <v>1037</v>
      </c>
      <c r="F1673" s="43" t="b">
        <v>0</v>
      </c>
      <c r="G1673" s="43" t="b">
        <v>0</v>
      </c>
      <c r="H1673" s="44">
        <v>2360</v>
      </c>
    </row>
    <row r="1674" spans="1:8" x14ac:dyDescent="0.3">
      <c r="A1674" s="42" t="s">
        <v>1865</v>
      </c>
      <c r="B1674" s="3" t="s">
        <v>1866</v>
      </c>
      <c r="C1674" s="4">
        <f t="shared" ca="1" si="64"/>
        <v>45788</v>
      </c>
      <c r="D1674" s="4">
        <f ca="1">TODAY()-230</f>
        <v>45807</v>
      </c>
      <c r="E1674" s="3" t="s">
        <v>1029</v>
      </c>
      <c r="F1674" s="43" t="b">
        <v>1</v>
      </c>
      <c r="G1674" s="43" t="b">
        <v>1</v>
      </c>
      <c r="H1674" s="44">
        <v>2450</v>
      </c>
    </row>
    <row r="1675" spans="1:8" x14ac:dyDescent="0.3">
      <c r="A1675" s="42" t="s">
        <v>1235</v>
      </c>
      <c r="B1675" s="3" t="s">
        <v>1939</v>
      </c>
      <c r="C1675" s="4">
        <f t="shared" ca="1" si="64"/>
        <v>45788</v>
      </c>
      <c r="D1675" s="4">
        <f ca="1">TODAY()-222</f>
        <v>45815</v>
      </c>
      <c r="E1675" s="3" t="s">
        <v>1029</v>
      </c>
      <c r="F1675" s="43" t="b">
        <v>1</v>
      </c>
      <c r="G1675" s="43" t="b">
        <v>1</v>
      </c>
      <c r="H1675" s="44">
        <v>2200</v>
      </c>
    </row>
    <row r="1676" spans="1:8" x14ac:dyDescent="0.3">
      <c r="A1676" s="42" t="s">
        <v>1713</v>
      </c>
      <c r="B1676" s="3" t="s">
        <v>1201</v>
      </c>
      <c r="C1676" s="4">
        <f t="shared" ca="1" si="64"/>
        <v>45788</v>
      </c>
      <c r="D1676" s="4">
        <f ca="1">TODAY()-227</f>
        <v>45810</v>
      </c>
      <c r="E1676" s="3" t="s">
        <v>1029</v>
      </c>
      <c r="F1676" s="43" t="b">
        <v>1</v>
      </c>
      <c r="G1676" s="43" t="b">
        <v>1</v>
      </c>
      <c r="H1676" s="44">
        <v>2960</v>
      </c>
    </row>
    <row r="1677" spans="1:8" x14ac:dyDescent="0.3">
      <c r="A1677" s="42" t="s">
        <v>1894</v>
      </c>
      <c r="B1677" s="3" t="s">
        <v>1247</v>
      </c>
      <c r="C1677" s="4">
        <f t="shared" ca="1" si="64"/>
        <v>45788</v>
      </c>
      <c r="D1677" s="4">
        <f ca="1">TODAY()-232</f>
        <v>45805</v>
      </c>
      <c r="E1677" s="3" t="s">
        <v>1032</v>
      </c>
      <c r="F1677" s="43" t="b">
        <v>1</v>
      </c>
      <c r="G1677" s="43" t="b">
        <v>0</v>
      </c>
      <c r="H1677" s="44">
        <v>810</v>
      </c>
    </row>
    <row r="1678" spans="1:8" x14ac:dyDescent="0.3">
      <c r="A1678" s="42" t="s">
        <v>1173</v>
      </c>
      <c r="B1678" s="3" t="s">
        <v>1706</v>
      </c>
      <c r="C1678" s="4">
        <f t="shared" ca="1" si="64"/>
        <v>45788</v>
      </c>
      <c r="D1678" s="42"/>
      <c r="E1678" s="3" t="s">
        <v>1070</v>
      </c>
      <c r="F1678" s="43" t="b">
        <v>0</v>
      </c>
      <c r="G1678" s="43" t="b">
        <v>0</v>
      </c>
      <c r="H1678" s="44">
        <v>130</v>
      </c>
    </row>
    <row r="1679" spans="1:8" x14ac:dyDescent="0.3">
      <c r="A1679" s="42" t="s">
        <v>1915</v>
      </c>
      <c r="B1679" s="3" t="s">
        <v>1831</v>
      </c>
      <c r="C1679" s="4">
        <f t="shared" ca="1" si="64"/>
        <v>45788</v>
      </c>
      <c r="D1679" s="4">
        <f ca="1">TODAY()-219</f>
        <v>45818</v>
      </c>
      <c r="E1679" s="3" t="s">
        <v>1032</v>
      </c>
      <c r="F1679" s="43" t="b">
        <v>1</v>
      </c>
      <c r="G1679" s="43" t="b">
        <v>0</v>
      </c>
      <c r="H1679" s="44">
        <v>250</v>
      </c>
    </row>
    <row r="1680" spans="1:8" x14ac:dyDescent="0.3">
      <c r="A1680" s="42" t="s">
        <v>1783</v>
      </c>
      <c r="B1680" s="3" t="s">
        <v>1972</v>
      </c>
      <c r="C1680" s="4">
        <f t="shared" ca="1" si="64"/>
        <v>45788</v>
      </c>
      <c r="D1680" s="4">
        <f ca="1">TODAY()-234</f>
        <v>45803</v>
      </c>
      <c r="E1680" s="3" t="s">
        <v>1029</v>
      </c>
      <c r="F1680" s="43" t="b">
        <v>1</v>
      </c>
      <c r="G1680" s="43" t="b">
        <v>1</v>
      </c>
      <c r="H1680" s="44">
        <v>4020</v>
      </c>
    </row>
    <row r="1681" spans="1:8" x14ac:dyDescent="0.3">
      <c r="A1681" s="42" t="s">
        <v>1697</v>
      </c>
      <c r="B1681" s="3" t="s">
        <v>1698</v>
      </c>
      <c r="C1681" s="4">
        <f t="shared" ca="1" si="64"/>
        <v>45788</v>
      </c>
      <c r="D1681" s="4">
        <f ca="1">TODAY()-233</f>
        <v>45804</v>
      </c>
      <c r="E1681" s="3" t="s">
        <v>1029</v>
      </c>
      <c r="F1681" s="43" t="b">
        <v>1</v>
      </c>
      <c r="G1681" s="43" t="b">
        <v>1</v>
      </c>
      <c r="H1681" s="44">
        <v>2160</v>
      </c>
    </row>
    <row r="1682" spans="1:8" x14ac:dyDescent="0.3">
      <c r="A1682" s="42" t="s">
        <v>1827</v>
      </c>
      <c r="B1682" s="3" t="s">
        <v>1828</v>
      </c>
      <c r="C1682" s="4">
        <f t="shared" ca="1" si="64"/>
        <v>45788</v>
      </c>
      <c r="D1682" s="4">
        <f ca="1">TODAY()-219</f>
        <v>45818</v>
      </c>
      <c r="E1682" s="3" t="s">
        <v>1029</v>
      </c>
      <c r="F1682" s="43" t="b">
        <v>1</v>
      </c>
      <c r="G1682" s="43" t="b">
        <v>1</v>
      </c>
      <c r="H1682" s="44">
        <v>660</v>
      </c>
    </row>
    <row r="1683" spans="1:8" x14ac:dyDescent="0.3">
      <c r="A1683" s="42" t="s">
        <v>1219</v>
      </c>
      <c r="B1683" s="3" t="s">
        <v>1414</v>
      </c>
      <c r="C1683" s="4">
        <f t="shared" ca="1" si="64"/>
        <v>45788</v>
      </c>
      <c r="D1683" s="4">
        <f ca="1">TODAY()-229</f>
        <v>45808</v>
      </c>
      <c r="E1683" s="3" t="s">
        <v>1029</v>
      </c>
      <c r="F1683" s="43" t="b">
        <v>1</v>
      </c>
      <c r="G1683" s="43" t="b">
        <v>1</v>
      </c>
      <c r="H1683" s="44">
        <v>720</v>
      </c>
    </row>
    <row r="1684" spans="1:8" x14ac:dyDescent="0.3">
      <c r="A1684" s="42" t="s">
        <v>1553</v>
      </c>
      <c r="B1684" s="3" t="s">
        <v>1945</v>
      </c>
      <c r="C1684" s="4">
        <f t="shared" ca="1" si="64"/>
        <v>45788</v>
      </c>
      <c r="D1684" s="4">
        <f ca="1">TODAY()-233</f>
        <v>45804</v>
      </c>
      <c r="E1684" s="3" t="s">
        <v>1032</v>
      </c>
      <c r="F1684" s="43" t="b">
        <v>1</v>
      </c>
      <c r="G1684" s="43" t="b">
        <v>0</v>
      </c>
      <c r="H1684" s="44">
        <v>640</v>
      </c>
    </row>
    <row r="1685" spans="1:8" x14ac:dyDescent="0.3">
      <c r="A1685" s="42" t="s">
        <v>1085</v>
      </c>
      <c r="B1685" s="3" t="s">
        <v>1086</v>
      </c>
      <c r="C1685" s="4">
        <f t="shared" ca="1" si="64"/>
        <v>45788</v>
      </c>
      <c r="D1685" s="4">
        <f ca="1">TODAY()-224</f>
        <v>45813</v>
      </c>
      <c r="E1685" s="3" t="s">
        <v>1029</v>
      </c>
      <c r="F1685" s="43" t="b">
        <v>1</v>
      </c>
      <c r="G1685" s="43" t="b">
        <v>1</v>
      </c>
      <c r="H1685" s="44">
        <v>390</v>
      </c>
    </row>
    <row r="1686" spans="1:8" x14ac:dyDescent="0.3">
      <c r="A1686" s="42" t="s">
        <v>1290</v>
      </c>
      <c r="B1686" s="3" t="s">
        <v>1291</v>
      </c>
      <c r="C1686" s="4">
        <f t="shared" ca="1" si="64"/>
        <v>45788</v>
      </c>
      <c r="D1686" s="4">
        <f t="shared" ref="D1686:D1687" ca="1" si="69">TODAY()-236</f>
        <v>45801</v>
      </c>
      <c r="E1686" s="3" t="s">
        <v>1029</v>
      </c>
      <c r="F1686" s="43" t="b">
        <v>1</v>
      </c>
      <c r="G1686" s="43" t="b">
        <v>1</v>
      </c>
      <c r="H1686" s="44">
        <v>430</v>
      </c>
    </row>
    <row r="1687" spans="1:8" x14ac:dyDescent="0.3">
      <c r="A1687" s="42" t="s">
        <v>1147</v>
      </c>
      <c r="B1687" s="3" t="s">
        <v>1247</v>
      </c>
      <c r="C1687" s="4">
        <f t="shared" ca="1" si="64"/>
        <v>45788</v>
      </c>
      <c r="D1687" s="4">
        <f t="shared" ca="1" si="69"/>
        <v>45801</v>
      </c>
      <c r="E1687" s="3" t="s">
        <v>1029</v>
      </c>
      <c r="F1687" s="43" t="b">
        <v>1</v>
      </c>
      <c r="G1687" s="43" t="b">
        <v>1</v>
      </c>
      <c r="H1687" s="44">
        <v>1530</v>
      </c>
    </row>
    <row r="1688" spans="1:8" x14ac:dyDescent="0.3">
      <c r="A1688" s="42" t="s">
        <v>1298</v>
      </c>
      <c r="B1688" s="3" t="s">
        <v>1222</v>
      </c>
      <c r="C1688" s="4">
        <f t="shared" ca="1" si="64"/>
        <v>45788</v>
      </c>
      <c r="D1688" s="4">
        <f ca="1">TODAY()-237</f>
        <v>45800</v>
      </c>
      <c r="E1688" s="3" t="s">
        <v>1029</v>
      </c>
      <c r="F1688" s="43" t="b">
        <v>1</v>
      </c>
      <c r="G1688" s="43" t="b">
        <v>1</v>
      </c>
      <c r="H1688" s="44">
        <v>1700</v>
      </c>
    </row>
    <row r="1689" spans="1:8" x14ac:dyDescent="0.3">
      <c r="A1689" s="42" t="s">
        <v>1451</v>
      </c>
      <c r="B1689" s="3" t="s">
        <v>1452</v>
      </c>
      <c r="C1689" s="4">
        <f t="shared" ca="1" si="64"/>
        <v>45788</v>
      </c>
      <c r="D1689" s="42"/>
      <c r="E1689" s="3" t="s">
        <v>1108</v>
      </c>
      <c r="F1689" s="43" t="b">
        <v>0</v>
      </c>
      <c r="G1689" s="43" t="b">
        <v>0</v>
      </c>
      <c r="H1689" s="44">
        <v>590</v>
      </c>
    </row>
    <row r="1690" spans="1:8" x14ac:dyDescent="0.3">
      <c r="A1690" s="42" t="s">
        <v>1097</v>
      </c>
      <c r="B1690" s="3" t="s">
        <v>1692</v>
      </c>
      <c r="C1690" s="4">
        <f t="shared" ca="1" si="64"/>
        <v>45788</v>
      </c>
      <c r="D1690" s="4">
        <f ca="1">TODAY()-222</f>
        <v>45815</v>
      </c>
      <c r="E1690" s="3" t="s">
        <v>1032</v>
      </c>
      <c r="F1690" s="43" t="b">
        <v>1</v>
      </c>
      <c r="G1690" s="43" t="b">
        <v>0</v>
      </c>
      <c r="H1690" s="44">
        <v>2050</v>
      </c>
    </row>
    <row r="1691" spans="1:8" x14ac:dyDescent="0.3">
      <c r="A1691" s="42" t="s">
        <v>1941</v>
      </c>
      <c r="B1691" s="3" t="s">
        <v>1978</v>
      </c>
      <c r="C1691" s="4">
        <f t="shared" ca="1" si="64"/>
        <v>45788</v>
      </c>
      <c r="D1691" s="4">
        <f ca="1">TODAY()-235</f>
        <v>45802</v>
      </c>
      <c r="E1691" s="3" t="s">
        <v>1032</v>
      </c>
      <c r="F1691" s="43" t="b">
        <v>1</v>
      </c>
      <c r="G1691" s="43" t="b">
        <v>0</v>
      </c>
      <c r="H1691" s="44">
        <v>720</v>
      </c>
    </row>
    <row r="1692" spans="1:8" x14ac:dyDescent="0.3">
      <c r="A1692" s="42" t="s">
        <v>1194</v>
      </c>
      <c r="B1692" s="3" t="s">
        <v>1275</v>
      </c>
      <c r="C1692" s="4">
        <f t="shared" ca="1" si="64"/>
        <v>45788</v>
      </c>
      <c r="D1692" s="4">
        <f ca="1">TODAY()-223</f>
        <v>45814</v>
      </c>
      <c r="E1692" s="3" t="s">
        <v>1029</v>
      </c>
      <c r="F1692" s="43" t="b">
        <v>1</v>
      </c>
      <c r="G1692" s="43" t="b">
        <v>1</v>
      </c>
      <c r="H1692" s="44">
        <v>1920</v>
      </c>
    </row>
    <row r="1693" spans="1:8" x14ac:dyDescent="0.3">
      <c r="A1693" s="42" t="s">
        <v>1661</v>
      </c>
      <c r="B1693" s="3" t="s">
        <v>1662</v>
      </c>
      <c r="C1693" s="4">
        <f t="shared" ca="1" si="64"/>
        <v>45788</v>
      </c>
      <c r="D1693" s="4">
        <f t="shared" ref="D1693:D1694" ca="1" si="70">TODAY()-219</f>
        <v>45818</v>
      </c>
      <c r="E1693" s="3" t="s">
        <v>1029</v>
      </c>
      <c r="F1693" s="43" t="b">
        <v>1</v>
      </c>
      <c r="G1693" s="43" t="b">
        <v>1</v>
      </c>
      <c r="H1693" s="44">
        <v>330</v>
      </c>
    </row>
    <row r="1694" spans="1:8" x14ac:dyDescent="0.3">
      <c r="A1694" s="42" t="s">
        <v>1042</v>
      </c>
      <c r="B1694" s="3" t="s">
        <v>1043</v>
      </c>
      <c r="C1694" s="4">
        <f t="shared" ca="1" si="64"/>
        <v>45788</v>
      </c>
      <c r="D1694" s="4">
        <f t="shared" ca="1" si="70"/>
        <v>45818</v>
      </c>
      <c r="E1694" s="3" t="s">
        <v>1029</v>
      </c>
      <c r="F1694" s="43" t="b">
        <v>1</v>
      </c>
      <c r="G1694" s="43" t="b">
        <v>1</v>
      </c>
      <c r="H1694" s="44">
        <v>1580</v>
      </c>
    </row>
    <row r="1695" spans="1:8" x14ac:dyDescent="0.3">
      <c r="A1695" s="42" t="s">
        <v>1149</v>
      </c>
      <c r="B1695" s="3" t="s">
        <v>1150</v>
      </c>
      <c r="C1695" s="4">
        <f t="shared" ca="1" si="64"/>
        <v>45788</v>
      </c>
      <c r="D1695" s="4">
        <f ca="1">TODAY()-233</f>
        <v>45804</v>
      </c>
      <c r="E1695" s="3" t="s">
        <v>1029</v>
      </c>
      <c r="F1695" s="43" t="b">
        <v>1</v>
      </c>
      <c r="G1695" s="43" t="b">
        <v>1</v>
      </c>
      <c r="H1695" s="44">
        <v>2330</v>
      </c>
    </row>
    <row r="1696" spans="1:8" x14ac:dyDescent="0.3">
      <c r="A1696" s="42" t="s">
        <v>1079</v>
      </c>
      <c r="B1696" s="3" t="s">
        <v>1317</v>
      </c>
      <c r="C1696" s="4">
        <f t="shared" ca="1" si="64"/>
        <v>45788</v>
      </c>
      <c r="D1696" s="4">
        <f ca="1">TODAY()-219</f>
        <v>45818</v>
      </c>
      <c r="E1696" s="3" t="s">
        <v>1029</v>
      </c>
      <c r="F1696" s="43" t="b">
        <v>1</v>
      </c>
      <c r="G1696" s="43" t="b">
        <v>1</v>
      </c>
      <c r="H1696" s="44">
        <v>500</v>
      </c>
    </row>
    <row r="1697" spans="1:8" x14ac:dyDescent="0.3">
      <c r="A1697" s="42" t="s">
        <v>1669</v>
      </c>
      <c r="B1697" s="3" t="s">
        <v>1670</v>
      </c>
      <c r="C1697" s="4">
        <f t="shared" ca="1" si="64"/>
        <v>45788</v>
      </c>
      <c r="D1697" s="4">
        <f ca="1">TODAY()-221</f>
        <v>45816</v>
      </c>
      <c r="E1697" s="3" t="s">
        <v>1029</v>
      </c>
      <c r="F1697" s="43" t="b">
        <v>1</v>
      </c>
      <c r="G1697" s="43" t="b">
        <v>1</v>
      </c>
      <c r="H1697" s="44">
        <v>2200</v>
      </c>
    </row>
    <row r="1698" spans="1:8" x14ac:dyDescent="0.3">
      <c r="A1698" s="42" t="s">
        <v>1348</v>
      </c>
      <c r="B1698" s="3" t="s">
        <v>1480</v>
      </c>
      <c r="C1698" s="4">
        <f t="shared" ref="C1698:C1819" ca="1" si="71">TODAY()-218</f>
        <v>45819</v>
      </c>
      <c r="D1698" s="42"/>
      <c r="E1698" s="3" t="s">
        <v>1108</v>
      </c>
      <c r="F1698" s="43" t="b">
        <v>0</v>
      </c>
      <c r="G1698" s="43" t="b">
        <v>0</v>
      </c>
      <c r="H1698" s="44">
        <v>2330</v>
      </c>
    </row>
    <row r="1699" spans="1:8" x14ac:dyDescent="0.3">
      <c r="A1699" s="42" t="s">
        <v>1035</v>
      </c>
      <c r="B1699" s="3" t="s">
        <v>1222</v>
      </c>
      <c r="C1699" s="4">
        <f t="shared" ca="1" si="71"/>
        <v>45819</v>
      </c>
      <c r="D1699" s="4">
        <f ca="1">TODAY()-189</f>
        <v>45848</v>
      </c>
      <c r="E1699" s="3" t="s">
        <v>1029</v>
      </c>
      <c r="F1699" s="43" t="b">
        <v>1</v>
      </c>
      <c r="G1699" s="43" t="b">
        <v>1</v>
      </c>
      <c r="H1699" s="44">
        <v>5400</v>
      </c>
    </row>
    <row r="1700" spans="1:8" x14ac:dyDescent="0.3">
      <c r="A1700" s="42" t="s">
        <v>1458</v>
      </c>
      <c r="B1700" s="3" t="s">
        <v>1459</v>
      </c>
      <c r="C1700" s="4">
        <f t="shared" ca="1" si="71"/>
        <v>45819</v>
      </c>
      <c r="D1700" s="42"/>
      <c r="E1700" s="3" t="s">
        <v>1108</v>
      </c>
      <c r="F1700" s="43" t="b">
        <v>0</v>
      </c>
      <c r="G1700" s="43" t="b">
        <v>0</v>
      </c>
      <c r="H1700" s="44">
        <v>1570</v>
      </c>
    </row>
    <row r="1701" spans="1:8" x14ac:dyDescent="0.3">
      <c r="A1701" s="42" t="s">
        <v>1799</v>
      </c>
      <c r="B1701" s="3" t="s">
        <v>1889</v>
      </c>
      <c r="C1701" s="4">
        <f t="shared" ca="1" si="71"/>
        <v>45819</v>
      </c>
      <c r="D1701" s="4">
        <f ca="1">TODAY()-200</f>
        <v>45837</v>
      </c>
      <c r="E1701" s="3" t="s">
        <v>1032</v>
      </c>
      <c r="F1701" s="43" t="b">
        <v>1</v>
      </c>
      <c r="G1701" s="43" t="b">
        <v>0</v>
      </c>
      <c r="H1701" s="44">
        <v>1340</v>
      </c>
    </row>
    <row r="1702" spans="1:8" x14ac:dyDescent="0.3">
      <c r="A1702" s="42" t="s">
        <v>1576</v>
      </c>
      <c r="B1702" s="3" t="s">
        <v>1577</v>
      </c>
      <c r="C1702" s="4">
        <f t="shared" ca="1" si="71"/>
        <v>45819</v>
      </c>
      <c r="D1702" s="42"/>
      <c r="E1702" s="3" t="s">
        <v>1077</v>
      </c>
      <c r="F1702" s="43" t="b">
        <v>0</v>
      </c>
      <c r="G1702" s="43" t="b">
        <v>0</v>
      </c>
      <c r="H1702" s="44">
        <v>590</v>
      </c>
    </row>
    <row r="1703" spans="1:8" x14ac:dyDescent="0.3">
      <c r="A1703" s="42" t="s">
        <v>1215</v>
      </c>
      <c r="B1703" s="3" t="s">
        <v>1511</v>
      </c>
      <c r="C1703" s="4">
        <f t="shared" ca="1" si="71"/>
        <v>45819</v>
      </c>
      <c r="D1703" s="42"/>
      <c r="E1703" s="3" t="s">
        <v>1037</v>
      </c>
      <c r="F1703" s="43" t="b">
        <v>0</v>
      </c>
      <c r="G1703" s="43" t="b">
        <v>0</v>
      </c>
      <c r="H1703" s="44">
        <v>940</v>
      </c>
    </row>
    <row r="1704" spans="1:8" x14ac:dyDescent="0.3">
      <c r="A1704" s="42" t="s">
        <v>1797</v>
      </c>
      <c r="B1704" s="3" t="s">
        <v>1930</v>
      </c>
      <c r="C1704" s="4">
        <f t="shared" ca="1" si="71"/>
        <v>45819</v>
      </c>
      <c r="D1704" s="4">
        <f ca="1">TODAY()-201</f>
        <v>45836</v>
      </c>
      <c r="E1704" s="3" t="s">
        <v>1029</v>
      </c>
      <c r="F1704" s="43" t="b">
        <v>1</v>
      </c>
      <c r="G1704" s="43" t="b">
        <v>1</v>
      </c>
      <c r="H1704" s="44">
        <v>880</v>
      </c>
    </row>
    <row r="1705" spans="1:8" x14ac:dyDescent="0.3">
      <c r="A1705" s="42" t="s">
        <v>1979</v>
      </c>
      <c r="B1705" s="3" t="s">
        <v>1980</v>
      </c>
      <c r="C1705" s="4">
        <f t="shared" ca="1" si="71"/>
        <v>45819</v>
      </c>
      <c r="D1705" s="4">
        <f ca="1">TODAY()-195</f>
        <v>45842</v>
      </c>
      <c r="E1705" s="3" t="s">
        <v>1029</v>
      </c>
      <c r="F1705" s="43" t="b">
        <v>1</v>
      </c>
      <c r="G1705" s="43" t="b">
        <v>1</v>
      </c>
      <c r="H1705" s="44">
        <v>510</v>
      </c>
    </row>
    <row r="1706" spans="1:8" x14ac:dyDescent="0.3">
      <c r="A1706" s="42" t="s">
        <v>1453</v>
      </c>
      <c r="B1706" s="3" t="s">
        <v>1454</v>
      </c>
      <c r="C1706" s="4">
        <f t="shared" ca="1" si="71"/>
        <v>45819</v>
      </c>
      <c r="D1706" s="4">
        <f ca="1">TODAY()-201</f>
        <v>45836</v>
      </c>
      <c r="E1706" s="3" t="s">
        <v>1029</v>
      </c>
      <c r="F1706" s="43" t="b">
        <v>1</v>
      </c>
      <c r="G1706" s="43" t="b">
        <v>1</v>
      </c>
      <c r="H1706" s="44">
        <v>1030</v>
      </c>
    </row>
    <row r="1707" spans="1:8" x14ac:dyDescent="0.3">
      <c r="A1707" s="42" t="s">
        <v>1401</v>
      </c>
      <c r="B1707" s="3" t="s">
        <v>1509</v>
      </c>
      <c r="C1707" s="4">
        <f t="shared" ca="1" si="71"/>
        <v>45819</v>
      </c>
      <c r="D1707" s="4">
        <f ca="1">TODAY()-192</f>
        <v>45845</v>
      </c>
      <c r="E1707" s="3" t="s">
        <v>1029</v>
      </c>
      <c r="F1707" s="43" t="b">
        <v>1</v>
      </c>
      <c r="G1707" s="43" t="b">
        <v>1</v>
      </c>
      <c r="H1707" s="44">
        <v>2370</v>
      </c>
    </row>
    <row r="1708" spans="1:8" x14ac:dyDescent="0.3">
      <c r="A1708" s="42" t="s">
        <v>1702</v>
      </c>
      <c r="B1708" s="3" t="s">
        <v>1201</v>
      </c>
      <c r="C1708" s="4">
        <f t="shared" ca="1" si="71"/>
        <v>45819</v>
      </c>
      <c r="D1708" s="4">
        <f ca="1">TODAY()-196</f>
        <v>45841</v>
      </c>
      <c r="E1708" s="3" t="s">
        <v>1029</v>
      </c>
      <c r="F1708" s="43" t="b">
        <v>1</v>
      </c>
      <c r="G1708" s="43" t="b">
        <v>1</v>
      </c>
      <c r="H1708" s="44">
        <v>2790</v>
      </c>
    </row>
    <row r="1709" spans="1:8" x14ac:dyDescent="0.3">
      <c r="A1709" s="42" t="s">
        <v>1056</v>
      </c>
      <c r="B1709" s="3" t="s">
        <v>1057</v>
      </c>
      <c r="C1709" s="4">
        <f t="shared" ca="1" si="71"/>
        <v>45819</v>
      </c>
      <c r="D1709" s="4">
        <f t="shared" ref="D1709:D1710" ca="1" si="72">TODAY()-198</f>
        <v>45839</v>
      </c>
      <c r="E1709" s="3" t="s">
        <v>1032</v>
      </c>
      <c r="F1709" s="43" t="b">
        <v>1</v>
      </c>
      <c r="G1709" s="43" t="b">
        <v>0</v>
      </c>
      <c r="H1709" s="44">
        <v>1490</v>
      </c>
    </row>
    <row r="1710" spans="1:8" x14ac:dyDescent="0.3">
      <c r="A1710" s="42" t="s">
        <v>1399</v>
      </c>
      <c r="B1710" s="3" t="s">
        <v>1962</v>
      </c>
      <c r="C1710" s="4">
        <f t="shared" ca="1" si="71"/>
        <v>45819</v>
      </c>
      <c r="D1710" s="4">
        <f t="shared" ca="1" si="72"/>
        <v>45839</v>
      </c>
      <c r="E1710" s="3" t="s">
        <v>1029</v>
      </c>
      <c r="F1710" s="43" t="b">
        <v>1</v>
      </c>
      <c r="G1710" s="43" t="b">
        <v>1</v>
      </c>
      <c r="H1710" s="44">
        <v>1830</v>
      </c>
    </row>
    <row r="1711" spans="1:8" x14ac:dyDescent="0.3">
      <c r="A1711" s="42" t="s">
        <v>1612</v>
      </c>
      <c r="B1711" s="3" t="s">
        <v>1613</v>
      </c>
      <c r="C1711" s="4">
        <f t="shared" ca="1" si="71"/>
        <v>45819</v>
      </c>
      <c r="D1711" s="42"/>
      <c r="E1711" s="3" t="s">
        <v>1101</v>
      </c>
      <c r="F1711" s="43" t="b">
        <v>0</v>
      </c>
      <c r="G1711" s="43" t="b">
        <v>0</v>
      </c>
      <c r="H1711" s="44">
        <v>590</v>
      </c>
    </row>
    <row r="1712" spans="1:8" x14ac:dyDescent="0.3">
      <c r="A1712" s="42" t="s">
        <v>1512</v>
      </c>
      <c r="B1712" s="3" t="s">
        <v>1513</v>
      </c>
      <c r="C1712" s="4">
        <f t="shared" ca="1" si="71"/>
        <v>45819</v>
      </c>
      <c r="D1712" s="4">
        <f ca="1">TODAY()-190</f>
        <v>45847</v>
      </c>
      <c r="E1712" s="3" t="s">
        <v>1029</v>
      </c>
      <c r="F1712" s="43" t="b">
        <v>1</v>
      </c>
      <c r="G1712" s="43" t="b">
        <v>1</v>
      </c>
      <c r="H1712" s="44">
        <v>530</v>
      </c>
    </row>
    <row r="1713" spans="1:8" x14ac:dyDescent="0.3">
      <c r="A1713" s="42" t="s">
        <v>1487</v>
      </c>
      <c r="B1713" s="3" t="s">
        <v>1488</v>
      </c>
      <c r="C1713" s="4">
        <f t="shared" ca="1" si="71"/>
        <v>45819</v>
      </c>
      <c r="D1713" s="4">
        <f ca="1">TODAY()-188</f>
        <v>45849</v>
      </c>
      <c r="E1713" s="3" t="s">
        <v>1032</v>
      </c>
      <c r="F1713" s="43" t="b">
        <v>1</v>
      </c>
      <c r="G1713" s="43" t="b">
        <v>0</v>
      </c>
      <c r="H1713" s="44">
        <v>2470</v>
      </c>
    </row>
    <row r="1714" spans="1:8" x14ac:dyDescent="0.3">
      <c r="A1714" s="42" t="s">
        <v>1676</v>
      </c>
      <c r="B1714" s="3" t="s">
        <v>1677</v>
      </c>
      <c r="C1714" s="4">
        <f t="shared" ca="1" si="71"/>
        <v>45819</v>
      </c>
      <c r="D1714" s="42"/>
      <c r="E1714" s="3" t="s">
        <v>1101</v>
      </c>
      <c r="F1714" s="43" t="b">
        <v>0</v>
      </c>
      <c r="G1714" s="43" t="b">
        <v>0</v>
      </c>
      <c r="H1714" s="44">
        <v>410</v>
      </c>
    </row>
    <row r="1715" spans="1:8" x14ac:dyDescent="0.3">
      <c r="A1715" s="42" t="s">
        <v>1595</v>
      </c>
      <c r="B1715" s="3" t="s">
        <v>1769</v>
      </c>
      <c r="C1715" s="4">
        <f t="shared" ca="1" si="71"/>
        <v>45819</v>
      </c>
      <c r="D1715" s="4">
        <f ca="1">TODAY()-192</f>
        <v>45845</v>
      </c>
      <c r="E1715" s="3" t="s">
        <v>1029</v>
      </c>
      <c r="F1715" s="43" t="b">
        <v>1</v>
      </c>
      <c r="G1715" s="43" t="b">
        <v>1</v>
      </c>
      <c r="H1715" s="44">
        <v>1770</v>
      </c>
    </row>
    <row r="1716" spans="1:8" x14ac:dyDescent="0.3">
      <c r="A1716" s="42" t="s">
        <v>1827</v>
      </c>
      <c r="B1716" s="3" t="s">
        <v>1987</v>
      </c>
      <c r="C1716" s="4">
        <f t="shared" ca="1" si="71"/>
        <v>45819</v>
      </c>
      <c r="D1716" s="4">
        <f ca="1">TODAY()-204</f>
        <v>45833</v>
      </c>
      <c r="E1716" s="3" t="s">
        <v>1029</v>
      </c>
      <c r="F1716" s="43" t="b">
        <v>1</v>
      </c>
      <c r="G1716" s="43" t="b">
        <v>1</v>
      </c>
      <c r="H1716" s="44">
        <v>2360</v>
      </c>
    </row>
    <row r="1717" spans="1:8" x14ac:dyDescent="0.3">
      <c r="A1717" s="42" t="s">
        <v>1175</v>
      </c>
      <c r="B1717" s="3" t="s">
        <v>1893</v>
      </c>
      <c r="C1717" s="4">
        <f t="shared" ca="1" si="71"/>
        <v>45819</v>
      </c>
      <c r="D1717" s="4">
        <f ca="1">TODAY()-199</f>
        <v>45838</v>
      </c>
      <c r="E1717" s="3" t="s">
        <v>1029</v>
      </c>
      <c r="F1717" s="43" t="b">
        <v>1</v>
      </c>
      <c r="G1717" s="43" t="b">
        <v>1</v>
      </c>
      <c r="H1717" s="44">
        <v>690</v>
      </c>
    </row>
    <row r="1718" spans="1:8" x14ac:dyDescent="0.3">
      <c r="A1718" s="42" t="s">
        <v>1711</v>
      </c>
      <c r="B1718" s="3" t="s">
        <v>1712</v>
      </c>
      <c r="C1718" s="4">
        <f t="shared" ca="1" si="71"/>
        <v>45819</v>
      </c>
      <c r="D1718" s="4">
        <f ca="1">TODAY()-208</f>
        <v>45829</v>
      </c>
      <c r="E1718" s="3" t="s">
        <v>1032</v>
      </c>
      <c r="F1718" s="43" t="b">
        <v>1</v>
      </c>
      <c r="G1718" s="43" t="b">
        <v>0</v>
      </c>
      <c r="H1718" s="44">
        <v>970</v>
      </c>
    </row>
    <row r="1719" spans="1:8" x14ac:dyDescent="0.3">
      <c r="A1719" s="42" t="s">
        <v>1805</v>
      </c>
      <c r="B1719" s="3" t="s">
        <v>1806</v>
      </c>
      <c r="C1719" s="4">
        <f t="shared" ca="1" si="71"/>
        <v>45819</v>
      </c>
      <c r="D1719" s="4">
        <f ca="1">TODAY()-204</f>
        <v>45833</v>
      </c>
      <c r="E1719" s="3" t="s">
        <v>1032</v>
      </c>
      <c r="F1719" s="43" t="b">
        <v>1</v>
      </c>
      <c r="G1719" s="43" t="b">
        <v>0</v>
      </c>
      <c r="H1719" s="44">
        <v>960</v>
      </c>
    </row>
    <row r="1720" spans="1:8" x14ac:dyDescent="0.3">
      <c r="A1720" s="42" t="s">
        <v>1791</v>
      </c>
      <c r="B1720" s="3" t="s">
        <v>1792</v>
      </c>
      <c r="C1720" s="4">
        <f t="shared" ca="1" si="71"/>
        <v>45819</v>
      </c>
      <c r="D1720" s="4">
        <f ca="1">TODAY()-200</f>
        <v>45837</v>
      </c>
      <c r="E1720" s="3" t="s">
        <v>1032</v>
      </c>
      <c r="F1720" s="43" t="b">
        <v>1</v>
      </c>
      <c r="G1720" s="43" t="b">
        <v>0</v>
      </c>
      <c r="H1720" s="44">
        <v>1940</v>
      </c>
    </row>
    <row r="1721" spans="1:8" x14ac:dyDescent="0.3">
      <c r="A1721" s="42" t="s">
        <v>1865</v>
      </c>
      <c r="B1721" s="3" t="s">
        <v>1866</v>
      </c>
      <c r="C1721" s="4">
        <f t="shared" ca="1" si="71"/>
        <v>45819</v>
      </c>
      <c r="D1721" s="4">
        <f ca="1">TODAY()-195</f>
        <v>45842</v>
      </c>
      <c r="E1721" s="3" t="s">
        <v>1029</v>
      </c>
      <c r="F1721" s="43" t="b">
        <v>1</v>
      </c>
      <c r="G1721" s="43" t="b">
        <v>1</v>
      </c>
      <c r="H1721" s="44">
        <v>2450</v>
      </c>
    </row>
    <row r="1722" spans="1:8" x14ac:dyDescent="0.3">
      <c r="A1722" s="42" t="s">
        <v>1503</v>
      </c>
      <c r="B1722" s="3" t="s">
        <v>1504</v>
      </c>
      <c r="C1722" s="4">
        <f t="shared" ca="1" si="71"/>
        <v>45819</v>
      </c>
      <c r="D1722" s="42"/>
      <c r="E1722" s="3" t="s">
        <v>1108</v>
      </c>
      <c r="F1722" s="43" t="b">
        <v>0</v>
      </c>
      <c r="G1722" s="43" t="b">
        <v>0</v>
      </c>
      <c r="H1722" s="44">
        <v>2200</v>
      </c>
    </row>
    <row r="1723" spans="1:8" x14ac:dyDescent="0.3">
      <c r="A1723" s="42" t="s">
        <v>1856</v>
      </c>
      <c r="B1723" s="3" t="s">
        <v>1222</v>
      </c>
      <c r="C1723" s="4">
        <f t="shared" ca="1" si="71"/>
        <v>45819</v>
      </c>
      <c r="D1723" s="4">
        <f ca="1">TODAY()-207</f>
        <v>45830</v>
      </c>
      <c r="E1723" s="3" t="s">
        <v>1029</v>
      </c>
      <c r="F1723" s="43" t="b">
        <v>1</v>
      </c>
      <c r="G1723" s="43" t="b">
        <v>1</v>
      </c>
      <c r="H1723" s="44">
        <v>2430</v>
      </c>
    </row>
    <row r="1724" spans="1:8" x14ac:dyDescent="0.3">
      <c r="A1724" s="42" t="s">
        <v>1797</v>
      </c>
      <c r="B1724" s="3" t="s">
        <v>1930</v>
      </c>
      <c r="C1724" s="4">
        <f t="shared" ca="1" si="71"/>
        <v>45819</v>
      </c>
      <c r="D1724" s="4">
        <f ca="1">TODAY()-204</f>
        <v>45833</v>
      </c>
      <c r="E1724" s="3" t="s">
        <v>1029</v>
      </c>
      <c r="F1724" s="43" t="b">
        <v>1</v>
      </c>
      <c r="G1724" s="43" t="b">
        <v>1</v>
      </c>
      <c r="H1724" s="44">
        <v>880</v>
      </c>
    </row>
    <row r="1725" spans="1:8" x14ac:dyDescent="0.3">
      <c r="A1725" s="42" t="s">
        <v>1252</v>
      </c>
      <c r="B1725" s="3" t="s">
        <v>1788</v>
      </c>
      <c r="C1725" s="4">
        <f t="shared" ca="1" si="71"/>
        <v>45819</v>
      </c>
      <c r="D1725" s="42"/>
      <c r="E1725" s="3" t="s">
        <v>1101</v>
      </c>
      <c r="F1725" s="43" t="b">
        <v>0</v>
      </c>
      <c r="G1725" s="43" t="b">
        <v>0</v>
      </c>
      <c r="H1725" s="44">
        <v>550</v>
      </c>
    </row>
    <row r="1726" spans="1:8" x14ac:dyDescent="0.3">
      <c r="A1726" s="42" t="s">
        <v>1368</v>
      </c>
      <c r="B1726" s="3" t="s">
        <v>1534</v>
      </c>
      <c r="C1726" s="4">
        <f t="shared" ca="1" si="71"/>
        <v>45819</v>
      </c>
      <c r="D1726" s="4">
        <f ca="1">TODAY()-201</f>
        <v>45836</v>
      </c>
      <c r="E1726" s="3" t="s">
        <v>1029</v>
      </c>
      <c r="F1726" s="43" t="b">
        <v>1</v>
      </c>
      <c r="G1726" s="43" t="b">
        <v>1</v>
      </c>
      <c r="H1726" s="44">
        <v>1140</v>
      </c>
    </row>
    <row r="1727" spans="1:8" x14ac:dyDescent="0.3">
      <c r="A1727" s="42" t="s">
        <v>1699</v>
      </c>
      <c r="B1727" s="3" t="s">
        <v>1700</v>
      </c>
      <c r="C1727" s="4">
        <f t="shared" ca="1" si="71"/>
        <v>45819</v>
      </c>
      <c r="D1727" s="4">
        <f ca="1">TODAY()-190</f>
        <v>45847</v>
      </c>
      <c r="E1727" s="3" t="s">
        <v>1029</v>
      </c>
      <c r="F1727" s="43" t="b">
        <v>1</v>
      </c>
      <c r="G1727" s="43" t="b">
        <v>1</v>
      </c>
      <c r="H1727" s="44">
        <v>1430</v>
      </c>
    </row>
    <row r="1728" spans="1:8" x14ac:dyDescent="0.3">
      <c r="A1728" s="42" t="s">
        <v>1209</v>
      </c>
      <c r="B1728" s="3" t="s">
        <v>1528</v>
      </c>
      <c r="C1728" s="4">
        <f t="shared" ca="1" si="71"/>
        <v>45819</v>
      </c>
      <c r="D1728" s="4">
        <f ca="1">TODAY()-196</f>
        <v>45841</v>
      </c>
      <c r="E1728" s="3" t="s">
        <v>1029</v>
      </c>
      <c r="F1728" s="43" t="b">
        <v>1</v>
      </c>
      <c r="G1728" s="43" t="b">
        <v>1</v>
      </c>
      <c r="H1728" s="44">
        <v>2080</v>
      </c>
    </row>
    <row r="1729" spans="1:8" x14ac:dyDescent="0.3">
      <c r="A1729" s="42" t="s">
        <v>1603</v>
      </c>
      <c r="B1729" s="3" t="s">
        <v>1604</v>
      </c>
      <c r="C1729" s="4">
        <f t="shared" ca="1" si="71"/>
        <v>45819</v>
      </c>
      <c r="D1729" s="4">
        <f ca="1">TODAY()-191</f>
        <v>45846</v>
      </c>
      <c r="E1729" s="3" t="s">
        <v>1029</v>
      </c>
      <c r="F1729" s="43" t="b">
        <v>1</v>
      </c>
      <c r="G1729" s="43" t="b">
        <v>1</v>
      </c>
      <c r="H1729" s="44">
        <v>720</v>
      </c>
    </row>
    <row r="1730" spans="1:8" x14ac:dyDescent="0.3">
      <c r="A1730" s="42" t="s">
        <v>1433</v>
      </c>
      <c r="B1730" s="3" t="s">
        <v>1136</v>
      </c>
      <c r="C1730" s="4">
        <f t="shared" ca="1" si="71"/>
        <v>45819</v>
      </c>
      <c r="D1730" s="4">
        <f ca="1">TODAY()-194</f>
        <v>45843</v>
      </c>
      <c r="E1730" s="3" t="s">
        <v>1029</v>
      </c>
      <c r="F1730" s="43" t="b">
        <v>1</v>
      </c>
      <c r="G1730" s="43" t="b">
        <v>1</v>
      </c>
      <c r="H1730" s="44">
        <v>1670</v>
      </c>
    </row>
    <row r="1731" spans="1:8" x14ac:dyDescent="0.3">
      <c r="A1731" s="42" t="s">
        <v>1482</v>
      </c>
      <c r="B1731" s="3" t="s">
        <v>1483</v>
      </c>
      <c r="C1731" s="4">
        <f t="shared" ca="1" si="71"/>
        <v>45819</v>
      </c>
      <c r="D1731" s="4">
        <f ca="1">TODAY()-196</f>
        <v>45841</v>
      </c>
      <c r="E1731" s="3" t="s">
        <v>1032</v>
      </c>
      <c r="F1731" s="43" t="b">
        <v>1</v>
      </c>
      <c r="G1731" s="43" t="b">
        <v>0</v>
      </c>
      <c r="H1731" s="44">
        <v>1150</v>
      </c>
    </row>
    <row r="1732" spans="1:8" x14ac:dyDescent="0.3">
      <c r="A1732" s="42" t="s">
        <v>1791</v>
      </c>
      <c r="B1732" s="3" t="s">
        <v>1863</v>
      </c>
      <c r="C1732" s="4">
        <f t="shared" ca="1" si="71"/>
        <v>45819</v>
      </c>
      <c r="D1732" s="4">
        <f ca="1">TODAY()-193</f>
        <v>45844</v>
      </c>
      <c r="E1732" s="3" t="s">
        <v>1029</v>
      </c>
      <c r="F1732" s="43" t="b">
        <v>1</v>
      </c>
      <c r="G1732" s="43" t="b">
        <v>1</v>
      </c>
      <c r="H1732" s="44">
        <v>2180</v>
      </c>
    </row>
    <row r="1733" spans="1:8" x14ac:dyDescent="0.3">
      <c r="A1733" s="42" t="s">
        <v>1240</v>
      </c>
      <c r="B1733" s="3" t="s">
        <v>1241</v>
      </c>
      <c r="C1733" s="4">
        <f t="shared" ca="1" si="71"/>
        <v>45819</v>
      </c>
      <c r="D1733" s="4">
        <f ca="1">TODAY()-200</f>
        <v>45837</v>
      </c>
      <c r="E1733" s="3" t="s">
        <v>1032</v>
      </c>
      <c r="F1733" s="43" t="b">
        <v>1</v>
      </c>
      <c r="G1733" s="43" t="b">
        <v>0</v>
      </c>
      <c r="H1733" s="44">
        <v>870</v>
      </c>
    </row>
    <row r="1734" spans="1:8" x14ac:dyDescent="0.3">
      <c r="A1734" s="42" t="s">
        <v>1852</v>
      </c>
      <c r="B1734" s="3" t="s">
        <v>1940</v>
      </c>
      <c r="C1734" s="4">
        <f t="shared" ca="1" si="71"/>
        <v>45819</v>
      </c>
      <c r="D1734" s="4">
        <f ca="1">TODAY()-202</f>
        <v>45835</v>
      </c>
      <c r="E1734" s="3" t="s">
        <v>1029</v>
      </c>
      <c r="F1734" s="43" t="b">
        <v>1</v>
      </c>
      <c r="G1734" s="43" t="b">
        <v>1</v>
      </c>
      <c r="H1734" s="44">
        <v>830</v>
      </c>
    </row>
    <row r="1735" spans="1:8" x14ac:dyDescent="0.3">
      <c r="A1735" s="42" t="s">
        <v>1171</v>
      </c>
      <c r="B1735" s="3" t="s">
        <v>1172</v>
      </c>
      <c r="C1735" s="4">
        <f t="shared" ca="1" si="71"/>
        <v>45819</v>
      </c>
      <c r="D1735" s="42"/>
      <c r="E1735" s="3" t="s">
        <v>1077</v>
      </c>
      <c r="F1735" s="43" t="b">
        <v>0</v>
      </c>
      <c r="G1735" s="43" t="b">
        <v>0</v>
      </c>
      <c r="H1735" s="44">
        <v>550</v>
      </c>
    </row>
    <row r="1736" spans="1:8" x14ac:dyDescent="0.3">
      <c r="A1736" s="42" t="s">
        <v>1040</v>
      </c>
      <c r="B1736" s="3" t="s">
        <v>1041</v>
      </c>
      <c r="C1736" s="4">
        <f t="shared" ca="1" si="71"/>
        <v>45819</v>
      </c>
      <c r="D1736" s="4">
        <f ca="1">TODAY()-194</f>
        <v>45843</v>
      </c>
      <c r="E1736" s="3" t="s">
        <v>1029</v>
      </c>
      <c r="F1736" s="43" t="b">
        <v>1</v>
      </c>
      <c r="G1736" s="43" t="b">
        <v>1</v>
      </c>
      <c r="H1736" s="44">
        <v>1280</v>
      </c>
    </row>
    <row r="1737" spans="1:8" x14ac:dyDescent="0.3">
      <c r="A1737" s="42" t="s">
        <v>1543</v>
      </c>
      <c r="B1737" s="3" t="s">
        <v>1388</v>
      </c>
      <c r="C1737" s="4">
        <f t="shared" ca="1" si="71"/>
        <v>45819</v>
      </c>
      <c r="D1737" s="4">
        <f ca="1">TODAY()-200</f>
        <v>45837</v>
      </c>
      <c r="E1737" s="3" t="s">
        <v>1032</v>
      </c>
      <c r="F1737" s="43" t="b">
        <v>1</v>
      </c>
      <c r="G1737" s="43" t="b">
        <v>0</v>
      </c>
      <c r="H1737" s="44">
        <v>1040</v>
      </c>
    </row>
    <row r="1738" spans="1:8" x14ac:dyDescent="0.3">
      <c r="A1738" s="42" t="s">
        <v>1423</v>
      </c>
      <c r="B1738" s="3" t="s">
        <v>1710</v>
      </c>
      <c r="C1738" s="4">
        <f t="shared" ca="1" si="71"/>
        <v>45819</v>
      </c>
      <c r="D1738" s="4">
        <f ca="1">TODAY()-203</f>
        <v>45834</v>
      </c>
      <c r="E1738" s="3" t="s">
        <v>1029</v>
      </c>
      <c r="F1738" s="43" t="b">
        <v>1</v>
      </c>
      <c r="G1738" s="43" t="b">
        <v>1</v>
      </c>
      <c r="H1738" s="44">
        <v>160</v>
      </c>
    </row>
    <row r="1739" spans="1:8" x14ac:dyDescent="0.3">
      <c r="A1739" s="42" t="s">
        <v>1186</v>
      </c>
      <c r="B1739" s="3" t="s">
        <v>1886</v>
      </c>
      <c r="C1739" s="4">
        <f t="shared" ca="1" si="71"/>
        <v>45819</v>
      </c>
      <c r="D1739" s="42"/>
      <c r="E1739" s="3" t="s">
        <v>1101</v>
      </c>
      <c r="F1739" s="43" t="b">
        <v>0</v>
      </c>
      <c r="G1739" s="43" t="b">
        <v>0</v>
      </c>
      <c r="H1739" s="44">
        <v>250</v>
      </c>
    </row>
    <row r="1740" spans="1:8" x14ac:dyDescent="0.3">
      <c r="A1740" s="42" t="s">
        <v>1498</v>
      </c>
      <c r="B1740" s="3" t="s">
        <v>1521</v>
      </c>
      <c r="C1740" s="4">
        <f t="shared" ca="1" si="71"/>
        <v>45819</v>
      </c>
      <c r="D1740" s="42"/>
      <c r="E1740" s="3" t="s">
        <v>1077</v>
      </c>
      <c r="F1740" s="43" t="b">
        <v>0</v>
      </c>
      <c r="G1740" s="43" t="b">
        <v>0</v>
      </c>
      <c r="H1740" s="44">
        <v>420</v>
      </c>
    </row>
    <row r="1741" spans="1:8" x14ac:dyDescent="0.3">
      <c r="A1741" s="42" t="s">
        <v>1075</v>
      </c>
      <c r="B1741" s="3" t="s">
        <v>1076</v>
      </c>
      <c r="C1741" s="4">
        <f t="shared" ca="1" si="71"/>
        <v>45819</v>
      </c>
      <c r="D1741" s="42"/>
      <c r="E1741" s="3" t="s">
        <v>1077</v>
      </c>
      <c r="F1741" s="43" t="b">
        <v>0</v>
      </c>
      <c r="G1741" s="43" t="b">
        <v>0</v>
      </c>
      <c r="H1741" s="44">
        <v>740</v>
      </c>
    </row>
    <row r="1742" spans="1:8" x14ac:dyDescent="0.3">
      <c r="A1742" s="42" t="s">
        <v>1068</v>
      </c>
      <c r="B1742" s="3" t="s">
        <v>1069</v>
      </c>
      <c r="C1742" s="4">
        <f t="shared" ca="1" si="71"/>
        <v>45819</v>
      </c>
      <c r="D1742" s="42"/>
      <c r="E1742" s="3" t="s">
        <v>1070</v>
      </c>
      <c r="F1742" s="43" t="b">
        <v>0</v>
      </c>
      <c r="G1742" s="43" t="b">
        <v>0</v>
      </c>
      <c r="H1742" s="44">
        <v>1450</v>
      </c>
    </row>
    <row r="1743" spans="1:8" x14ac:dyDescent="0.3">
      <c r="A1743" s="42" t="s">
        <v>1175</v>
      </c>
      <c r="B1743" s="3" t="s">
        <v>1176</v>
      </c>
      <c r="C1743" s="4">
        <f t="shared" ca="1" si="71"/>
        <v>45819</v>
      </c>
      <c r="D1743" s="4">
        <f ca="1">TODAY()-191</f>
        <v>45846</v>
      </c>
      <c r="E1743" s="3" t="s">
        <v>1029</v>
      </c>
      <c r="F1743" s="43" t="b">
        <v>1</v>
      </c>
      <c r="G1743" s="43" t="b">
        <v>1</v>
      </c>
      <c r="H1743" s="44">
        <v>2190</v>
      </c>
    </row>
    <row r="1744" spans="1:8" x14ac:dyDescent="0.3">
      <c r="A1744" s="42" t="s">
        <v>1123</v>
      </c>
      <c r="B1744" s="3" t="s">
        <v>1260</v>
      </c>
      <c r="C1744" s="4">
        <f t="shared" ca="1" si="71"/>
        <v>45819</v>
      </c>
      <c r="D1744" s="4">
        <f ca="1">TODAY()-192</f>
        <v>45845</v>
      </c>
      <c r="E1744" s="3" t="s">
        <v>1029</v>
      </c>
      <c r="F1744" s="43" t="b">
        <v>1</v>
      </c>
      <c r="G1744" s="43" t="b">
        <v>1</v>
      </c>
      <c r="H1744" s="44">
        <v>630</v>
      </c>
    </row>
    <row r="1745" spans="1:8" x14ac:dyDescent="0.3">
      <c r="A1745" s="42" t="s">
        <v>1460</v>
      </c>
      <c r="B1745" s="3" t="s">
        <v>1461</v>
      </c>
      <c r="C1745" s="4">
        <f t="shared" ca="1" si="71"/>
        <v>45819</v>
      </c>
      <c r="D1745" s="4">
        <f ca="1">TODAY()-198</f>
        <v>45839</v>
      </c>
      <c r="E1745" s="3" t="s">
        <v>1032</v>
      </c>
      <c r="F1745" s="43" t="b">
        <v>1</v>
      </c>
      <c r="G1745" s="43" t="b">
        <v>0</v>
      </c>
      <c r="H1745" s="44">
        <v>960</v>
      </c>
    </row>
    <row r="1746" spans="1:8" x14ac:dyDescent="0.3">
      <c r="A1746" s="42" t="s">
        <v>1334</v>
      </c>
      <c r="B1746" s="3" t="s">
        <v>1335</v>
      </c>
      <c r="C1746" s="4">
        <f t="shared" ca="1" si="71"/>
        <v>45819</v>
      </c>
      <c r="D1746" s="4">
        <f ca="1">TODAY()-202</f>
        <v>45835</v>
      </c>
      <c r="E1746" s="3" t="s">
        <v>1029</v>
      </c>
      <c r="F1746" s="43" t="b">
        <v>1</v>
      </c>
      <c r="G1746" s="43" t="b">
        <v>1</v>
      </c>
      <c r="H1746" s="44">
        <v>1430</v>
      </c>
    </row>
    <row r="1747" spans="1:8" x14ac:dyDescent="0.3">
      <c r="A1747" s="42" t="s">
        <v>1127</v>
      </c>
      <c r="B1747" s="3" t="s">
        <v>1890</v>
      </c>
      <c r="C1747" s="4">
        <f t="shared" ca="1" si="71"/>
        <v>45819</v>
      </c>
      <c r="D1747" s="4">
        <f ca="1">TODAY()-188</f>
        <v>45849</v>
      </c>
      <c r="E1747" s="3" t="s">
        <v>1032</v>
      </c>
      <c r="F1747" s="43" t="b">
        <v>1</v>
      </c>
      <c r="G1747" s="43" t="b">
        <v>0</v>
      </c>
      <c r="H1747" s="44">
        <v>2410</v>
      </c>
    </row>
    <row r="1748" spans="1:8" x14ac:dyDescent="0.3">
      <c r="A1748" s="42" t="s">
        <v>1027</v>
      </c>
      <c r="B1748" s="3" t="s">
        <v>1251</v>
      </c>
      <c r="C1748" s="4">
        <f t="shared" ca="1" si="71"/>
        <v>45819</v>
      </c>
      <c r="D1748" s="4">
        <f ca="1">TODAY()-195</f>
        <v>45842</v>
      </c>
      <c r="E1748" s="3" t="s">
        <v>1032</v>
      </c>
      <c r="F1748" s="43" t="b">
        <v>1</v>
      </c>
      <c r="G1748" s="43" t="b">
        <v>0</v>
      </c>
      <c r="H1748" s="44">
        <v>210</v>
      </c>
    </row>
    <row r="1749" spans="1:8" x14ac:dyDescent="0.3">
      <c r="A1749" s="42" t="s">
        <v>1133</v>
      </c>
      <c r="B1749" s="3" t="s">
        <v>1134</v>
      </c>
      <c r="C1749" s="4">
        <f t="shared" ca="1" si="71"/>
        <v>45819</v>
      </c>
      <c r="D1749" s="4">
        <f ca="1">TODAY()-206</f>
        <v>45831</v>
      </c>
      <c r="E1749" s="3" t="s">
        <v>1029</v>
      </c>
      <c r="F1749" s="43" t="b">
        <v>1</v>
      </c>
      <c r="G1749" s="43" t="b">
        <v>1</v>
      </c>
      <c r="H1749" s="44">
        <v>120</v>
      </c>
    </row>
    <row r="1750" spans="1:8" x14ac:dyDescent="0.3">
      <c r="A1750" s="42" t="s">
        <v>1302</v>
      </c>
      <c r="B1750" s="3" t="s">
        <v>1575</v>
      </c>
      <c r="C1750" s="4">
        <f t="shared" ca="1" si="71"/>
        <v>45819</v>
      </c>
      <c r="D1750" s="42"/>
      <c r="E1750" s="3" t="s">
        <v>1077</v>
      </c>
      <c r="F1750" s="43" t="b">
        <v>0</v>
      </c>
      <c r="G1750" s="43" t="b">
        <v>0</v>
      </c>
      <c r="H1750" s="44">
        <v>650</v>
      </c>
    </row>
    <row r="1751" spans="1:8" x14ac:dyDescent="0.3">
      <c r="A1751" s="42" t="s">
        <v>1097</v>
      </c>
      <c r="B1751" s="3" t="s">
        <v>1692</v>
      </c>
      <c r="C1751" s="4">
        <f t="shared" ca="1" si="71"/>
        <v>45819</v>
      </c>
      <c r="D1751" s="4">
        <f ca="1">TODAY()-193</f>
        <v>45844</v>
      </c>
      <c r="E1751" s="3" t="s">
        <v>1032</v>
      </c>
      <c r="F1751" s="43" t="b">
        <v>1</v>
      </c>
      <c r="G1751" s="43" t="b">
        <v>0</v>
      </c>
      <c r="H1751" s="44">
        <v>2050</v>
      </c>
    </row>
    <row r="1752" spans="1:8" x14ac:dyDescent="0.3">
      <c r="A1752" s="42" t="s">
        <v>1075</v>
      </c>
      <c r="B1752" s="3" t="s">
        <v>1425</v>
      </c>
      <c r="C1752" s="4">
        <f t="shared" ca="1" si="71"/>
        <v>45819</v>
      </c>
      <c r="D1752" s="4">
        <f ca="1">TODAY()-205</f>
        <v>45832</v>
      </c>
      <c r="E1752" s="3" t="s">
        <v>1029</v>
      </c>
      <c r="F1752" s="43" t="b">
        <v>1</v>
      </c>
      <c r="G1752" s="43" t="b">
        <v>1</v>
      </c>
      <c r="H1752" s="44">
        <v>2100</v>
      </c>
    </row>
    <row r="1753" spans="1:8" x14ac:dyDescent="0.3">
      <c r="A1753" s="42" t="s">
        <v>1314</v>
      </c>
      <c r="B1753" s="3" t="s">
        <v>1733</v>
      </c>
      <c r="C1753" s="4">
        <f t="shared" ca="1" si="71"/>
        <v>45819</v>
      </c>
      <c r="D1753" s="4">
        <f ca="1">TODAY()-203</f>
        <v>45834</v>
      </c>
      <c r="E1753" s="3" t="s">
        <v>1029</v>
      </c>
      <c r="F1753" s="43" t="b">
        <v>1</v>
      </c>
      <c r="G1753" s="43" t="b">
        <v>1</v>
      </c>
      <c r="H1753" s="44">
        <v>730</v>
      </c>
    </row>
    <row r="1754" spans="1:8" x14ac:dyDescent="0.3">
      <c r="A1754" s="42" t="s">
        <v>1444</v>
      </c>
      <c r="B1754" s="3" t="s">
        <v>1445</v>
      </c>
      <c r="C1754" s="4">
        <f t="shared" ca="1" si="71"/>
        <v>45819</v>
      </c>
      <c r="D1754" s="42"/>
      <c r="E1754" s="3" t="s">
        <v>1077</v>
      </c>
      <c r="F1754" s="43" t="b">
        <v>0</v>
      </c>
      <c r="G1754" s="43" t="b">
        <v>0</v>
      </c>
      <c r="H1754" s="44">
        <v>550</v>
      </c>
    </row>
    <row r="1755" spans="1:8" x14ac:dyDescent="0.3">
      <c r="A1755" s="42" t="s">
        <v>1035</v>
      </c>
      <c r="B1755" s="3" t="s">
        <v>1222</v>
      </c>
      <c r="C1755" s="4">
        <f t="shared" ca="1" si="71"/>
        <v>45819</v>
      </c>
      <c r="D1755" s="4">
        <f t="shared" ref="D1755:D1756" ca="1" si="73">TODAY()-204</f>
        <v>45833</v>
      </c>
      <c r="E1755" s="3" t="s">
        <v>1029</v>
      </c>
      <c r="F1755" s="43" t="b">
        <v>1</v>
      </c>
      <c r="G1755" s="43" t="b">
        <v>1</v>
      </c>
      <c r="H1755" s="44">
        <v>5400</v>
      </c>
    </row>
    <row r="1756" spans="1:8" x14ac:dyDescent="0.3">
      <c r="A1756" s="42" t="s">
        <v>1642</v>
      </c>
      <c r="B1756" s="3" t="s">
        <v>1887</v>
      </c>
      <c r="C1756" s="4">
        <f t="shared" ca="1" si="71"/>
        <v>45819</v>
      </c>
      <c r="D1756" s="4">
        <f t="shared" ca="1" si="73"/>
        <v>45833</v>
      </c>
      <c r="E1756" s="3" t="s">
        <v>1032</v>
      </c>
      <c r="F1756" s="43" t="b">
        <v>1</v>
      </c>
      <c r="G1756" s="43" t="b">
        <v>0</v>
      </c>
      <c r="H1756" s="44">
        <v>1610</v>
      </c>
    </row>
    <row r="1757" spans="1:8" x14ac:dyDescent="0.3">
      <c r="A1757" s="42" t="s">
        <v>1190</v>
      </c>
      <c r="B1757" s="3" t="s">
        <v>1191</v>
      </c>
      <c r="C1757" s="4">
        <f t="shared" ca="1" si="71"/>
        <v>45819</v>
      </c>
      <c r="D1757" s="42"/>
      <c r="E1757" s="3" t="s">
        <v>1103</v>
      </c>
      <c r="F1757" s="43" t="b">
        <v>0</v>
      </c>
      <c r="G1757" s="43" t="b">
        <v>0</v>
      </c>
      <c r="H1757" s="44">
        <v>200</v>
      </c>
    </row>
    <row r="1758" spans="1:8" x14ac:dyDescent="0.3">
      <c r="A1758" s="42" t="s">
        <v>1739</v>
      </c>
      <c r="B1758" s="3" t="s">
        <v>1740</v>
      </c>
      <c r="C1758" s="4">
        <f t="shared" ca="1" si="71"/>
        <v>45819</v>
      </c>
      <c r="D1758" s="4">
        <f ca="1">TODAY()-189</f>
        <v>45848</v>
      </c>
      <c r="E1758" s="3" t="s">
        <v>1029</v>
      </c>
      <c r="F1758" s="43" t="b">
        <v>1</v>
      </c>
      <c r="G1758" s="43" t="b">
        <v>1</v>
      </c>
      <c r="H1758" s="44">
        <v>2310</v>
      </c>
    </row>
    <row r="1759" spans="1:8" x14ac:dyDescent="0.3">
      <c r="A1759" s="42" t="s">
        <v>1482</v>
      </c>
      <c r="B1759" s="3" t="s">
        <v>1274</v>
      </c>
      <c r="C1759" s="4">
        <f t="shared" ca="1" si="71"/>
        <v>45819</v>
      </c>
      <c r="D1759" s="4">
        <f t="shared" ref="D1759:D1760" ca="1" si="74">TODAY()-188</f>
        <v>45849</v>
      </c>
      <c r="E1759" s="3" t="s">
        <v>1029</v>
      </c>
      <c r="F1759" s="43" t="b">
        <v>1</v>
      </c>
      <c r="G1759" s="43" t="b">
        <v>1</v>
      </c>
      <c r="H1759" s="44">
        <v>1020</v>
      </c>
    </row>
    <row r="1760" spans="1:8" x14ac:dyDescent="0.3">
      <c r="A1760" s="42" t="s">
        <v>1894</v>
      </c>
      <c r="B1760" s="3" t="s">
        <v>1895</v>
      </c>
      <c r="C1760" s="4">
        <f t="shared" ca="1" si="71"/>
        <v>45819</v>
      </c>
      <c r="D1760" s="4">
        <f t="shared" ca="1" si="74"/>
        <v>45849</v>
      </c>
      <c r="E1760" s="3" t="s">
        <v>1029</v>
      </c>
      <c r="F1760" s="43" t="b">
        <v>1</v>
      </c>
      <c r="G1760" s="43" t="b">
        <v>1</v>
      </c>
      <c r="H1760" s="44">
        <v>1490</v>
      </c>
    </row>
    <row r="1761" spans="1:8" x14ac:dyDescent="0.3">
      <c r="A1761" s="42" t="s">
        <v>1147</v>
      </c>
      <c r="B1761" s="3" t="s">
        <v>1148</v>
      </c>
      <c r="C1761" s="4">
        <f t="shared" ca="1" si="71"/>
        <v>45819</v>
      </c>
      <c r="D1761" s="4">
        <f ca="1">TODAY()-199</f>
        <v>45838</v>
      </c>
      <c r="E1761" s="3" t="s">
        <v>1029</v>
      </c>
      <c r="F1761" s="43" t="b">
        <v>1</v>
      </c>
      <c r="G1761" s="43" t="b">
        <v>1</v>
      </c>
      <c r="H1761" s="44">
        <v>800</v>
      </c>
    </row>
    <row r="1762" spans="1:8" x14ac:dyDescent="0.3">
      <c r="A1762" s="42" t="s">
        <v>1524</v>
      </c>
      <c r="B1762" s="3" t="s">
        <v>1525</v>
      </c>
      <c r="C1762" s="4">
        <f t="shared" ca="1" si="71"/>
        <v>45819</v>
      </c>
      <c r="D1762" s="4">
        <f ca="1">TODAY()-201</f>
        <v>45836</v>
      </c>
      <c r="E1762" s="3" t="s">
        <v>1029</v>
      </c>
      <c r="F1762" s="43" t="b">
        <v>1</v>
      </c>
      <c r="G1762" s="43" t="b">
        <v>1</v>
      </c>
      <c r="H1762" s="44">
        <v>170</v>
      </c>
    </row>
    <row r="1763" spans="1:8" x14ac:dyDescent="0.3">
      <c r="A1763" s="42" t="s">
        <v>1985</v>
      </c>
      <c r="B1763" s="3" t="s">
        <v>1986</v>
      </c>
      <c r="C1763" s="4">
        <f t="shared" ca="1" si="71"/>
        <v>45819</v>
      </c>
      <c r="D1763" s="4">
        <f ca="1">TODAY()-194</f>
        <v>45843</v>
      </c>
      <c r="E1763" s="3" t="s">
        <v>1029</v>
      </c>
      <c r="F1763" s="43" t="b">
        <v>1</v>
      </c>
      <c r="G1763" s="43" t="b">
        <v>1</v>
      </c>
      <c r="H1763" s="44">
        <v>890</v>
      </c>
    </row>
    <row r="1764" spans="1:8" x14ac:dyDescent="0.3">
      <c r="A1764" s="42" t="s">
        <v>1515</v>
      </c>
      <c r="B1764" s="3" t="s">
        <v>1516</v>
      </c>
      <c r="C1764" s="4">
        <f t="shared" ca="1" si="71"/>
        <v>45819</v>
      </c>
      <c r="D1764" s="4">
        <f ca="1">TODAY()-200</f>
        <v>45837</v>
      </c>
      <c r="E1764" s="3" t="s">
        <v>1032</v>
      </c>
      <c r="F1764" s="43" t="b">
        <v>1</v>
      </c>
      <c r="G1764" s="43" t="b">
        <v>0</v>
      </c>
      <c r="H1764" s="44">
        <v>980</v>
      </c>
    </row>
    <row r="1765" spans="1:8" x14ac:dyDescent="0.3">
      <c r="A1765" s="42" t="s">
        <v>1417</v>
      </c>
      <c r="B1765" s="3" t="s">
        <v>1725</v>
      </c>
      <c r="C1765" s="4">
        <f t="shared" ca="1" si="71"/>
        <v>45819</v>
      </c>
      <c r="D1765" s="4">
        <f ca="1">TODAY()-198</f>
        <v>45839</v>
      </c>
      <c r="E1765" s="3" t="s">
        <v>1029</v>
      </c>
      <c r="F1765" s="43" t="b">
        <v>1</v>
      </c>
      <c r="G1765" s="43" t="b">
        <v>1</v>
      </c>
      <c r="H1765" s="44">
        <v>470</v>
      </c>
    </row>
    <row r="1766" spans="1:8" x14ac:dyDescent="0.3">
      <c r="A1766" s="42" t="s">
        <v>1556</v>
      </c>
      <c r="B1766" s="3" t="s">
        <v>1557</v>
      </c>
      <c r="C1766" s="4">
        <f t="shared" ca="1" si="71"/>
        <v>45819</v>
      </c>
      <c r="D1766" s="4">
        <f ca="1">TODAY()-188</f>
        <v>45849</v>
      </c>
      <c r="E1766" s="3" t="s">
        <v>1032</v>
      </c>
      <c r="F1766" s="43" t="b">
        <v>1</v>
      </c>
      <c r="G1766" s="43" t="b">
        <v>0</v>
      </c>
      <c r="H1766" s="44">
        <v>1220</v>
      </c>
    </row>
    <row r="1767" spans="1:8" x14ac:dyDescent="0.3">
      <c r="A1767" s="42" t="s">
        <v>1394</v>
      </c>
      <c r="B1767" s="3" t="s">
        <v>1829</v>
      </c>
      <c r="C1767" s="4">
        <f t="shared" ca="1" si="71"/>
        <v>45819</v>
      </c>
      <c r="D1767" s="4">
        <f ca="1">TODAY()-199</f>
        <v>45838</v>
      </c>
      <c r="E1767" s="3" t="s">
        <v>1032</v>
      </c>
      <c r="F1767" s="43" t="b">
        <v>1</v>
      </c>
      <c r="G1767" s="43" t="b">
        <v>0</v>
      </c>
      <c r="H1767" s="44">
        <v>970</v>
      </c>
    </row>
    <row r="1768" spans="1:8" x14ac:dyDescent="0.3">
      <c r="A1768" s="42" t="s">
        <v>1957</v>
      </c>
      <c r="B1768" s="3" t="s">
        <v>1367</v>
      </c>
      <c r="C1768" s="4">
        <f t="shared" ca="1" si="71"/>
        <v>45819</v>
      </c>
      <c r="D1768" s="4">
        <f ca="1">TODAY()-197</f>
        <v>45840</v>
      </c>
      <c r="E1768" s="3" t="s">
        <v>1029</v>
      </c>
      <c r="F1768" s="43" t="b">
        <v>1</v>
      </c>
      <c r="G1768" s="43" t="b">
        <v>1</v>
      </c>
      <c r="H1768" s="44">
        <v>950</v>
      </c>
    </row>
    <row r="1769" spans="1:8" x14ac:dyDescent="0.3">
      <c r="A1769" s="42" t="s">
        <v>1175</v>
      </c>
      <c r="B1769" s="3" t="s">
        <v>1176</v>
      </c>
      <c r="C1769" s="4">
        <f t="shared" ca="1" si="71"/>
        <v>45819</v>
      </c>
      <c r="D1769" s="4">
        <f ca="1">TODAY()-202</f>
        <v>45835</v>
      </c>
      <c r="E1769" s="3" t="s">
        <v>1029</v>
      </c>
      <c r="F1769" s="43" t="b">
        <v>1</v>
      </c>
      <c r="G1769" s="43" t="b">
        <v>1</v>
      </c>
      <c r="H1769" s="44">
        <v>2190</v>
      </c>
    </row>
    <row r="1770" spans="1:8" x14ac:dyDescent="0.3">
      <c r="A1770" s="42" t="s">
        <v>1115</v>
      </c>
      <c r="B1770" s="3" t="s">
        <v>1988</v>
      </c>
      <c r="C1770" s="4">
        <f t="shared" ca="1" si="71"/>
        <v>45819</v>
      </c>
      <c r="D1770" s="42"/>
      <c r="E1770" s="3" t="s">
        <v>1108</v>
      </c>
      <c r="F1770" s="43" t="b">
        <v>0</v>
      </c>
      <c r="G1770" s="43" t="b">
        <v>0</v>
      </c>
      <c r="H1770" s="44">
        <v>850</v>
      </c>
    </row>
    <row r="1771" spans="1:8" x14ac:dyDescent="0.3">
      <c r="A1771" s="42" t="s">
        <v>1943</v>
      </c>
      <c r="B1771" s="3" t="s">
        <v>1944</v>
      </c>
      <c r="C1771" s="4">
        <f t="shared" ca="1" si="71"/>
        <v>45819</v>
      </c>
      <c r="D1771" s="4">
        <f ca="1">TODAY()-189</f>
        <v>45848</v>
      </c>
      <c r="E1771" s="3" t="s">
        <v>1029</v>
      </c>
      <c r="F1771" s="43" t="b">
        <v>1</v>
      </c>
      <c r="G1771" s="43" t="b">
        <v>1</v>
      </c>
      <c r="H1771" s="44">
        <v>110</v>
      </c>
    </row>
    <row r="1772" spans="1:8" x14ac:dyDescent="0.3">
      <c r="A1772" s="42" t="s">
        <v>1543</v>
      </c>
      <c r="B1772" s="3" t="s">
        <v>1388</v>
      </c>
      <c r="C1772" s="4">
        <f t="shared" ca="1" si="71"/>
        <v>45819</v>
      </c>
      <c r="D1772" s="4">
        <f ca="1">TODAY()-197</f>
        <v>45840</v>
      </c>
      <c r="E1772" s="3" t="s">
        <v>1032</v>
      </c>
      <c r="F1772" s="43" t="b">
        <v>1</v>
      </c>
      <c r="G1772" s="43" t="b">
        <v>0</v>
      </c>
      <c r="H1772" s="44">
        <v>1040</v>
      </c>
    </row>
    <row r="1773" spans="1:8" x14ac:dyDescent="0.3">
      <c r="A1773" s="42" t="s">
        <v>1816</v>
      </c>
      <c r="B1773" s="3" t="s">
        <v>1989</v>
      </c>
      <c r="C1773" s="4">
        <f t="shared" ca="1" si="71"/>
        <v>45819</v>
      </c>
      <c r="D1773" s="4">
        <f ca="1">TODAY()-204</f>
        <v>45833</v>
      </c>
      <c r="E1773" s="3" t="s">
        <v>1029</v>
      </c>
      <c r="F1773" s="43" t="b">
        <v>1</v>
      </c>
      <c r="G1773" s="43" t="b">
        <v>1</v>
      </c>
      <c r="H1773" s="44">
        <v>390</v>
      </c>
    </row>
    <row r="1774" spans="1:8" x14ac:dyDescent="0.3">
      <c r="A1774" s="42" t="s">
        <v>1671</v>
      </c>
      <c r="B1774" s="3" t="s">
        <v>1222</v>
      </c>
      <c r="C1774" s="4">
        <f t="shared" ca="1" si="71"/>
        <v>45819</v>
      </c>
      <c r="D1774" s="4">
        <f ca="1">TODAY()-205</f>
        <v>45832</v>
      </c>
      <c r="E1774" s="3" t="s">
        <v>1029</v>
      </c>
      <c r="F1774" s="43" t="b">
        <v>1</v>
      </c>
      <c r="G1774" s="43" t="b">
        <v>1</v>
      </c>
      <c r="H1774" s="44">
        <v>1670</v>
      </c>
    </row>
    <row r="1775" spans="1:8" x14ac:dyDescent="0.3">
      <c r="A1775" s="42" t="s">
        <v>1526</v>
      </c>
      <c r="B1775" s="3" t="s">
        <v>1527</v>
      </c>
      <c r="C1775" s="4">
        <f t="shared" ca="1" si="71"/>
        <v>45819</v>
      </c>
      <c r="D1775" s="4">
        <f ca="1">TODAY()-199</f>
        <v>45838</v>
      </c>
      <c r="E1775" s="3" t="s">
        <v>1029</v>
      </c>
      <c r="F1775" s="43" t="b">
        <v>1</v>
      </c>
      <c r="G1775" s="43" t="b">
        <v>1</v>
      </c>
      <c r="H1775" s="44">
        <v>1110</v>
      </c>
    </row>
    <row r="1776" spans="1:8" x14ac:dyDescent="0.3">
      <c r="A1776" s="42" t="s">
        <v>1442</v>
      </c>
      <c r="B1776" s="3" t="s">
        <v>1810</v>
      </c>
      <c r="C1776" s="4">
        <f t="shared" ca="1" si="71"/>
        <v>45819</v>
      </c>
      <c r="D1776" s="4">
        <f ca="1">TODAY()-202</f>
        <v>45835</v>
      </c>
      <c r="E1776" s="3" t="s">
        <v>1029</v>
      </c>
      <c r="F1776" s="43" t="b">
        <v>1</v>
      </c>
      <c r="G1776" s="43" t="b">
        <v>1</v>
      </c>
      <c r="H1776" s="44">
        <v>1930</v>
      </c>
    </row>
    <row r="1777" spans="1:8" x14ac:dyDescent="0.3">
      <c r="A1777" s="42" t="s">
        <v>1066</v>
      </c>
      <c r="B1777" s="3" t="s">
        <v>1067</v>
      </c>
      <c r="C1777" s="4">
        <f t="shared" ca="1" si="71"/>
        <v>45819</v>
      </c>
      <c r="D1777" s="4">
        <f ca="1">TODAY()-195</f>
        <v>45842</v>
      </c>
      <c r="E1777" s="3" t="s">
        <v>1029</v>
      </c>
      <c r="F1777" s="43" t="b">
        <v>1</v>
      </c>
      <c r="G1777" s="43" t="b">
        <v>1</v>
      </c>
      <c r="H1777" s="44">
        <v>820</v>
      </c>
    </row>
    <row r="1778" spans="1:8" x14ac:dyDescent="0.3">
      <c r="A1778" s="42" t="s">
        <v>1494</v>
      </c>
      <c r="B1778" s="3" t="s">
        <v>1495</v>
      </c>
      <c r="C1778" s="4">
        <f t="shared" ca="1" si="71"/>
        <v>45819</v>
      </c>
      <c r="D1778" s="4">
        <f ca="1">TODAY()-207</f>
        <v>45830</v>
      </c>
      <c r="E1778" s="3" t="s">
        <v>1032</v>
      </c>
      <c r="F1778" s="43" t="b">
        <v>1</v>
      </c>
      <c r="G1778" s="43" t="b">
        <v>0</v>
      </c>
      <c r="H1778" s="44">
        <v>790</v>
      </c>
    </row>
    <row r="1779" spans="1:8" x14ac:dyDescent="0.3">
      <c r="A1779" s="42" t="s">
        <v>1277</v>
      </c>
      <c r="B1779" s="3" t="s">
        <v>1067</v>
      </c>
      <c r="C1779" s="4">
        <f t="shared" ca="1" si="71"/>
        <v>45819</v>
      </c>
      <c r="D1779" s="42"/>
      <c r="E1779" s="3" t="s">
        <v>1077</v>
      </c>
      <c r="F1779" s="43" t="b">
        <v>0</v>
      </c>
      <c r="G1779" s="43" t="b">
        <v>0</v>
      </c>
      <c r="H1779" s="44">
        <v>470</v>
      </c>
    </row>
    <row r="1780" spans="1:8" x14ac:dyDescent="0.3">
      <c r="A1780" s="42" t="s">
        <v>1292</v>
      </c>
      <c r="B1780" s="3" t="s">
        <v>1936</v>
      </c>
      <c r="C1780" s="4">
        <f t="shared" ca="1" si="71"/>
        <v>45819</v>
      </c>
      <c r="D1780" s="4">
        <f ca="1">TODAY()-195</f>
        <v>45842</v>
      </c>
      <c r="E1780" s="3" t="s">
        <v>1029</v>
      </c>
      <c r="F1780" s="43" t="b">
        <v>1</v>
      </c>
      <c r="G1780" s="43" t="b">
        <v>1</v>
      </c>
      <c r="H1780" s="44">
        <v>410</v>
      </c>
    </row>
    <row r="1781" spans="1:8" x14ac:dyDescent="0.3">
      <c r="A1781" s="42" t="s">
        <v>1466</v>
      </c>
      <c r="B1781" s="3" t="s">
        <v>1467</v>
      </c>
      <c r="C1781" s="4">
        <f t="shared" ca="1" si="71"/>
        <v>45819</v>
      </c>
      <c r="D1781" s="42"/>
      <c r="E1781" s="3" t="s">
        <v>1037</v>
      </c>
      <c r="F1781" s="43" t="b">
        <v>0</v>
      </c>
      <c r="G1781" s="43" t="b">
        <v>0</v>
      </c>
      <c r="H1781" s="44">
        <v>2400</v>
      </c>
    </row>
    <row r="1782" spans="1:8" x14ac:dyDescent="0.3">
      <c r="A1782" s="42" t="s">
        <v>1569</v>
      </c>
      <c r="B1782" s="3" t="s">
        <v>1136</v>
      </c>
      <c r="C1782" s="4">
        <f t="shared" ca="1" si="71"/>
        <v>45819</v>
      </c>
      <c r="D1782" s="4">
        <f ca="1">TODAY()-207</f>
        <v>45830</v>
      </c>
      <c r="E1782" s="3" t="s">
        <v>1029</v>
      </c>
      <c r="F1782" s="43" t="b">
        <v>1</v>
      </c>
      <c r="G1782" s="43" t="b">
        <v>1</v>
      </c>
      <c r="H1782" s="44">
        <v>3630</v>
      </c>
    </row>
    <row r="1783" spans="1:8" x14ac:dyDescent="0.3">
      <c r="A1783" s="42" t="s">
        <v>1966</v>
      </c>
      <c r="B1783" s="3" t="s">
        <v>1967</v>
      </c>
      <c r="C1783" s="4">
        <f t="shared" ca="1" si="71"/>
        <v>45819</v>
      </c>
      <c r="D1783" s="4">
        <f ca="1">TODAY()-203</f>
        <v>45834</v>
      </c>
      <c r="E1783" s="3" t="s">
        <v>1032</v>
      </c>
      <c r="F1783" s="43" t="b">
        <v>1</v>
      </c>
      <c r="G1783" s="43" t="b">
        <v>0</v>
      </c>
      <c r="H1783" s="44">
        <v>1270</v>
      </c>
    </row>
    <row r="1784" spans="1:8" x14ac:dyDescent="0.3">
      <c r="A1784" s="42" t="s">
        <v>1913</v>
      </c>
      <c r="B1784" s="3" t="s">
        <v>1914</v>
      </c>
      <c r="C1784" s="4">
        <f t="shared" ca="1" si="71"/>
        <v>45819</v>
      </c>
      <c r="D1784" s="4">
        <f t="shared" ref="D1784:D1785" ca="1" si="75">TODAY()-192</f>
        <v>45845</v>
      </c>
      <c r="E1784" s="3" t="s">
        <v>1029</v>
      </c>
      <c r="F1784" s="43" t="b">
        <v>1</v>
      </c>
      <c r="G1784" s="43" t="b">
        <v>1</v>
      </c>
      <c r="H1784" s="44">
        <v>2320</v>
      </c>
    </row>
    <row r="1785" spans="1:8" x14ac:dyDescent="0.3">
      <c r="A1785" s="42" t="s">
        <v>1782</v>
      </c>
      <c r="B1785" s="3" t="s">
        <v>1275</v>
      </c>
      <c r="C1785" s="4">
        <f t="shared" ca="1" si="71"/>
        <v>45819</v>
      </c>
      <c r="D1785" s="4">
        <f t="shared" ca="1" si="75"/>
        <v>45845</v>
      </c>
      <c r="E1785" s="3" t="s">
        <v>1029</v>
      </c>
      <c r="F1785" s="43" t="b">
        <v>1</v>
      </c>
      <c r="G1785" s="43" t="b">
        <v>1</v>
      </c>
      <c r="H1785" s="44">
        <v>1670</v>
      </c>
    </row>
    <row r="1786" spans="1:8" x14ac:dyDescent="0.3">
      <c r="A1786" s="42" t="s">
        <v>1361</v>
      </c>
      <c r="B1786" s="3" t="s">
        <v>1362</v>
      </c>
      <c r="C1786" s="4">
        <f t="shared" ca="1" si="71"/>
        <v>45819</v>
      </c>
      <c r="D1786" s="4">
        <f ca="1">TODAY()-191</f>
        <v>45846</v>
      </c>
      <c r="E1786" s="3" t="s">
        <v>1032</v>
      </c>
      <c r="F1786" s="43" t="b">
        <v>1</v>
      </c>
      <c r="G1786" s="43" t="b">
        <v>0</v>
      </c>
      <c r="H1786" s="44">
        <v>1540</v>
      </c>
    </row>
    <row r="1787" spans="1:8" x14ac:dyDescent="0.3">
      <c r="A1787" s="42" t="s">
        <v>1892</v>
      </c>
      <c r="B1787" s="3" t="s">
        <v>1643</v>
      </c>
      <c r="C1787" s="4">
        <f t="shared" ca="1" si="71"/>
        <v>45819</v>
      </c>
      <c r="D1787" s="4">
        <f ca="1">TODAY()-196</f>
        <v>45841</v>
      </c>
      <c r="E1787" s="3" t="s">
        <v>1029</v>
      </c>
      <c r="F1787" s="43" t="b">
        <v>1</v>
      </c>
      <c r="G1787" s="43" t="b">
        <v>1</v>
      </c>
      <c r="H1787" s="44">
        <v>370</v>
      </c>
    </row>
    <row r="1788" spans="1:8" x14ac:dyDescent="0.3">
      <c r="A1788" s="42" t="s">
        <v>1941</v>
      </c>
      <c r="B1788" s="3" t="s">
        <v>1978</v>
      </c>
      <c r="C1788" s="4">
        <f t="shared" ca="1" si="71"/>
        <v>45819</v>
      </c>
      <c r="D1788" s="4">
        <f ca="1">TODAY()-200</f>
        <v>45837</v>
      </c>
      <c r="E1788" s="3" t="s">
        <v>1032</v>
      </c>
      <c r="F1788" s="43" t="b">
        <v>1</v>
      </c>
      <c r="G1788" s="43" t="b">
        <v>0</v>
      </c>
      <c r="H1788" s="44">
        <v>720</v>
      </c>
    </row>
    <row r="1789" spans="1:8" x14ac:dyDescent="0.3">
      <c r="A1789" s="42" t="s">
        <v>1245</v>
      </c>
      <c r="B1789" s="3" t="s">
        <v>1275</v>
      </c>
      <c r="C1789" s="4">
        <f t="shared" ca="1" si="71"/>
        <v>45819</v>
      </c>
      <c r="D1789" s="4">
        <f ca="1">TODAY()-197</f>
        <v>45840</v>
      </c>
      <c r="E1789" s="3" t="s">
        <v>1029</v>
      </c>
      <c r="F1789" s="43" t="b">
        <v>1</v>
      </c>
      <c r="G1789" s="43" t="b">
        <v>1</v>
      </c>
      <c r="H1789" s="44">
        <v>1500</v>
      </c>
    </row>
    <row r="1790" spans="1:8" x14ac:dyDescent="0.3">
      <c r="A1790" s="42" t="s">
        <v>1780</v>
      </c>
      <c r="B1790" s="3" t="s">
        <v>1781</v>
      </c>
      <c r="C1790" s="4">
        <f t="shared" ca="1" si="71"/>
        <v>45819</v>
      </c>
      <c r="D1790" s="42"/>
      <c r="E1790" s="3" t="s">
        <v>1103</v>
      </c>
      <c r="F1790" s="43" t="b">
        <v>0</v>
      </c>
      <c r="G1790" s="43" t="b">
        <v>0</v>
      </c>
      <c r="H1790" s="44">
        <v>1570</v>
      </c>
    </row>
    <row r="1791" spans="1:8" x14ac:dyDescent="0.3">
      <c r="A1791" s="42" t="s">
        <v>1830</v>
      </c>
      <c r="B1791" s="3" t="s">
        <v>1990</v>
      </c>
      <c r="C1791" s="4">
        <f t="shared" ca="1" si="71"/>
        <v>45819</v>
      </c>
      <c r="D1791" s="42"/>
      <c r="E1791" s="3" t="s">
        <v>1037</v>
      </c>
      <c r="F1791" s="43" t="b">
        <v>0</v>
      </c>
      <c r="G1791" s="43" t="b">
        <v>0</v>
      </c>
      <c r="H1791" s="44">
        <v>2310</v>
      </c>
    </row>
    <row r="1792" spans="1:8" x14ac:dyDescent="0.3">
      <c r="A1792" s="42" t="s">
        <v>1399</v>
      </c>
      <c r="B1792" s="3" t="s">
        <v>1962</v>
      </c>
      <c r="C1792" s="4">
        <f t="shared" ca="1" si="71"/>
        <v>45819</v>
      </c>
      <c r="D1792" s="4">
        <f ca="1">TODAY()-196</f>
        <v>45841</v>
      </c>
      <c r="E1792" s="3" t="s">
        <v>1029</v>
      </c>
      <c r="F1792" s="43" t="b">
        <v>1</v>
      </c>
      <c r="G1792" s="43" t="b">
        <v>1</v>
      </c>
      <c r="H1792" s="44">
        <v>1830</v>
      </c>
    </row>
    <row r="1793" spans="1:8" x14ac:dyDescent="0.3">
      <c r="A1793" s="42" t="s">
        <v>1270</v>
      </c>
      <c r="B1793" s="3" t="s">
        <v>1942</v>
      </c>
      <c r="C1793" s="4">
        <f t="shared" ca="1" si="71"/>
        <v>45819</v>
      </c>
      <c r="D1793" s="4">
        <f ca="1">TODAY()-197</f>
        <v>45840</v>
      </c>
      <c r="E1793" s="3" t="s">
        <v>1032</v>
      </c>
      <c r="F1793" s="43" t="b">
        <v>1</v>
      </c>
      <c r="G1793" s="43" t="b">
        <v>0</v>
      </c>
      <c r="H1793" s="44">
        <v>1120</v>
      </c>
    </row>
    <row r="1794" spans="1:8" x14ac:dyDescent="0.3">
      <c r="A1794" s="42" t="s">
        <v>1601</v>
      </c>
      <c r="B1794" s="3" t="s">
        <v>1114</v>
      </c>
      <c r="C1794" s="4">
        <f t="shared" ca="1" si="71"/>
        <v>45819</v>
      </c>
      <c r="D1794" s="42"/>
      <c r="E1794" s="3" t="s">
        <v>1070</v>
      </c>
      <c r="F1794" s="43" t="b">
        <v>0</v>
      </c>
      <c r="G1794" s="43" t="b">
        <v>0</v>
      </c>
      <c r="H1794" s="44">
        <v>1330</v>
      </c>
    </row>
    <row r="1795" spans="1:8" x14ac:dyDescent="0.3">
      <c r="A1795" s="42" t="s">
        <v>1143</v>
      </c>
      <c r="B1795" s="3" t="s">
        <v>1144</v>
      </c>
      <c r="C1795" s="4">
        <f t="shared" ca="1" si="71"/>
        <v>45819</v>
      </c>
      <c r="D1795" s="4">
        <f ca="1">TODAY()-190</f>
        <v>45847</v>
      </c>
      <c r="E1795" s="3" t="s">
        <v>1029</v>
      </c>
      <c r="F1795" s="43" t="b">
        <v>1</v>
      </c>
      <c r="G1795" s="43" t="b">
        <v>1</v>
      </c>
      <c r="H1795" s="44">
        <v>560</v>
      </c>
    </row>
    <row r="1796" spans="1:8" x14ac:dyDescent="0.3">
      <c r="A1796" s="42" t="s">
        <v>1464</v>
      </c>
      <c r="B1796" s="3" t="s">
        <v>1465</v>
      </c>
      <c r="C1796" s="4">
        <f t="shared" ca="1" si="71"/>
        <v>45819</v>
      </c>
      <c r="D1796" s="42"/>
      <c r="E1796" s="3" t="s">
        <v>1037</v>
      </c>
      <c r="F1796" s="43" t="b">
        <v>0</v>
      </c>
      <c r="G1796" s="43" t="b">
        <v>0</v>
      </c>
      <c r="H1796" s="44">
        <v>920</v>
      </c>
    </row>
    <row r="1797" spans="1:8" x14ac:dyDescent="0.3">
      <c r="A1797" s="42" t="s">
        <v>1403</v>
      </c>
      <c r="B1797" s="3" t="s">
        <v>1404</v>
      </c>
      <c r="C1797" s="4">
        <f t="shared" ca="1" si="71"/>
        <v>45819</v>
      </c>
      <c r="D1797" s="4">
        <f ca="1">TODAY()-196</f>
        <v>45841</v>
      </c>
      <c r="E1797" s="3" t="s">
        <v>1029</v>
      </c>
      <c r="F1797" s="43" t="b">
        <v>1</v>
      </c>
      <c r="G1797" s="43" t="b">
        <v>1</v>
      </c>
      <c r="H1797" s="44">
        <v>2360</v>
      </c>
    </row>
    <row r="1798" spans="1:8" x14ac:dyDescent="0.3">
      <c r="A1798" s="42" t="s">
        <v>1458</v>
      </c>
      <c r="B1798" s="3" t="s">
        <v>1459</v>
      </c>
      <c r="C1798" s="4">
        <f t="shared" ca="1" si="71"/>
        <v>45819</v>
      </c>
      <c r="D1798" s="42"/>
      <c r="E1798" s="3" t="s">
        <v>1108</v>
      </c>
      <c r="F1798" s="43" t="b">
        <v>0</v>
      </c>
      <c r="G1798" s="43" t="b">
        <v>0</v>
      </c>
      <c r="H1798" s="44">
        <v>1570</v>
      </c>
    </row>
    <row r="1799" spans="1:8" x14ac:dyDescent="0.3">
      <c r="A1799" s="42" t="s">
        <v>1370</v>
      </c>
      <c r="B1799" s="3" t="s">
        <v>1864</v>
      </c>
      <c r="C1799" s="4">
        <f t="shared" ca="1" si="71"/>
        <v>45819</v>
      </c>
      <c r="D1799" s="4">
        <f ca="1">TODAY()-189</f>
        <v>45848</v>
      </c>
      <c r="E1799" s="3" t="s">
        <v>1029</v>
      </c>
      <c r="F1799" s="43" t="b">
        <v>1</v>
      </c>
      <c r="G1799" s="43" t="b">
        <v>1</v>
      </c>
      <c r="H1799" s="44">
        <v>120</v>
      </c>
    </row>
    <row r="1800" spans="1:8" x14ac:dyDescent="0.3">
      <c r="A1800" s="42" t="s">
        <v>1779</v>
      </c>
      <c r="B1800" s="3" t="s">
        <v>1862</v>
      </c>
      <c r="C1800" s="4">
        <f t="shared" ca="1" si="71"/>
        <v>45819</v>
      </c>
      <c r="D1800" s="4">
        <f ca="1">TODAY()-194</f>
        <v>45843</v>
      </c>
      <c r="E1800" s="3" t="s">
        <v>1032</v>
      </c>
      <c r="F1800" s="43" t="b">
        <v>1</v>
      </c>
      <c r="G1800" s="43" t="b">
        <v>0</v>
      </c>
      <c r="H1800" s="44">
        <v>1950</v>
      </c>
    </row>
    <row r="1801" spans="1:8" x14ac:dyDescent="0.3">
      <c r="A1801" s="42" t="s">
        <v>1637</v>
      </c>
      <c r="B1801" s="3" t="s">
        <v>1638</v>
      </c>
      <c r="C1801" s="4">
        <f t="shared" ca="1" si="71"/>
        <v>45819</v>
      </c>
      <c r="D1801" s="42"/>
      <c r="E1801" s="3" t="s">
        <v>1103</v>
      </c>
      <c r="F1801" s="43" t="b">
        <v>0</v>
      </c>
      <c r="G1801" s="43" t="b">
        <v>0</v>
      </c>
      <c r="H1801" s="44">
        <v>520</v>
      </c>
    </row>
    <row r="1802" spans="1:8" x14ac:dyDescent="0.3">
      <c r="A1802" s="42" t="s">
        <v>1455</v>
      </c>
      <c r="B1802" s="3" t="s">
        <v>1790</v>
      </c>
      <c r="C1802" s="4">
        <f t="shared" ca="1" si="71"/>
        <v>45819</v>
      </c>
      <c r="D1802" s="42"/>
      <c r="E1802" s="3" t="s">
        <v>1077</v>
      </c>
      <c r="F1802" s="43" t="b">
        <v>0</v>
      </c>
      <c r="G1802" s="43" t="b">
        <v>0</v>
      </c>
      <c r="H1802" s="44">
        <v>1240</v>
      </c>
    </row>
    <row r="1803" spans="1:8" x14ac:dyDescent="0.3">
      <c r="A1803" s="42" t="s">
        <v>1340</v>
      </c>
      <c r="B1803" s="3" t="s">
        <v>1341</v>
      </c>
      <c r="C1803" s="4">
        <f t="shared" ca="1" si="71"/>
        <v>45819</v>
      </c>
      <c r="D1803" s="4">
        <f ca="1">TODAY()-206</f>
        <v>45831</v>
      </c>
      <c r="E1803" s="3" t="s">
        <v>1032</v>
      </c>
      <c r="F1803" s="43" t="b">
        <v>1</v>
      </c>
      <c r="G1803" s="43" t="b">
        <v>0</v>
      </c>
      <c r="H1803" s="44">
        <v>1250</v>
      </c>
    </row>
    <row r="1804" spans="1:8" x14ac:dyDescent="0.3">
      <c r="A1804" s="42" t="s">
        <v>1462</v>
      </c>
      <c r="B1804" s="3" t="s">
        <v>1463</v>
      </c>
      <c r="C1804" s="4">
        <f t="shared" ca="1" si="71"/>
        <v>45819</v>
      </c>
      <c r="D1804" s="4">
        <f ca="1">TODAY()-194</f>
        <v>45843</v>
      </c>
      <c r="E1804" s="3" t="s">
        <v>1029</v>
      </c>
      <c r="F1804" s="43" t="b">
        <v>1</v>
      </c>
      <c r="G1804" s="43" t="b">
        <v>1</v>
      </c>
      <c r="H1804" s="44">
        <v>2160</v>
      </c>
    </row>
    <row r="1805" spans="1:8" x14ac:dyDescent="0.3">
      <c r="A1805" s="42" t="s">
        <v>1431</v>
      </c>
      <c r="B1805" s="3" t="s">
        <v>1432</v>
      </c>
      <c r="C1805" s="4">
        <f t="shared" ca="1" si="71"/>
        <v>45819</v>
      </c>
      <c r="D1805" s="42"/>
      <c r="E1805" s="3" t="s">
        <v>1108</v>
      </c>
      <c r="F1805" s="43" t="b">
        <v>0</v>
      </c>
      <c r="G1805" s="43" t="b">
        <v>0</v>
      </c>
      <c r="H1805" s="44">
        <v>1170</v>
      </c>
    </row>
    <row r="1806" spans="1:8" x14ac:dyDescent="0.3">
      <c r="A1806" s="42" t="s">
        <v>1294</v>
      </c>
      <c r="B1806" s="3" t="s">
        <v>1528</v>
      </c>
      <c r="C1806" s="4">
        <f t="shared" ca="1" si="71"/>
        <v>45819</v>
      </c>
      <c r="D1806" s="4">
        <f t="shared" ref="D1806:D1807" ca="1" si="76">TODAY()-191</f>
        <v>45846</v>
      </c>
      <c r="E1806" s="3" t="s">
        <v>1032</v>
      </c>
      <c r="F1806" s="43" t="b">
        <v>1</v>
      </c>
      <c r="G1806" s="43" t="b">
        <v>0</v>
      </c>
      <c r="H1806" s="44">
        <v>530</v>
      </c>
    </row>
    <row r="1807" spans="1:8" x14ac:dyDescent="0.3">
      <c r="A1807" s="42" t="s">
        <v>1263</v>
      </c>
      <c r="B1807" s="3" t="s">
        <v>1201</v>
      </c>
      <c r="C1807" s="4">
        <f t="shared" ca="1" si="71"/>
        <v>45819</v>
      </c>
      <c r="D1807" s="4">
        <f t="shared" ca="1" si="76"/>
        <v>45846</v>
      </c>
      <c r="E1807" s="3" t="s">
        <v>1029</v>
      </c>
      <c r="F1807" s="43" t="b">
        <v>1</v>
      </c>
      <c r="G1807" s="43" t="b">
        <v>1</v>
      </c>
      <c r="H1807" s="44">
        <v>5880</v>
      </c>
    </row>
    <row r="1808" spans="1:8" x14ac:dyDescent="0.3">
      <c r="A1808" s="42" t="s">
        <v>1704</v>
      </c>
      <c r="B1808" s="3" t="s">
        <v>1984</v>
      </c>
      <c r="C1808" s="4">
        <f t="shared" ca="1" si="71"/>
        <v>45819</v>
      </c>
      <c r="D1808" s="4">
        <f ca="1">TODAY()-189</f>
        <v>45848</v>
      </c>
      <c r="E1808" s="3" t="s">
        <v>1029</v>
      </c>
      <c r="F1808" s="43" t="b">
        <v>1</v>
      </c>
      <c r="G1808" s="43" t="b">
        <v>1</v>
      </c>
      <c r="H1808" s="44">
        <v>2260</v>
      </c>
    </row>
    <row r="1809" spans="1:8" x14ac:dyDescent="0.3">
      <c r="A1809" s="42" t="s">
        <v>1571</v>
      </c>
      <c r="B1809" s="3" t="s">
        <v>1841</v>
      </c>
      <c r="C1809" s="4">
        <f t="shared" ca="1" si="71"/>
        <v>45819</v>
      </c>
      <c r="D1809" s="4">
        <f ca="1">TODAY()-203</f>
        <v>45834</v>
      </c>
      <c r="E1809" s="3" t="s">
        <v>1032</v>
      </c>
      <c r="F1809" s="43" t="b">
        <v>1</v>
      </c>
      <c r="G1809" s="43" t="b">
        <v>0</v>
      </c>
      <c r="H1809" s="44">
        <v>2190</v>
      </c>
    </row>
    <row r="1810" spans="1:8" x14ac:dyDescent="0.3">
      <c r="A1810" s="42" t="s">
        <v>1578</v>
      </c>
      <c r="B1810" s="3" t="s">
        <v>1579</v>
      </c>
      <c r="C1810" s="4">
        <f t="shared" ca="1" si="71"/>
        <v>45819</v>
      </c>
      <c r="D1810" s="4">
        <f ca="1">TODAY()-191</f>
        <v>45846</v>
      </c>
      <c r="E1810" s="3" t="s">
        <v>1032</v>
      </c>
      <c r="F1810" s="43" t="b">
        <v>1</v>
      </c>
      <c r="G1810" s="43" t="b">
        <v>0</v>
      </c>
      <c r="H1810" s="44">
        <v>2440</v>
      </c>
    </row>
    <row r="1811" spans="1:8" x14ac:dyDescent="0.3">
      <c r="A1811" s="42" t="s">
        <v>1304</v>
      </c>
      <c r="B1811" s="3" t="s">
        <v>1222</v>
      </c>
      <c r="C1811" s="4">
        <f t="shared" ca="1" si="71"/>
        <v>45819</v>
      </c>
      <c r="D1811" s="4">
        <f ca="1">TODAY()-204</f>
        <v>45833</v>
      </c>
      <c r="E1811" s="3" t="s">
        <v>1029</v>
      </c>
      <c r="F1811" s="43" t="b">
        <v>1</v>
      </c>
      <c r="G1811" s="43" t="b">
        <v>1</v>
      </c>
      <c r="H1811" s="44">
        <v>3370</v>
      </c>
    </row>
    <row r="1812" spans="1:8" x14ac:dyDescent="0.3">
      <c r="A1812" s="42" t="s">
        <v>1474</v>
      </c>
      <c r="B1812" s="3" t="s">
        <v>1555</v>
      </c>
      <c r="C1812" s="4">
        <f t="shared" ca="1" si="71"/>
        <v>45819</v>
      </c>
      <c r="D1812" s="4">
        <f ca="1">TODAY()-189</f>
        <v>45848</v>
      </c>
      <c r="E1812" s="3" t="s">
        <v>1029</v>
      </c>
      <c r="F1812" s="43" t="b">
        <v>1</v>
      </c>
      <c r="G1812" s="43" t="b">
        <v>1</v>
      </c>
      <c r="H1812" s="44">
        <v>340</v>
      </c>
    </row>
    <row r="1813" spans="1:8" x14ac:dyDescent="0.3">
      <c r="A1813" s="42" t="s">
        <v>1695</v>
      </c>
      <c r="B1813" s="3" t="s">
        <v>1696</v>
      </c>
      <c r="C1813" s="4">
        <f t="shared" ca="1" si="71"/>
        <v>45819</v>
      </c>
      <c r="D1813" s="4">
        <f ca="1">TODAY()-206</f>
        <v>45831</v>
      </c>
      <c r="E1813" s="3" t="s">
        <v>1029</v>
      </c>
      <c r="F1813" s="43" t="b">
        <v>1</v>
      </c>
      <c r="G1813" s="43" t="b">
        <v>1</v>
      </c>
      <c r="H1813" s="44">
        <v>130</v>
      </c>
    </row>
    <row r="1814" spans="1:8" x14ac:dyDescent="0.3">
      <c r="A1814" s="42" t="s">
        <v>1646</v>
      </c>
      <c r="B1814" s="3" t="s">
        <v>1114</v>
      </c>
      <c r="C1814" s="4">
        <f t="shared" ca="1" si="71"/>
        <v>45819</v>
      </c>
      <c r="D1814" s="4">
        <f ca="1">TODAY()-204</f>
        <v>45833</v>
      </c>
      <c r="E1814" s="3" t="s">
        <v>1029</v>
      </c>
      <c r="F1814" s="43" t="b">
        <v>1</v>
      </c>
      <c r="G1814" s="43" t="b">
        <v>1</v>
      </c>
      <c r="H1814" s="44">
        <v>650</v>
      </c>
    </row>
    <row r="1815" spans="1:8" x14ac:dyDescent="0.3">
      <c r="A1815" s="42" t="s">
        <v>1595</v>
      </c>
      <c r="B1815" s="3" t="s">
        <v>1769</v>
      </c>
      <c r="C1815" s="4">
        <f t="shared" ca="1" si="71"/>
        <v>45819</v>
      </c>
      <c r="D1815" s="4">
        <f ca="1">TODAY()-191</f>
        <v>45846</v>
      </c>
      <c r="E1815" s="3" t="s">
        <v>1029</v>
      </c>
      <c r="F1815" s="43" t="b">
        <v>1</v>
      </c>
      <c r="G1815" s="43" t="b">
        <v>1</v>
      </c>
      <c r="H1815" s="44">
        <v>1770</v>
      </c>
    </row>
    <row r="1816" spans="1:8" x14ac:dyDescent="0.3">
      <c r="A1816" s="42" t="s">
        <v>1052</v>
      </c>
      <c r="B1816" s="3" t="s">
        <v>1136</v>
      </c>
      <c r="C1816" s="4">
        <f t="shared" ca="1" si="71"/>
        <v>45819</v>
      </c>
      <c r="D1816" s="4">
        <f ca="1">TODAY()-207</f>
        <v>45830</v>
      </c>
      <c r="E1816" s="3" t="s">
        <v>1029</v>
      </c>
      <c r="F1816" s="43" t="b">
        <v>1</v>
      </c>
      <c r="G1816" s="43" t="b">
        <v>1</v>
      </c>
      <c r="H1816" s="44">
        <v>140</v>
      </c>
    </row>
    <row r="1817" spans="1:8" x14ac:dyDescent="0.3">
      <c r="A1817" s="42" t="s">
        <v>1842</v>
      </c>
      <c r="B1817" s="3" t="s">
        <v>1843</v>
      </c>
      <c r="C1817" s="4">
        <f t="shared" ca="1" si="71"/>
        <v>45819</v>
      </c>
      <c r="D1817" s="4">
        <f ca="1">TODAY()-195</f>
        <v>45842</v>
      </c>
      <c r="E1817" s="3" t="s">
        <v>1029</v>
      </c>
      <c r="F1817" s="43" t="b">
        <v>1</v>
      </c>
      <c r="G1817" s="43" t="b">
        <v>1</v>
      </c>
      <c r="H1817" s="44">
        <v>370</v>
      </c>
    </row>
    <row r="1818" spans="1:8" x14ac:dyDescent="0.3">
      <c r="A1818" s="42" t="s">
        <v>1549</v>
      </c>
      <c r="B1818" s="3" t="s">
        <v>1550</v>
      </c>
      <c r="C1818" s="4">
        <f t="shared" ca="1" si="71"/>
        <v>45819</v>
      </c>
      <c r="D1818" s="4">
        <f ca="1">TODAY()-189</f>
        <v>45848</v>
      </c>
      <c r="E1818" s="3" t="s">
        <v>1032</v>
      </c>
      <c r="F1818" s="43" t="b">
        <v>1</v>
      </c>
      <c r="G1818" s="43" t="b">
        <v>0</v>
      </c>
      <c r="H1818" s="44">
        <v>610</v>
      </c>
    </row>
    <row r="1819" spans="1:8" x14ac:dyDescent="0.3">
      <c r="A1819" s="42" t="s">
        <v>1240</v>
      </c>
      <c r="B1819" s="3" t="s">
        <v>1241</v>
      </c>
      <c r="C1819" s="4">
        <f t="shared" ca="1" si="71"/>
        <v>45819</v>
      </c>
      <c r="D1819" s="4">
        <f ca="1">TODAY()-188</f>
        <v>45849</v>
      </c>
      <c r="E1819" s="3" t="s">
        <v>1032</v>
      </c>
      <c r="F1819" s="43" t="b">
        <v>1</v>
      </c>
      <c r="G1819" s="43" t="b">
        <v>0</v>
      </c>
      <c r="H1819" s="44">
        <v>870</v>
      </c>
    </row>
    <row r="1820" spans="1:8" x14ac:dyDescent="0.3">
      <c r="A1820" s="42" t="s">
        <v>1141</v>
      </c>
      <c r="B1820" s="3" t="s">
        <v>1183</v>
      </c>
      <c r="C1820" s="4">
        <f t="shared" ref="C1820:C1945" ca="1" si="77">TODAY()-188</f>
        <v>45849</v>
      </c>
      <c r="D1820" s="42"/>
      <c r="E1820" s="3" t="s">
        <v>1101</v>
      </c>
      <c r="F1820" s="43" t="b">
        <v>0</v>
      </c>
      <c r="G1820" s="43" t="b">
        <v>0</v>
      </c>
      <c r="H1820" s="44">
        <v>130</v>
      </c>
    </row>
    <row r="1821" spans="1:8" x14ac:dyDescent="0.3">
      <c r="A1821" s="42" t="s">
        <v>1198</v>
      </c>
      <c r="B1821" s="3" t="s">
        <v>1199</v>
      </c>
      <c r="C1821" s="4">
        <f t="shared" ca="1" si="77"/>
        <v>45849</v>
      </c>
      <c r="D1821" s="4">
        <f ca="1">TODAY()-162</f>
        <v>45875</v>
      </c>
      <c r="E1821" s="3" t="s">
        <v>1029</v>
      </c>
      <c r="F1821" s="43" t="b">
        <v>1</v>
      </c>
      <c r="G1821" s="43" t="b">
        <v>1</v>
      </c>
      <c r="H1821" s="44">
        <v>190</v>
      </c>
    </row>
    <row r="1822" spans="1:8" x14ac:dyDescent="0.3">
      <c r="A1822" s="42" t="s">
        <v>1827</v>
      </c>
      <c r="B1822" s="3" t="s">
        <v>1987</v>
      </c>
      <c r="C1822" s="4">
        <f t="shared" ca="1" si="77"/>
        <v>45849</v>
      </c>
      <c r="D1822" s="4">
        <f ca="1">TODAY()-173</f>
        <v>45864</v>
      </c>
      <c r="E1822" s="3" t="s">
        <v>1029</v>
      </c>
      <c r="F1822" s="43" t="b">
        <v>1</v>
      </c>
      <c r="G1822" s="43" t="b">
        <v>1</v>
      </c>
      <c r="H1822" s="44">
        <v>2360</v>
      </c>
    </row>
    <row r="1823" spans="1:8" x14ac:dyDescent="0.3">
      <c r="A1823" s="42" t="s">
        <v>1652</v>
      </c>
      <c r="B1823" s="3" t="s">
        <v>1653</v>
      </c>
      <c r="C1823" s="4">
        <f t="shared" ca="1" si="77"/>
        <v>45849</v>
      </c>
      <c r="D1823" s="4">
        <f ca="1">TODAY()-178</f>
        <v>45859</v>
      </c>
      <c r="E1823" s="3" t="s">
        <v>1029</v>
      </c>
      <c r="F1823" s="43" t="b">
        <v>1</v>
      </c>
      <c r="G1823" s="43" t="b">
        <v>1</v>
      </c>
      <c r="H1823" s="44">
        <v>2060</v>
      </c>
    </row>
    <row r="1824" spans="1:8" x14ac:dyDescent="0.3">
      <c r="A1824" s="42" t="s">
        <v>1389</v>
      </c>
      <c r="B1824" s="3" t="s">
        <v>1614</v>
      </c>
      <c r="C1824" s="4">
        <f t="shared" ca="1" si="77"/>
        <v>45849</v>
      </c>
      <c r="D1824" s="4">
        <f ca="1">TODAY()-167</f>
        <v>45870</v>
      </c>
      <c r="E1824" s="3" t="s">
        <v>1029</v>
      </c>
      <c r="F1824" s="43" t="b">
        <v>1</v>
      </c>
      <c r="G1824" s="43" t="b">
        <v>1</v>
      </c>
      <c r="H1824" s="44">
        <v>1900</v>
      </c>
    </row>
    <row r="1825" spans="1:8" x14ac:dyDescent="0.3">
      <c r="A1825" s="42" t="s">
        <v>1405</v>
      </c>
      <c r="B1825" s="3" t="s">
        <v>1707</v>
      </c>
      <c r="C1825" s="4">
        <f t="shared" ca="1" si="77"/>
        <v>45849</v>
      </c>
      <c r="D1825" s="4">
        <f ca="1">TODAY()-159</f>
        <v>45878</v>
      </c>
      <c r="E1825" s="3" t="s">
        <v>1032</v>
      </c>
      <c r="F1825" s="43" t="b">
        <v>1</v>
      </c>
      <c r="G1825" s="43" t="b">
        <v>0</v>
      </c>
      <c r="H1825" s="44">
        <v>2260</v>
      </c>
    </row>
    <row r="1826" spans="1:8" x14ac:dyDescent="0.3">
      <c r="A1826" s="42" t="s">
        <v>1149</v>
      </c>
      <c r="B1826" s="3" t="s">
        <v>1907</v>
      </c>
      <c r="C1826" s="4">
        <f t="shared" ca="1" si="77"/>
        <v>45849</v>
      </c>
      <c r="D1826" s="4">
        <f ca="1">TODAY()-168</f>
        <v>45869</v>
      </c>
      <c r="E1826" s="3" t="s">
        <v>1032</v>
      </c>
      <c r="F1826" s="43" t="b">
        <v>1</v>
      </c>
      <c r="G1826" s="43" t="b">
        <v>0</v>
      </c>
      <c r="H1826" s="44">
        <v>2290</v>
      </c>
    </row>
    <row r="1827" spans="1:8" x14ac:dyDescent="0.3">
      <c r="A1827" s="42" t="s">
        <v>1827</v>
      </c>
      <c r="B1827" s="3" t="s">
        <v>1987</v>
      </c>
      <c r="C1827" s="4">
        <f t="shared" ca="1" si="77"/>
        <v>45849</v>
      </c>
      <c r="D1827" s="4">
        <f ca="1">TODAY()-174</f>
        <v>45863</v>
      </c>
      <c r="E1827" s="3" t="s">
        <v>1029</v>
      </c>
      <c r="F1827" s="43" t="b">
        <v>1</v>
      </c>
      <c r="G1827" s="43" t="b">
        <v>1</v>
      </c>
      <c r="H1827" s="44">
        <v>2360</v>
      </c>
    </row>
    <row r="1828" spans="1:8" x14ac:dyDescent="0.3">
      <c r="A1828" s="42" t="s">
        <v>1153</v>
      </c>
      <c r="B1828" s="3" t="s">
        <v>1665</v>
      </c>
      <c r="C1828" s="4">
        <f t="shared" ca="1" si="77"/>
        <v>45849</v>
      </c>
      <c r="D1828" s="4">
        <f ca="1">TODAY()-159</f>
        <v>45878</v>
      </c>
      <c r="E1828" s="3" t="s">
        <v>1029</v>
      </c>
      <c r="F1828" s="43" t="b">
        <v>1</v>
      </c>
      <c r="G1828" s="43" t="b">
        <v>1</v>
      </c>
      <c r="H1828" s="44">
        <v>750</v>
      </c>
    </row>
    <row r="1829" spans="1:8" x14ac:dyDescent="0.3">
      <c r="A1829" s="42" t="s">
        <v>1782</v>
      </c>
      <c r="B1829" s="3" t="s">
        <v>1920</v>
      </c>
      <c r="C1829" s="4">
        <f t="shared" ca="1" si="77"/>
        <v>45849</v>
      </c>
      <c r="D1829" s="42"/>
      <c r="E1829" s="3" t="s">
        <v>1070</v>
      </c>
      <c r="F1829" s="43" t="b">
        <v>0</v>
      </c>
      <c r="G1829" s="43" t="b">
        <v>0</v>
      </c>
      <c r="H1829" s="44">
        <v>290</v>
      </c>
    </row>
    <row r="1830" spans="1:8" x14ac:dyDescent="0.3">
      <c r="A1830" s="42" t="s">
        <v>1095</v>
      </c>
      <c r="B1830" s="3" t="s">
        <v>1096</v>
      </c>
      <c r="C1830" s="4">
        <f t="shared" ca="1" si="77"/>
        <v>45849</v>
      </c>
      <c r="D1830" s="42"/>
      <c r="E1830" s="3" t="s">
        <v>1037</v>
      </c>
      <c r="F1830" s="43" t="b">
        <v>0</v>
      </c>
      <c r="G1830" s="43" t="b">
        <v>0</v>
      </c>
      <c r="H1830" s="44">
        <v>1170</v>
      </c>
    </row>
    <row r="1831" spans="1:8" x14ac:dyDescent="0.3">
      <c r="A1831" s="42" t="s">
        <v>1455</v>
      </c>
      <c r="B1831" s="3" t="s">
        <v>1790</v>
      </c>
      <c r="C1831" s="4">
        <f t="shared" ca="1" si="77"/>
        <v>45849</v>
      </c>
      <c r="D1831" s="42"/>
      <c r="E1831" s="3" t="s">
        <v>1077</v>
      </c>
      <c r="F1831" s="43" t="b">
        <v>0</v>
      </c>
      <c r="G1831" s="43" t="b">
        <v>0</v>
      </c>
      <c r="H1831" s="44">
        <v>1240</v>
      </c>
    </row>
    <row r="1832" spans="1:8" x14ac:dyDescent="0.3">
      <c r="A1832" s="42" t="s">
        <v>1541</v>
      </c>
      <c r="B1832" s="3" t="s">
        <v>1542</v>
      </c>
      <c r="C1832" s="4">
        <f t="shared" ca="1" si="77"/>
        <v>45849</v>
      </c>
      <c r="D1832" s="4">
        <f ca="1">TODAY()-160</f>
        <v>45877</v>
      </c>
      <c r="E1832" s="3" t="s">
        <v>1032</v>
      </c>
      <c r="F1832" s="43" t="b">
        <v>1</v>
      </c>
      <c r="G1832" s="43" t="b">
        <v>0</v>
      </c>
      <c r="H1832" s="44">
        <v>1480</v>
      </c>
    </row>
    <row r="1833" spans="1:8" x14ac:dyDescent="0.3">
      <c r="A1833" s="42" t="s">
        <v>1161</v>
      </c>
      <c r="B1833" s="3" t="s">
        <v>1162</v>
      </c>
      <c r="C1833" s="4">
        <f t="shared" ca="1" si="77"/>
        <v>45849</v>
      </c>
      <c r="D1833" s="4">
        <f t="shared" ref="D1833:D1834" ca="1" si="78">TODAY()-174</f>
        <v>45863</v>
      </c>
      <c r="E1833" s="3" t="s">
        <v>1029</v>
      </c>
      <c r="F1833" s="43" t="b">
        <v>1</v>
      </c>
      <c r="G1833" s="43" t="b">
        <v>1</v>
      </c>
      <c r="H1833" s="44">
        <v>4090</v>
      </c>
    </row>
    <row r="1834" spans="1:8" x14ac:dyDescent="0.3">
      <c r="A1834" s="42" t="s">
        <v>1694</v>
      </c>
      <c r="B1834" s="3" t="s">
        <v>1608</v>
      </c>
      <c r="C1834" s="4">
        <f t="shared" ca="1" si="77"/>
        <v>45849</v>
      </c>
      <c r="D1834" s="4">
        <f t="shared" ca="1" si="78"/>
        <v>45863</v>
      </c>
      <c r="E1834" s="3" t="s">
        <v>1032</v>
      </c>
      <c r="F1834" s="43" t="b">
        <v>1</v>
      </c>
      <c r="G1834" s="43" t="b">
        <v>0</v>
      </c>
      <c r="H1834" s="44">
        <v>1470</v>
      </c>
    </row>
    <row r="1835" spans="1:8" x14ac:dyDescent="0.3">
      <c r="A1835" s="42" t="s">
        <v>1576</v>
      </c>
      <c r="B1835" s="3" t="s">
        <v>1275</v>
      </c>
      <c r="C1835" s="4">
        <f t="shared" ca="1" si="77"/>
        <v>45849</v>
      </c>
      <c r="D1835" s="4">
        <f ca="1">TODAY()-177</f>
        <v>45860</v>
      </c>
      <c r="E1835" s="3" t="s">
        <v>1032</v>
      </c>
      <c r="F1835" s="43" t="b">
        <v>1</v>
      </c>
      <c r="G1835" s="43" t="b">
        <v>0</v>
      </c>
      <c r="H1835" s="44">
        <v>1140</v>
      </c>
    </row>
    <row r="1836" spans="1:8" x14ac:dyDescent="0.3">
      <c r="A1836" s="42" t="s">
        <v>1219</v>
      </c>
      <c r="B1836" s="3" t="s">
        <v>1414</v>
      </c>
      <c r="C1836" s="4">
        <f t="shared" ca="1" si="77"/>
        <v>45849</v>
      </c>
      <c r="D1836" s="4">
        <f ca="1">TODAY()-163</f>
        <v>45874</v>
      </c>
      <c r="E1836" s="3" t="s">
        <v>1029</v>
      </c>
      <c r="F1836" s="43" t="b">
        <v>1</v>
      </c>
      <c r="G1836" s="43" t="b">
        <v>1</v>
      </c>
      <c r="H1836" s="44">
        <v>720</v>
      </c>
    </row>
    <row r="1837" spans="1:8" x14ac:dyDescent="0.3">
      <c r="A1837" s="42" t="s">
        <v>1091</v>
      </c>
      <c r="B1837" s="3" t="s">
        <v>1092</v>
      </c>
      <c r="C1837" s="4">
        <f t="shared" ca="1" si="77"/>
        <v>45849</v>
      </c>
      <c r="D1837" s="4">
        <f ca="1">TODAY()-162</f>
        <v>45875</v>
      </c>
      <c r="E1837" s="3" t="s">
        <v>1032</v>
      </c>
      <c r="F1837" s="43" t="b">
        <v>1</v>
      </c>
      <c r="G1837" s="43" t="b">
        <v>0</v>
      </c>
      <c r="H1837" s="44">
        <v>580</v>
      </c>
    </row>
    <row r="1838" spans="1:8" x14ac:dyDescent="0.3">
      <c r="A1838" s="42" t="s">
        <v>1318</v>
      </c>
      <c r="B1838" s="3" t="s">
        <v>1956</v>
      </c>
      <c r="C1838" s="4">
        <f t="shared" ca="1" si="77"/>
        <v>45849</v>
      </c>
      <c r="D1838" s="4">
        <f ca="1">TODAY()-176</f>
        <v>45861</v>
      </c>
      <c r="E1838" s="3" t="s">
        <v>1032</v>
      </c>
      <c r="F1838" s="43" t="b">
        <v>1</v>
      </c>
      <c r="G1838" s="43" t="b">
        <v>0</v>
      </c>
      <c r="H1838" s="44">
        <v>1090</v>
      </c>
    </row>
    <row r="1839" spans="1:8" x14ac:dyDescent="0.3">
      <c r="A1839" s="42" t="s">
        <v>1338</v>
      </c>
      <c r="B1839" s="3" t="s">
        <v>1339</v>
      </c>
      <c r="C1839" s="4">
        <f t="shared" ca="1" si="77"/>
        <v>45849</v>
      </c>
      <c r="D1839" s="4">
        <f ca="1">TODAY()-164</f>
        <v>45873</v>
      </c>
      <c r="E1839" s="3" t="s">
        <v>1032</v>
      </c>
      <c r="F1839" s="43" t="b">
        <v>1</v>
      </c>
      <c r="G1839" s="43" t="b">
        <v>0</v>
      </c>
      <c r="H1839" s="44">
        <v>1800</v>
      </c>
    </row>
    <row r="1840" spans="1:8" x14ac:dyDescent="0.3">
      <c r="A1840" s="42" t="s">
        <v>1680</v>
      </c>
      <c r="B1840" s="3" t="s">
        <v>1681</v>
      </c>
      <c r="C1840" s="4">
        <f t="shared" ca="1" si="77"/>
        <v>45849</v>
      </c>
      <c r="D1840" s="4">
        <f ca="1">TODAY()-173</f>
        <v>45864</v>
      </c>
      <c r="E1840" s="3" t="s">
        <v>1029</v>
      </c>
      <c r="F1840" s="43" t="b">
        <v>1</v>
      </c>
      <c r="G1840" s="43" t="b">
        <v>1</v>
      </c>
      <c r="H1840" s="44">
        <v>2420</v>
      </c>
    </row>
    <row r="1841" spans="1:8" x14ac:dyDescent="0.3">
      <c r="A1841" s="42" t="s">
        <v>1896</v>
      </c>
      <c r="B1841" s="3" t="s">
        <v>1897</v>
      </c>
      <c r="C1841" s="4">
        <f t="shared" ca="1" si="77"/>
        <v>45849</v>
      </c>
      <c r="D1841" s="42"/>
      <c r="E1841" s="3" t="s">
        <v>1108</v>
      </c>
      <c r="F1841" s="43" t="b">
        <v>0</v>
      </c>
      <c r="G1841" s="43" t="b">
        <v>0</v>
      </c>
      <c r="H1841" s="44">
        <v>1040</v>
      </c>
    </row>
    <row r="1842" spans="1:8" x14ac:dyDescent="0.3">
      <c r="A1842" s="42" t="s">
        <v>1272</v>
      </c>
      <c r="B1842" s="3" t="s">
        <v>1273</v>
      </c>
      <c r="C1842" s="4">
        <f t="shared" ca="1" si="77"/>
        <v>45849</v>
      </c>
      <c r="D1842" s="4">
        <f ca="1">TODAY()-169</f>
        <v>45868</v>
      </c>
      <c r="E1842" s="3" t="s">
        <v>1029</v>
      </c>
      <c r="F1842" s="43" t="b">
        <v>1</v>
      </c>
      <c r="G1842" s="43" t="b">
        <v>1</v>
      </c>
      <c r="H1842" s="44">
        <v>880</v>
      </c>
    </row>
    <row r="1843" spans="1:8" x14ac:dyDescent="0.3">
      <c r="A1843" s="42" t="s">
        <v>1444</v>
      </c>
      <c r="B1843" s="3" t="s">
        <v>1445</v>
      </c>
      <c r="C1843" s="4">
        <f t="shared" ca="1" si="77"/>
        <v>45849</v>
      </c>
      <c r="D1843" s="42"/>
      <c r="E1843" s="3" t="s">
        <v>1077</v>
      </c>
      <c r="F1843" s="43" t="b">
        <v>0</v>
      </c>
      <c r="G1843" s="43" t="b">
        <v>0</v>
      </c>
      <c r="H1843" s="44">
        <v>550</v>
      </c>
    </row>
    <row r="1844" spans="1:8" x14ac:dyDescent="0.3">
      <c r="A1844" s="42" t="s">
        <v>1759</v>
      </c>
      <c r="B1844" s="3" t="s">
        <v>1201</v>
      </c>
      <c r="C1844" s="4">
        <f t="shared" ca="1" si="77"/>
        <v>45849</v>
      </c>
      <c r="D1844" s="4">
        <f ca="1">TODAY()-160</f>
        <v>45877</v>
      </c>
      <c r="E1844" s="3" t="s">
        <v>1029</v>
      </c>
      <c r="F1844" s="43" t="b">
        <v>1</v>
      </c>
      <c r="G1844" s="43" t="b">
        <v>1</v>
      </c>
      <c r="H1844" s="44">
        <v>830</v>
      </c>
    </row>
    <row r="1845" spans="1:8" x14ac:dyDescent="0.3">
      <c r="A1845" s="42" t="s">
        <v>1177</v>
      </c>
      <c r="B1845" s="3" t="s">
        <v>1178</v>
      </c>
      <c r="C1845" s="4">
        <f t="shared" ca="1" si="77"/>
        <v>45849</v>
      </c>
      <c r="D1845" s="4">
        <f ca="1">TODAY()-175</f>
        <v>45862</v>
      </c>
      <c r="E1845" s="3" t="s">
        <v>1029</v>
      </c>
      <c r="F1845" s="43" t="b">
        <v>1</v>
      </c>
      <c r="G1845" s="43" t="b">
        <v>1</v>
      </c>
      <c r="H1845" s="44">
        <v>1020</v>
      </c>
    </row>
    <row r="1846" spans="1:8" x14ac:dyDescent="0.3">
      <c r="A1846" s="42" t="s">
        <v>1599</v>
      </c>
      <c r="B1846" s="3" t="s">
        <v>1600</v>
      </c>
      <c r="C1846" s="4">
        <f t="shared" ca="1" si="77"/>
        <v>45849</v>
      </c>
      <c r="D1846" s="42"/>
      <c r="E1846" s="3" t="s">
        <v>1037</v>
      </c>
      <c r="F1846" s="43" t="b">
        <v>0</v>
      </c>
      <c r="G1846" s="43" t="b">
        <v>0</v>
      </c>
      <c r="H1846" s="44">
        <v>170</v>
      </c>
    </row>
    <row r="1847" spans="1:8" x14ac:dyDescent="0.3">
      <c r="A1847" s="42" t="s">
        <v>1737</v>
      </c>
      <c r="B1847" s="3" t="s">
        <v>1738</v>
      </c>
      <c r="C1847" s="4">
        <f t="shared" ca="1" si="77"/>
        <v>45849</v>
      </c>
      <c r="D1847" s="4">
        <f ca="1">TODAY()-161</f>
        <v>45876</v>
      </c>
      <c r="E1847" s="3" t="s">
        <v>1029</v>
      </c>
      <c r="F1847" s="43" t="b">
        <v>1</v>
      </c>
      <c r="G1847" s="43" t="b">
        <v>1</v>
      </c>
      <c r="H1847" s="44">
        <v>2210</v>
      </c>
    </row>
    <row r="1848" spans="1:8" x14ac:dyDescent="0.3">
      <c r="A1848" s="42" t="s">
        <v>1340</v>
      </c>
      <c r="B1848" s="3" t="s">
        <v>1341</v>
      </c>
      <c r="C1848" s="4">
        <f t="shared" ca="1" si="77"/>
        <v>45849</v>
      </c>
      <c r="D1848" s="4">
        <f ca="1">TODAY()-176</f>
        <v>45861</v>
      </c>
      <c r="E1848" s="3" t="s">
        <v>1032</v>
      </c>
      <c r="F1848" s="43" t="b">
        <v>1</v>
      </c>
      <c r="G1848" s="43" t="b">
        <v>0</v>
      </c>
      <c r="H1848" s="44">
        <v>1250</v>
      </c>
    </row>
    <row r="1849" spans="1:8" x14ac:dyDescent="0.3">
      <c r="A1849" s="42" t="s">
        <v>1468</v>
      </c>
      <c r="B1849" s="3" t="s">
        <v>1693</v>
      </c>
      <c r="C1849" s="4">
        <f t="shared" ca="1" si="77"/>
        <v>45849</v>
      </c>
      <c r="D1849" s="42"/>
      <c r="E1849" s="3" t="s">
        <v>1103</v>
      </c>
      <c r="F1849" s="43" t="b">
        <v>0</v>
      </c>
      <c r="G1849" s="43" t="b">
        <v>0</v>
      </c>
      <c r="H1849" s="44">
        <v>410</v>
      </c>
    </row>
    <row r="1850" spans="1:8" x14ac:dyDescent="0.3">
      <c r="A1850" s="42" t="s">
        <v>1478</v>
      </c>
      <c r="B1850" s="3" t="s">
        <v>1479</v>
      </c>
      <c r="C1850" s="4">
        <f t="shared" ca="1" si="77"/>
        <v>45849</v>
      </c>
      <c r="D1850" s="4">
        <f ca="1">TODAY()-164</f>
        <v>45873</v>
      </c>
      <c r="E1850" s="3" t="s">
        <v>1032</v>
      </c>
      <c r="F1850" s="43" t="b">
        <v>1</v>
      </c>
      <c r="G1850" s="43" t="b">
        <v>0</v>
      </c>
      <c r="H1850" s="44">
        <v>2010</v>
      </c>
    </row>
    <row r="1851" spans="1:8" x14ac:dyDescent="0.3">
      <c r="A1851" s="42" t="s">
        <v>1704</v>
      </c>
      <c r="B1851" s="3" t="s">
        <v>1984</v>
      </c>
      <c r="C1851" s="4">
        <f t="shared" ca="1" si="77"/>
        <v>45849</v>
      </c>
      <c r="D1851" s="4">
        <f ca="1">TODAY()-165</f>
        <v>45872</v>
      </c>
      <c r="E1851" s="3" t="s">
        <v>1029</v>
      </c>
      <c r="F1851" s="43" t="b">
        <v>1</v>
      </c>
      <c r="G1851" s="43" t="b">
        <v>1</v>
      </c>
      <c r="H1851" s="44">
        <v>2260</v>
      </c>
    </row>
    <row r="1852" spans="1:8" x14ac:dyDescent="0.3">
      <c r="A1852" s="42" t="s">
        <v>1947</v>
      </c>
      <c r="B1852" s="3" t="s">
        <v>1991</v>
      </c>
      <c r="C1852" s="4">
        <f t="shared" ca="1" si="77"/>
        <v>45849</v>
      </c>
      <c r="D1852" s="42"/>
      <c r="E1852" s="3" t="s">
        <v>1037</v>
      </c>
      <c r="F1852" s="43" t="b">
        <v>0</v>
      </c>
      <c r="G1852" s="43" t="b">
        <v>0</v>
      </c>
      <c r="H1852" s="44">
        <v>270</v>
      </c>
    </row>
    <row r="1853" spans="1:8" x14ac:dyDescent="0.3">
      <c r="A1853" s="42" t="s">
        <v>1085</v>
      </c>
      <c r="B1853" s="3" t="s">
        <v>1992</v>
      </c>
      <c r="C1853" s="4">
        <f t="shared" ca="1" si="77"/>
        <v>45849</v>
      </c>
      <c r="D1853" s="4">
        <f ca="1">TODAY()-175</f>
        <v>45862</v>
      </c>
      <c r="E1853" s="3" t="s">
        <v>1029</v>
      </c>
      <c r="F1853" s="43" t="b">
        <v>1</v>
      </c>
      <c r="G1853" s="43" t="b">
        <v>1</v>
      </c>
      <c r="H1853" s="44">
        <v>2030</v>
      </c>
    </row>
    <row r="1854" spans="1:8" x14ac:dyDescent="0.3">
      <c r="A1854" s="42" t="s">
        <v>1694</v>
      </c>
      <c r="B1854" s="3" t="s">
        <v>1923</v>
      </c>
      <c r="C1854" s="4">
        <f t="shared" ca="1" si="77"/>
        <v>45849</v>
      </c>
      <c r="D1854" s="4">
        <f ca="1">TODAY()-167</f>
        <v>45870</v>
      </c>
      <c r="E1854" s="3" t="s">
        <v>1029</v>
      </c>
      <c r="F1854" s="43" t="b">
        <v>1</v>
      </c>
      <c r="G1854" s="43" t="b">
        <v>1</v>
      </c>
      <c r="H1854" s="44">
        <v>720</v>
      </c>
    </row>
    <row r="1855" spans="1:8" x14ac:dyDescent="0.3">
      <c r="A1855" s="42" t="s">
        <v>1131</v>
      </c>
      <c r="B1855" s="3" t="s">
        <v>1132</v>
      </c>
      <c r="C1855" s="4">
        <f t="shared" ca="1" si="77"/>
        <v>45849</v>
      </c>
      <c r="D1855" s="4">
        <f ca="1">TODAY()-176</f>
        <v>45861</v>
      </c>
      <c r="E1855" s="3" t="s">
        <v>1029</v>
      </c>
      <c r="F1855" s="43" t="b">
        <v>1</v>
      </c>
      <c r="G1855" s="43" t="b">
        <v>1</v>
      </c>
      <c r="H1855" s="44">
        <v>2250</v>
      </c>
    </row>
    <row r="1856" spans="1:8" x14ac:dyDescent="0.3">
      <c r="A1856" s="42" t="s">
        <v>1171</v>
      </c>
      <c r="B1856" s="3" t="s">
        <v>1587</v>
      </c>
      <c r="C1856" s="4">
        <f t="shared" ca="1" si="77"/>
        <v>45849</v>
      </c>
      <c r="D1856" s="42"/>
      <c r="E1856" s="3" t="s">
        <v>1070</v>
      </c>
      <c r="F1856" s="43" t="b">
        <v>0</v>
      </c>
      <c r="G1856" s="43" t="b">
        <v>0</v>
      </c>
      <c r="H1856" s="44">
        <v>400</v>
      </c>
    </row>
    <row r="1857" spans="1:8" x14ac:dyDescent="0.3">
      <c r="A1857" s="42" t="s">
        <v>1292</v>
      </c>
      <c r="B1857" s="3" t="s">
        <v>1293</v>
      </c>
      <c r="C1857" s="4">
        <f t="shared" ca="1" si="77"/>
        <v>45849</v>
      </c>
      <c r="D1857" s="4">
        <f ca="1">TODAY()-160</f>
        <v>45877</v>
      </c>
      <c r="E1857" s="3" t="s">
        <v>1029</v>
      </c>
      <c r="F1857" s="43" t="b">
        <v>1</v>
      </c>
      <c r="G1857" s="43" t="b">
        <v>1</v>
      </c>
      <c r="H1857" s="44">
        <v>930</v>
      </c>
    </row>
    <row r="1858" spans="1:8" x14ac:dyDescent="0.3">
      <c r="A1858" s="42" t="s">
        <v>1759</v>
      </c>
      <c r="B1858" s="3" t="s">
        <v>1760</v>
      </c>
      <c r="C1858" s="4">
        <f t="shared" ca="1" si="77"/>
        <v>45849</v>
      </c>
      <c r="D1858" s="4">
        <f t="shared" ref="D1858:D1859" ca="1" si="79">TODAY()-173</f>
        <v>45864</v>
      </c>
      <c r="E1858" s="3" t="s">
        <v>1029</v>
      </c>
      <c r="F1858" s="43" t="b">
        <v>1</v>
      </c>
      <c r="G1858" s="43" t="b">
        <v>1</v>
      </c>
      <c r="H1858" s="44">
        <v>2410</v>
      </c>
    </row>
    <row r="1859" spans="1:8" x14ac:dyDescent="0.3">
      <c r="A1859" s="42" t="s">
        <v>1157</v>
      </c>
      <c r="B1859" s="3" t="s">
        <v>1651</v>
      </c>
      <c r="C1859" s="4">
        <f t="shared" ca="1" si="77"/>
        <v>45849</v>
      </c>
      <c r="D1859" s="4">
        <f t="shared" ca="1" si="79"/>
        <v>45864</v>
      </c>
      <c r="E1859" s="3" t="s">
        <v>1032</v>
      </c>
      <c r="F1859" s="43" t="b">
        <v>1</v>
      </c>
      <c r="G1859" s="43" t="b">
        <v>0</v>
      </c>
      <c r="H1859" s="44">
        <v>630</v>
      </c>
    </row>
    <row r="1860" spans="1:8" x14ac:dyDescent="0.3">
      <c r="A1860" s="42" t="s">
        <v>1411</v>
      </c>
      <c r="B1860" s="3" t="s">
        <v>1136</v>
      </c>
      <c r="C1860" s="4">
        <f t="shared" ca="1" si="77"/>
        <v>45849</v>
      </c>
      <c r="D1860" s="4">
        <f ca="1">TODAY()-160</f>
        <v>45877</v>
      </c>
      <c r="E1860" s="3" t="s">
        <v>1029</v>
      </c>
      <c r="F1860" s="43" t="b">
        <v>1</v>
      </c>
      <c r="G1860" s="43" t="b">
        <v>1</v>
      </c>
      <c r="H1860" s="44">
        <v>490</v>
      </c>
    </row>
    <row r="1861" spans="1:8" x14ac:dyDescent="0.3">
      <c r="A1861" s="42" t="s">
        <v>1860</v>
      </c>
      <c r="B1861" s="3" t="s">
        <v>1861</v>
      </c>
      <c r="C1861" s="4">
        <f t="shared" ca="1" si="77"/>
        <v>45849</v>
      </c>
      <c r="D1861" s="4">
        <f ca="1">TODAY()-174</f>
        <v>45863</v>
      </c>
      <c r="E1861" s="3" t="s">
        <v>1032</v>
      </c>
      <c r="F1861" s="43" t="b">
        <v>1</v>
      </c>
      <c r="G1861" s="43" t="b">
        <v>0</v>
      </c>
      <c r="H1861" s="44">
        <v>1000</v>
      </c>
    </row>
    <row r="1862" spans="1:8" x14ac:dyDescent="0.3">
      <c r="A1862" s="42" t="s">
        <v>1564</v>
      </c>
      <c r="B1862" s="3" t="s">
        <v>1565</v>
      </c>
      <c r="C1862" s="4">
        <f t="shared" ca="1" si="77"/>
        <v>45849</v>
      </c>
      <c r="D1862" s="42"/>
      <c r="E1862" s="3" t="s">
        <v>1101</v>
      </c>
      <c r="F1862" s="43" t="b">
        <v>0</v>
      </c>
      <c r="G1862" s="43" t="b">
        <v>0</v>
      </c>
      <c r="H1862" s="44">
        <v>1120</v>
      </c>
    </row>
    <row r="1863" spans="1:8" x14ac:dyDescent="0.3">
      <c r="A1863" s="42" t="s">
        <v>1223</v>
      </c>
      <c r="B1863" s="3" t="s">
        <v>1224</v>
      </c>
      <c r="C1863" s="4">
        <f t="shared" ca="1" si="77"/>
        <v>45849</v>
      </c>
      <c r="D1863" s="4">
        <f ca="1">TODAY()-163</f>
        <v>45874</v>
      </c>
      <c r="E1863" s="3" t="s">
        <v>1029</v>
      </c>
      <c r="F1863" s="43" t="b">
        <v>1</v>
      </c>
      <c r="G1863" s="43" t="b">
        <v>1</v>
      </c>
      <c r="H1863" s="44">
        <v>670</v>
      </c>
    </row>
    <row r="1864" spans="1:8" x14ac:dyDescent="0.3">
      <c r="A1864" s="42" t="s">
        <v>1558</v>
      </c>
      <c r="B1864" s="3" t="s">
        <v>1924</v>
      </c>
      <c r="C1864" s="4">
        <f t="shared" ca="1" si="77"/>
        <v>45849</v>
      </c>
      <c r="D1864" s="4">
        <f ca="1">TODAY()-162</f>
        <v>45875</v>
      </c>
      <c r="E1864" s="3" t="s">
        <v>1029</v>
      </c>
      <c r="F1864" s="43" t="b">
        <v>1</v>
      </c>
      <c r="G1864" s="43" t="b">
        <v>1</v>
      </c>
      <c r="H1864" s="44">
        <v>350</v>
      </c>
    </row>
    <row r="1865" spans="1:8" x14ac:dyDescent="0.3">
      <c r="A1865" s="42" t="s">
        <v>1702</v>
      </c>
      <c r="B1865" s="3" t="s">
        <v>1201</v>
      </c>
      <c r="C1865" s="4">
        <f t="shared" ca="1" si="77"/>
        <v>45849</v>
      </c>
      <c r="D1865" s="4">
        <f ca="1">TODAY()-169</f>
        <v>45868</v>
      </c>
      <c r="E1865" s="3" t="s">
        <v>1029</v>
      </c>
      <c r="F1865" s="43" t="b">
        <v>1</v>
      </c>
      <c r="G1865" s="43" t="b">
        <v>1</v>
      </c>
      <c r="H1865" s="44">
        <v>2790</v>
      </c>
    </row>
    <row r="1866" spans="1:8" x14ac:dyDescent="0.3">
      <c r="A1866" s="42" t="s">
        <v>1505</v>
      </c>
      <c r="B1866" s="3" t="s">
        <v>1506</v>
      </c>
      <c r="C1866" s="4">
        <f t="shared" ca="1" si="77"/>
        <v>45849</v>
      </c>
      <c r="D1866" s="4">
        <f ca="1">TODAY()-161</f>
        <v>45876</v>
      </c>
      <c r="E1866" s="3" t="s">
        <v>1032</v>
      </c>
      <c r="F1866" s="43" t="b">
        <v>1</v>
      </c>
      <c r="G1866" s="43" t="b">
        <v>0</v>
      </c>
      <c r="H1866" s="44">
        <v>2180</v>
      </c>
    </row>
    <row r="1867" spans="1:8" x14ac:dyDescent="0.3">
      <c r="A1867" s="42" t="s">
        <v>1544</v>
      </c>
      <c r="B1867" s="3" t="s">
        <v>1545</v>
      </c>
      <c r="C1867" s="4">
        <f t="shared" ca="1" si="77"/>
        <v>45849</v>
      </c>
      <c r="D1867" s="4">
        <f ca="1">TODAY()-166</f>
        <v>45871</v>
      </c>
      <c r="E1867" s="3" t="s">
        <v>1029</v>
      </c>
      <c r="F1867" s="43" t="b">
        <v>1</v>
      </c>
      <c r="G1867" s="43" t="b">
        <v>1</v>
      </c>
      <c r="H1867" s="44">
        <v>250</v>
      </c>
    </row>
    <row r="1868" spans="1:8" x14ac:dyDescent="0.3">
      <c r="A1868" s="42" t="s">
        <v>1624</v>
      </c>
      <c r="B1868" s="3" t="s">
        <v>1849</v>
      </c>
      <c r="C1868" s="4">
        <f t="shared" ca="1" si="77"/>
        <v>45849</v>
      </c>
      <c r="D1868" s="4">
        <f ca="1">TODAY()-170</f>
        <v>45867</v>
      </c>
      <c r="E1868" s="3" t="s">
        <v>1032</v>
      </c>
      <c r="F1868" s="43" t="b">
        <v>1</v>
      </c>
      <c r="G1868" s="43" t="b">
        <v>0</v>
      </c>
      <c r="H1868" s="44">
        <v>1250</v>
      </c>
    </row>
    <row r="1869" spans="1:8" x14ac:dyDescent="0.3">
      <c r="A1869" s="42" t="s">
        <v>1674</v>
      </c>
      <c r="B1869" s="3" t="s">
        <v>1114</v>
      </c>
      <c r="C1869" s="4">
        <f t="shared" ca="1" si="77"/>
        <v>45849</v>
      </c>
      <c r="D1869" s="4">
        <f ca="1">TODAY()-176</f>
        <v>45861</v>
      </c>
      <c r="E1869" s="3" t="s">
        <v>1029</v>
      </c>
      <c r="F1869" s="43" t="b">
        <v>1</v>
      </c>
      <c r="G1869" s="43" t="b">
        <v>1</v>
      </c>
      <c r="H1869" s="44">
        <v>6390</v>
      </c>
    </row>
    <row r="1870" spans="1:8" x14ac:dyDescent="0.3">
      <c r="A1870" s="42" t="s">
        <v>1171</v>
      </c>
      <c r="B1870" s="3" t="s">
        <v>1172</v>
      </c>
      <c r="C1870" s="4">
        <f t="shared" ca="1" si="77"/>
        <v>45849</v>
      </c>
      <c r="D1870" s="42"/>
      <c r="E1870" s="3" t="s">
        <v>1077</v>
      </c>
      <c r="F1870" s="43" t="b">
        <v>0</v>
      </c>
      <c r="G1870" s="43" t="b">
        <v>0</v>
      </c>
      <c r="H1870" s="44">
        <v>550</v>
      </c>
    </row>
    <row r="1871" spans="1:8" x14ac:dyDescent="0.3">
      <c r="A1871" s="42" t="s">
        <v>1268</v>
      </c>
      <c r="B1871" s="3" t="s">
        <v>1269</v>
      </c>
      <c r="C1871" s="4">
        <f t="shared" ca="1" si="77"/>
        <v>45849</v>
      </c>
      <c r="D1871" s="4">
        <f ca="1">TODAY()-177</f>
        <v>45860</v>
      </c>
      <c r="E1871" s="3" t="s">
        <v>1029</v>
      </c>
      <c r="F1871" s="43" t="b">
        <v>1</v>
      </c>
      <c r="G1871" s="43" t="b">
        <v>1</v>
      </c>
      <c r="H1871" s="44">
        <v>830</v>
      </c>
    </row>
    <row r="1872" spans="1:8" x14ac:dyDescent="0.3">
      <c r="A1872" s="42" t="s">
        <v>1964</v>
      </c>
      <c r="B1872" s="3" t="s">
        <v>1965</v>
      </c>
      <c r="C1872" s="4">
        <f t="shared" ca="1" si="77"/>
        <v>45849</v>
      </c>
      <c r="D1872" s="4">
        <f ca="1">TODAY()-171</f>
        <v>45866</v>
      </c>
      <c r="E1872" s="3" t="s">
        <v>1032</v>
      </c>
      <c r="F1872" s="43" t="b">
        <v>1</v>
      </c>
      <c r="G1872" s="43" t="b">
        <v>0</v>
      </c>
      <c r="H1872" s="44">
        <v>1470</v>
      </c>
    </row>
    <row r="1873" spans="1:8" x14ac:dyDescent="0.3">
      <c r="A1873" s="42" t="s">
        <v>1566</v>
      </c>
      <c r="B1873" s="3" t="s">
        <v>1751</v>
      </c>
      <c r="C1873" s="4">
        <f t="shared" ca="1" si="77"/>
        <v>45849</v>
      </c>
      <c r="D1873" s="4">
        <f ca="1">TODAY()-161</f>
        <v>45876</v>
      </c>
      <c r="E1873" s="3" t="s">
        <v>1032</v>
      </c>
      <c r="F1873" s="43" t="b">
        <v>1</v>
      </c>
      <c r="G1873" s="43" t="b">
        <v>0</v>
      </c>
      <c r="H1873" s="44">
        <v>290</v>
      </c>
    </row>
    <row r="1874" spans="1:8" x14ac:dyDescent="0.3">
      <c r="A1874" s="42" t="s">
        <v>1194</v>
      </c>
      <c r="B1874" s="3" t="s">
        <v>1195</v>
      </c>
      <c r="C1874" s="4">
        <f t="shared" ca="1" si="77"/>
        <v>45849</v>
      </c>
      <c r="D1874" s="4">
        <f ca="1">TODAY()-173</f>
        <v>45864</v>
      </c>
      <c r="E1874" s="3" t="s">
        <v>1032</v>
      </c>
      <c r="F1874" s="43" t="b">
        <v>1</v>
      </c>
      <c r="G1874" s="43" t="b">
        <v>0</v>
      </c>
      <c r="H1874" s="44">
        <v>1600</v>
      </c>
    </row>
    <row r="1875" spans="1:8" x14ac:dyDescent="0.3">
      <c r="A1875" s="42" t="s">
        <v>1544</v>
      </c>
      <c r="B1875" s="3" t="s">
        <v>1545</v>
      </c>
      <c r="C1875" s="4">
        <f t="shared" ca="1" si="77"/>
        <v>45849</v>
      </c>
      <c r="D1875" s="4">
        <f ca="1">TODAY()-174</f>
        <v>45863</v>
      </c>
      <c r="E1875" s="3" t="s">
        <v>1029</v>
      </c>
      <c r="F1875" s="43" t="b">
        <v>1</v>
      </c>
      <c r="G1875" s="43" t="b">
        <v>1</v>
      </c>
      <c r="H1875" s="44">
        <v>250</v>
      </c>
    </row>
    <row r="1876" spans="1:8" x14ac:dyDescent="0.3">
      <c r="A1876" s="42" t="s">
        <v>1635</v>
      </c>
      <c r="B1876" s="3" t="s">
        <v>1883</v>
      </c>
      <c r="C1876" s="4">
        <f t="shared" ca="1" si="77"/>
        <v>45849</v>
      </c>
      <c r="D1876" s="4">
        <f ca="1">TODAY()-167</f>
        <v>45870</v>
      </c>
      <c r="E1876" s="3" t="s">
        <v>1032</v>
      </c>
      <c r="F1876" s="43" t="b">
        <v>1</v>
      </c>
      <c r="G1876" s="43" t="b">
        <v>0</v>
      </c>
      <c r="H1876" s="44">
        <v>1370</v>
      </c>
    </row>
    <row r="1877" spans="1:8" x14ac:dyDescent="0.3">
      <c r="A1877" s="42" t="s">
        <v>1147</v>
      </c>
      <c r="B1877" s="3" t="s">
        <v>1148</v>
      </c>
      <c r="C1877" s="4">
        <f t="shared" ca="1" si="77"/>
        <v>45849</v>
      </c>
      <c r="D1877" s="4">
        <f ca="1">TODAY()-175</f>
        <v>45862</v>
      </c>
      <c r="E1877" s="3" t="s">
        <v>1029</v>
      </c>
      <c r="F1877" s="43" t="b">
        <v>1</v>
      </c>
      <c r="G1877" s="43" t="b">
        <v>1</v>
      </c>
      <c r="H1877" s="44">
        <v>800</v>
      </c>
    </row>
    <row r="1878" spans="1:8" x14ac:dyDescent="0.3">
      <c r="A1878" s="42" t="s">
        <v>1985</v>
      </c>
      <c r="B1878" s="3" t="s">
        <v>1986</v>
      </c>
      <c r="C1878" s="4">
        <f t="shared" ca="1" si="77"/>
        <v>45849</v>
      </c>
      <c r="D1878" s="4">
        <f ca="1">TODAY()-160</f>
        <v>45877</v>
      </c>
      <c r="E1878" s="3" t="s">
        <v>1029</v>
      </c>
      <c r="F1878" s="43" t="b">
        <v>1</v>
      </c>
      <c r="G1878" s="43" t="b">
        <v>1</v>
      </c>
      <c r="H1878" s="44">
        <v>890</v>
      </c>
    </row>
    <row r="1879" spans="1:8" x14ac:dyDescent="0.3">
      <c r="A1879" s="42" t="s">
        <v>1950</v>
      </c>
      <c r="B1879" s="3" t="s">
        <v>1951</v>
      </c>
      <c r="C1879" s="4">
        <f t="shared" ca="1" si="77"/>
        <v>45849</v>
      </c>
      <c r="D1879" s="4">
        <f ca="1">TODAY()-170</f>
        <v>45867</v>
      </c>
      <c r="E1879" s="3" t="s">
        <v>1029</v>
      </c>
      <c r="F1879" s="43" t="b">
        <v>1</v>
      </c>
      <c r="G1879" s="43" t="b">
        <v>1</v>
      </c>
      <c r="H1879" s="44">
        <v>580</v>
      </c>
    </row>
    <row r="1880" spans="1:8" x14ac:dyDescent="0.3">
      <c r="A1880" s="42" t="s">
        <v>1280</v>
      </c>
      <c r="B1880" s="3" t="s">
        <v>1136</v>
      </c>
      <c r="C1880" s="4">
        <f t="shared" ca="1" si="77"/>
        <v>45849</v>
      </c>
      <c r="D1880" s="4">
        <f ca="1">TODAY()-158</f>
        <v>45879</v>
      </c>
      <c r="E1880" s="3" t="s">
        <v>1032</v>
      </c>
      <c r="F1880" s="43" t="b">
        <v>1</v>
      </c>
      <c r="G1880" s="43" t="b">
        <v>0</v>
      </c>
      <c r="H1880" s="44">
        <v>1460</v>
      </c>
    </row>
    <row r="1881" spans="1:8" x14ac:dyDescent="0.3">
      <c r="A1881" s="42" t="s">
        <v>1993</v>
      </c>
      <c r="B1881" s="3" t="s">
        <v>1994</v>
      </c>
      <c r="C1881" s="4">
        <f t="shared" ca="1" si="77"/>
        <v>45849</v>
      </c>
      <c r="D1881" s="42"/>
      <c r="E1881" s="3" t="s">
        <v>1101</v>
      </c>
      <c r="F1881" s="43" t="b">
        <v>0</v>
      </c>
      <c r="G1881" s="43" t="b">
        <v>0</v>
      </c>
      <c r="H1881" s="44">
        <v>1080</v>
      </c>
    </row>
    <row r="1882" spans="1:8" x14ac:dyDescent="0.3">
      <c r="A1882" s="42" t="s">
        <v>1097</v>
      </c>
      <c r="B1882" s="3" t="s">
        <v>1098</v>
      </c>
      <c r="C1882" s="4">
        <f t="shared" ca="1" si="77"/>
        <v>45849</v>
      </c>
      <c r="D1882" s="4">
        <f ca="1">TODAY()-171</f>
        <v>45866</v>
      </c>
      <c r="E1882" s="3" t="s">
        <v>1029</v>
      </c>
      <c r="F1882" s="43" t="b">
        <v>1</v>
      </c>
      <c r="G1882" s="43" t="b">
        <v>1</v>
      </c>
      <c r="H1882" s="44">
        <v>1110</v>
      </c>
    </row>
    <row r="1883" spans="1:8" x14ac:dyDescent="0.3">
      <c r="A1883" s="42" t="s">
        <v>1391</v>
      </c>
      <c r="B1883" s="3" t="s">
        <v>1392</v>
      </c>
      <c r="C1883" s="4">
        <f t="shared" ca="1" si="77"/>
        <v>45849</v>
      </c>
      <c r="D1883" s="4">
        <f t="shared" ref="D1883:D1884" ca="1" si="80">TODAY()-163</f>
        <v>45874</v>
      </c>
      <c r="E1883" s="3" t="s">
        <v>1029</v>
      </c>
      <c r="F1883" s="43" t="b">
        <v>1</v>
      </c>
      <c r="G1883" s="43" t="b">
        <v>1</v>
      </c>
      <c r="H1883" s="44">
        <v>240</v>
      </c>
    </row>
    <row r="1884" spans="1:8" x14ac:dyDescent="0.3">
      <c r="A1884" s="42" t="s">
        <v>1685</v>
      </c>
      <c r="B1884" s="3" t="s">
        <v>1995</v>
      </c>
      <c r="C1884" s="4">
        <f t="shared" ca="1" si="77"/>
        <v>45849</v>
      </c>
      <c r="D1884" s="4">
        <f t="shared" ca="1" si="80"/>
        <v>45874</v>
      </c>
      <c r="E1884" s="3" t="s">
        <v>1032</v>
      </c>
      <c r="F1884" s="43" t="b">
        <v>1</v>
      </c>
      <c r="G1884" s="43" t="b">
        <v>0</v>
      </c>
      <c r="H1884" s="44">
        <v>650</v>
      </c>
    </row>
    <row r="1885" spans="1:8" x14ac:dyDescent="0.3">
      <c r="A1885" s="42" t="s">
        <v>1484</v>
      </c>
      <c r="B1885" s="3" t="s">
        <v>1485</v>
      </c>
      <c r="C1885" s="4">
        <f t="shared" ca="1" si="77"/>
        <v>45849</v>
      </c>
      <c r="D1885" s="42"/>
      <c r="E1885" s="3" t="s">
        <v>1037</v>
      </c>
      <c r="F1885" s="43" t="b">
        <v>0</v>
      </c>
      <c r="G1885" s="43" t="b">
        <v>0</v>
      </c>
      <c r="H1885" s="44">
        <v>2330</v>
      </c>
    </row>
    <row r="1886" spans="1:8" x14ac:dyDescent="0.3">
      <c r="A1886" s="42" t="s">
        <v>1280</v>
      </c>
      <c r="B1886" s="3" t="s">
        <v>1136</v>
      </c>
      <c r="C1886" s="4">
        <f t="shared" ca="1" si="77"/>
        <v>45849</v>
      </c>
      <c r="D1886" s="4">
        <f t="shared" ref="D1886:D1887" ca="1" si="81">TODAY()-172</f>
        <v>45865</v>
      </c>
      <c r="E1886" s="3" t="s">
        <v>1032</v>
      </c>
      <c r="F1886" s="43" t="b">
        <v>1</v>
      </c>
      <c r="G1886" s="43" t="b">
        <v>0</v>
      </c>
      <c r="H1886" s="44">
        <v>1460</v>
      </c>
    </row>
    <row r="1887" spans="1:8" x14ac:dyDescent="0.3">
      <c r="A1887" s="42" t="s">
        <v>1654</v>
      </c>
      <c r="B1887" s="3" t="s">
        <v>1921</v>
      </c>
      <c r="C1887" s="4">
        <f t="shared" ca="1" si="77"/>
        <v>45849</v>
      </c>
      <c r="D1887" s="4">
        <f t="shared" ca="1" si="81"/>
        <v>45865</v>
      </c>
      <c r="E1887" s="3" t="s">
        <v>1032</v>
      </c>
      <c r="F1887" s="43" t="b">
        <v>1</v>
      </c>
      <c r="G1887" s="43" t="b">
        <v>0</v>
      </c>
      <c r="H1887" s="44">
        <v>1330</v>
      </c>
    </row>
    <row r="1888" spans="1:8" x14ac:dyDescent="0.3">
      <c r="A1888" s="42" t="s">
        <v>1322</v>
      </c>
      <c r="B1888" s="3" t="s">
        <v>1802</v>
      </c>
      <c r="C1888" s="4">
        <f t="shared" ca="1" si="77"/>
        <v>45849</v>
      </c>
      <c r="D1888" s="4">
        <f ca="1">TODAY()-176</f>
        <v>45861</v>
      </c>
      <c r="E1888" s="3" t="s">
        <v>1029</v>
      </c>
      <c r="F1888" s="43" t="b">
        <v>1</v>
      </c>
      <c r="G1888" s="43" t="b">
        <v>1</v>
      </c>
      <c r="H1888" s="44">
        <v>2470</v>
      </c>
    </row>
    <row r="1889" spans="1:8" x14ac:dyDescent="0.3">
      <c r="A1889" s="42" t="s">
        <v>1564</v>
      </c>
      <c r="B1889" s="3" t="s">
        <v>1586</v>
      </c>
      <c r="C1889" s="4">
        <f t="shared" ca="1" si="77"/>
        <v>45849</v>
      </c>
      <c r="D1889" s="4">
        <f ca="1">TODAY()-162</f>
        <v>45875</v>
      </c>
      <c r="E1889" s="3" t="s">
        <v>1029</v>
      </c>
      <c r="F1889" s="43" t="b">
        <v>1</v>
      </c>
      <c r="G1889" s="43" t="b">
        <v>1</v>
      </c>
      <c r="H1889" s="44">
        <v>2010</v>
      </c>
    </row>
    <row r="1890" spans="1:8" x14ac:dyDescent="0.3">
      <c r="A1890" s="42" t="s">
        <v>1791</v>
      </c>
      <c r="B1890" s="3" t="s">
        <v>1792</v>
      </c>
      <c r="C1890" s="4">
        <f t="shared" ca="1" si="77"/>
        <v>45849</v>
      </c>
      <c r="D1890" s="4">
        <f ca="1">TODAY()-173</f>
        <v>45864</v>
      </c>
      <c r="E1890" s="3" t="s">
        <v>1032</v>
      </c>
      <c r="F1890" s="43" t="b">
        <v>1</v>
      </c>
      <c r="G1890" s="43" t="b">
        <v>0</v>
      </c>
      <c r="H1890" s="44">
        <v>1940</v>
      </c>
    </row>
    <row r="1891" spans="1:8" x14ac:dyDescent="0.3">
      <c r="A1891" s="42" t="s">
        <v>1087</v>
      </c>
      <c r="B1891" s="3" t="s">
        <v>1489</v>
      </c>
      <c r="C1891" s="4">
        <f t="shared" ca="1" si="77"/>
        <v>45849</v>
      </c>
      <c r="D1891" s="4">
        <f ca="1">TODAY()-177</f>
        <v>45860</v>
      </c>
      <c r="E1891" s="3" t="s">
        <v>1029</v>
      </c>
      <c r="F1891" s="43" t="b">
        <v>1</v>
      </c>
      <c r="G1891" s="43" t="b">
        <v>1</v>
      </c>
      <c r="H1891" s="44">
        <v>1680</v>
      </c>
    </row>
    <row r="1892" spans="1:8" x14ac:dyDescent="0.3">
      <c r="A1892" s="42" t="s">
        <v>1033</v>
      </c>
      <c r="B1892" s="3" t="s">
        <v>1034</v>
      </c>
      <c r="C1892" s="4">
        <f t="shared" ca="1" si="77"/>
        <v>45849</v>
      </c>
      <c r="D1892" s="4">
        <f ca="1">TODAY()-176</f>
        <v>45861</v>
      </c>
      <c r="E1892" s="3" t="s">
        <v>1029</v>
      </c>
      <c r="F1892" s="43" t="b">
        <v>1</v>
      </c>
      <c r="G1892" s="43" t="b">
        <v>1</v>
      </c>
      <c r="H1892" s="44">
        <v>2110</v>
      </c>
    </row>
    <row r="1893" spans="1:8" x14ac:dyDescent="0.3">
      <c r="A1893" s="42" t="s">
        <v>1598</v>
      </c>
      <c r="B1893" s="3" t="s">
        <v>1275</v>
      </c>
      <c r="C1893" s="4">
        <f t="shared" ca="1" si="77"/>
        <v>45849</v>
      </c>
      <c r="D1893" s="4">
        <f ca="1">TODAY()-175</f>
        <v>45862</v>
      </c>
      <c r="E1893" s="3" t="s">
        <v>1029</v>
      </c>
      <c r="F1893" s="43" t="b">
        <v>1</v>
      </c>
      <c r="G1893" s="43" t="b">
        <v>1</v>
      </c>
      <c r="H1893" s="44">
        <v>1570</v>
      </c>
    </row>
    <row r="1894" spans="1:8" x14ac:dyDescent="0.3">
      <c r="A1894" s="42" t="s">
        <v>1391</v>
      </c>
      <c r="B1894" s="3" t="s">
        <v>1222</v>
      </c>
      <c r="C1894" s="4">
        <f t="shared" ca="1" si="77"/>
        <v>45849</v>
      </c>
      <c r="D1894" s="42"/>
      <c r="E1894" s="3" t="s">
        <v>1037</v>
      </c>
      <c r="F1894" s="43" t="b">
        <v>0</v>
      </c>
      <c r="G1894" s="43" t="b">
        <v>0</v>
      </c>
      <c r="H1894" s="44">
        <v>1280</v>
      </c>
    </row>
    <row r="1895" spans="1:8" x14ac:dyDescent="0.3">
      <c r="A1895" s="42" t="s">
        <v>1145</v>
      </c>
      <c r="B1895" s="3" t="s">
        <v>1931</v>
      </c>
      <c r="C1895" s="4">
        <f t="shared" ca="1" si="77"/>
        <v>45849</v>
      </c>
      <c r="D1895" s="4">
        <f ca="1">TODAY()-178</f>
        <v>45859</v>
      </c>
      <c r="E1895" s="3" t="s">
        <v>1029</v>
      </c>
      <c r="F1895" s="43" t="b">
        <v>1</v>
      </c>
      <c r="G1895" s="43" t="b">
        <v>1</v>
      </c>
      <c r="H1895" s="44">
        <v>920</v>
      </c>
    </row>
    <row r="1896" spans="1:8" x14ac:dyDescent="0.3">
      <c r="A1896" s="42" t="s">
        <v>1669</v>
      </c>
      <c r="B1896" s="3" t="s">
        <v>1670</v>
      </c>
      <c r="C1896" s="4">
        <f t="shared" ca="1" si="77"/>
        <v>45849</v>
      </c>
      <c r="D1896" s="4">
        <f ca="1">TODAY()-177</f>
        <v>45860</v>
      </c>
      <c r="E1896" s="3" t="s">
        <v>1029</v>
      </c>
      <c r="F1896" s="43" t="b">
        <v>1</v>
      </c>
      <c r="G1896" s="43" t="b">
        <v>1</v>
      </c>
      <c r="H1896" s="44">
        <v>2200</v>
      </c>
    </row>
    <row r="1897" spans="1:8" x14ac:dyDescent="0.3">
      <c r="A1897" s="42" t="s">
        <v>1656</v>
      </c>
      <c r="B1897" s="3" t="s">
        <v>1657</v>
      </c>
      <c r="C1897" s="4">
        <f t="shared" ca="1" si="77"/>
        <v>45849</v>
      </c>
      <c r="D1897" s="4">
        <f t="shared" ref="D1897:D1898" ca="1" si="82">TODAY()-174</f>
        <v>45863</v>
      </c>
      <c r="E1897" s="3" t="s">
        <v>1029</v>
      </c>
      <c r="F1897" s="43" t="b">
        <v>1</v>
      </c>
      <c r="G1897" s="43" t="b">
        <v>1</v>
      </c>
      <c r="H1897" s="44">
        <v>120</v>
      </c>
    </row>
    <row r="1898" spans="1:8" x14ac:dyDescent="0.3">
      <c r="A1898" s="42" t="s">
        <v>1292</v>
      </c>
      <c r="B1898" s="3" t="s">
        <v>1936</v>
      </c>
      <c r="C1898" s="4">
        <f t="shared" ca="1" si="77"/>
        <v>45849</v>
      </c>
      <c r="D1898" s="4">
        <f t="shared" ca="1" si="82"/>
        <v>45863</v>
      </c>
      <c r="E1898" s="3" t="s">
        <v>1029</v>
      </c>
      <c r="F1898" s="43" t="b">
        <v>1</v>
      </c>
      <c r="G1898" s="43" t="b">
        <v>1</v>
      </c>
      <c r="H1898" s="44">
        <v>410</v>
      </c>
    </row>
    <row r="1899" spans="1:8" x14ac:dyDescent="0.3">
      <c r="A1899" s="42" t="s">
        <v>1060</v>
      </c>
      <c r="B1899" s="3" t="s">
        <v>1102</v>
      </c>
      <c r="C1899" s="4">
        <f t="shared" ca="1" si="77"/>
        <v>45849</v>
      </c>
      <c r="D1899" s="42"/>
      <c r="E1899" s="3" t="s">
        <v>1103</v>
      </c>
      <c r="F1899" s="43" t="b">
        <v>0</v>
      </c>
      <c r="G1899" s="43" t="b">
        <v>0</v>
      </c>
      <c r="H1899" s="44">
        <v>740</v>
      </c>
    </row>
    <row r="1900" spans="1:8" x14ac:dyDescent="0.3">
      <c r="A1900" s="42" t="s">
        <v>1957</v>
      </c>
      <c r="B1900" s="3" t="s">
        <v>1958</v>
      </c>
      <c r="C1900" s="4">
        <f t="shared" ca="1" si="77"/>
        <v>45849</v>
      </c>
      <c r="D1900" s="42"/>
      <c r="E1900" s="3" t="s">
        <v>1101</v>
      </c>
      <c r="F1900" s="43" t="b">
        <v>0</v>
      </c>
      <c r="G1900" s="43" t="b">
        <v>0</v>
      </c>
      <c r="H1900" s="44">
        <v>1260</v>
      </c>
    </row>
    <row r="1901" spans="1:8" x14ac:dyDescent="0.3">
      <c r="A1901" s="42" t="s">
        <v>1433</v>
      </c>
      <c r="B1901" s="3" t="s">
        <v>1136</v>
      </c>
      <c r="C1901" s="4">
        <f t="shared" ca="1" si="77"/>
        <v>45849</v>
      </c>
      <c r="D1901" s="4">
        <f ca="1">TODAY()-161</f>
        <v>45876</v>
      </c>
      <c r="E1901" s="3" t="s">
        <v>1029</v>
      </c>
      <c r="F1901" s="43" t="b">
        <v>1</v>
      </c>
      <c r="G1901" s="43" t="b">
        <v>1</v>
      </c>
      <c r="H1901" s="44">
        <v>1670</v>
      </c>
    </row>
    <row r="1902" spans="1:8" x14ac:dyDescent="0.3">
      <c r="A1902" s="42" t="s">
        <v>1642</v>
      </c>
      <c r="B1902" s="3" t="s">
        <v>1643</v>
      </c>
      <c r="C1902" s="4">
        <f t="shared" ca="1" si="77"/>
        <v>45849</v>
      </c>
      <c r="D1902" s="4">
        <f ca="1">TODAY()-176</f>
        <v>45861</v>
      </c>
      <c r="E1902" s="3" t="s">
        <v>1032</v>
      </c>
      <c r="F1902" s="43" t="b">
        <v>1</v>
      </c>
      <c r="G1902" s="43" t="b">
        <v>0</v>
      </c>
      <c r="H1902" s="44">
        <v>970</v>
      </c>
    </row>
    <row r="1903" spans="1:8" x14ac:dyDescent="0.3">
      <c r="A1903" s="42" t="s">
        <v>1423</v>
      </c>
      <c r="B1903" s="3" t="s">
        <v>1710</v>
      </c>
      <c r="C1903" s="4">
        <f t="shared" ca="1" si="77"/>
        <v>45849</v>
      </c>
      <c r="D1903" s="4">
        <f ca="1">TODAY()-159</f>
        <v>45878</v>
      </c>
      <c r="E1903" s="3" t="s">
        <v>1029</v>
      </c>
      <c r="F1903" s="43" t="b">
        <v>1</v>
      </c>
      <c r="G1903" s="43" t="b">
        <v>1</v>
      </c>
      <c r="H1903" s="44">
        <v>160</v>
      </c>
    </row>
    <row r="1904" spans="1:8" x14ac:dyDescent="0.3">
      <c r="A1904" s="42" t="s">
        <v>1676</v>
      </c>
      <c r="B1904" s="3" t="s">
        <v>1677</v>
      </c>
      <c r="C1904" s="4">
        <f t="shared" ca="1" si="77"/>
        <v>45849</v>
      </c>
      <c r="D1904" s="42"/>
      <c r="E1904" s="3" t="s">
        <v>1101</v>
      </c>
      <c r="F1904" s="43" t="b">
        <v>0</v>
      </c>
      <c r="G1904" s="43" t="b">
        <v>0</v>
      </c>
      <c r="H1904" s="44">
        <v>410</v>
      </c>
    </row>
    <row r="1905" spans="1:8" x14ac:dyDescent="0.3">
      <c r="A1905" s="42" t="s">
        <v>1242</v>
      </c>
      <c r="B1905" s="3" t="s">
        <v>1136</v>
      </c>
      <c r="C1905" s="4">
        <f t="shared" ca="1" si="77"/>
        <v>45849</v>
      </c>
      <c r="D1905" s="4">
        <f ca="1">TODAY()-159</f>
        <v>45878</v>
      </c>
      <c r="E1905" s="3" t="s">
        <v>1029</v>
      </c>
      <c r="F1905" s="43" t="b">
        <v>1</v>
      </c>
      <c r="G1905" s="43" t="b">
        <v>1</v>
      </c>
      <c r="H1905" s="44">
        <v>1550</v>
      </c>
    </row>
    <row r="1906" spans="1:8" x14ac:dyDescent="0.3">
      <c r="A1906" s="42" t="s">
        <v>1819</v>
      </c>
      <c r="B1906" s="3" t="s">
        <v>1820</v>
      </c>
      <c r="C1906" s="4">
        <f t="shared" ca="1" si="77"/>
        <v>45849</v>
      </c>
      <c r="D1906" s="42"/>
      <c r="E1906" s="3" t="s">
        <v>1108</v>
      </c>
      <c r="F1906" s="43" t="b">
        <v>0</v>
      </c>
      <c r="G1906" s="43" t="b">
        <v>0</v>
      </c>
      <c r="H1906" s="44">
        <v>800</v>
      </c>
    </row>
    <row r="1907" spans="1:8" x14ac:dyDescent="0.3">
      <c r="A1907" s="42" t="s">
        <v>1512</v>
      </c>
      <c r="B1907" s="3" t="s">
        <v>1912</v>
      </c>
      <c r="C1907" s="4">
        <f t="shared" ca="1" si="77"/>
        <v>45849</v>
      </c>
      <c r="D1907" s="4">
        <f ca="1">TODAY()-165</f>
        <v>45872</v>
      </c>
      <c r="E1907" s="3" t="s">
        <v>1032</v>
      </c>
      <c r="F1907" s="43" t="b">
        <v>1</v>
      </c>
      <c r="G1907" s="43" t="b">
        <v>0</v>
      </c>
      <c r="H1907" s="44">
        <v>890</v>
      </c>
    </row>
    <row r="1908" spans="1:8" x14ac:dyDescent="0.3">
      <c r="A1908" s="42" t="s">
        <v>1145</v>
      </c>
      <c r="B1908" s="3" t="s">
        <v>1931</v>
      </c>
      <c r="C1908" s="4">
        <f t="shared" ca="1" si="77"/>
        <v>45849</v>
      </c>
      <c r="D1908" s="4">
        <f ca="1">TODAY()-164</f>
        <v>45873</v>
      </c>
      <c r="E1908" s="3" t="s">
        <v>1029</v>
      </c>
      <c r="F1908" s="43" t="b">
        <v>1</v>
      </c>
      <c r="G1908" s="43" t="b">
        <v>1</v>
      </c>
      <c r="H1908" s="44">
        <v>920</v>
      </c>
    </row>
    <row r="1909" spans="1:8" x14ac:dyDescent="0.3">
      <c r="A1909" s="42" t="s">
        <v>1079</v>
      </c>
      <c r="B1909" s="3" t="s">
        <v>1080</v>
      </c>
      <c r="C1909" s="4">
        <f t="shared" ca="1" si="77"/>
        <v>45849</v>
      </c>
      <c r="D1909" s="4">
        <f ca="1">TODAY()-160</f>
        <v>45877</v>
      </c>
      <c r="E1909" s="3" t="s">
        <v>1029</v>
      </c>
      <c r="F1909" s="43" t="b">
        <v>1</v>
      </c>
      <c r="G1909" s="43" t="b">
        <v>1</v>
      </c>
      <c r="H1909" s="44">
        <v>640</v>
      </c>
    </row>
    <row r="1910" spans="1:8" x14ac:dyDescent="0.3">
      <c r="A1910" s="42" t="s">
        <v>1145</v>
      </c>
      <c r="B1910" s="3" t="s">
        <v>1146</v>
      </c>
      <c r="C1910" s="4">
        <f t="shared" ca="1" si="77"/>
        <v>45849</v>
      </c>
      <c r="D1910" s="42"/>
      <c r="E1910" s="3" t="s">
        <v>1077</v>
      </c>
      <c r="F1910" s="43" t="b">
        <v>0</v>
      </c>
      <c r="G1910" s="43" t="b">
        <v>0</v>
      </c>
      <c r="H1910" s="44">
        <v>950</v>
      </c>
    </row>
    <row r="1911" spans="1:8" x14ac:dyDescent="0.3">
      <c r="A1911" s="42" t="s">
        <v>1646</v>
      </c>
      <c r="B1911" s="3" t="s">
        <v>1691</v>
      </c>
      <c r="C1911" s="4">
        <f t="shared" ca="1" si="77"/>
        <v>45849</v>
      </c>
      <c r="D1911" s="4">
        <f ca="1">TODAY()-165</f>
        <v>45872</v>
      </c>
      <c r="E1911" s="3" t="s">
        <v>1029</v>
      </c>
      <c r="F1911" s="43" t="b">
        <v>1</v>
      </c>
      <c r="G1911" s="43" t="b">
        <v>1</v>
      </c>
      <c r="H1911" s="44">
        <v>2150</v>
      </c>
    </row>
    <row r="1912" spans="1:8" x14ac:dyDescent="0.3">
      <c r="A1912" s="42" t="s">
        <v>1109</v>
      </c>
      <c r="B1912" s="3" t="s">
        <v>1201</v>
      </c>
      <c r="C1912" s="4">
        <f t="shared" ca="1" si="77"/>
        <v>45849</v>
      </c>
      <c r="D1912" s="4">
        <f ca="1">TODAY()-178</f>
        <v>45859</v>
      </c>
      <c r="E1912" s="3" t="s">
        <v>1029</v>
      </c>
      <c r="F1912" s="43" t="b">
        <v>1</v>
      </c>
      <c r="G1912" s="43" t="b">
        <v>1</v>
      </c>
      <c r="H1912" s="44">
        <v>5710</v>
      </c>
    </row>
    <row r="1913" spans="1:8" x14ac:dyDescent="0.3">
      <c r="A1913" s="42" t="s">
        <v>1661</v>
      </c>
      <c r="B1913" s="3" t="s">
        <v>1662</v>
      </c>
      <c r="C1913" s="4">
        <f t="shared" ca="1" si="77"/>
        <v>45849</v>
      </c>
      <c r="D1913" s="4">
        <f ca="1">TODAY()-159</f>
        <v>45878</v>
      </c>
      <c r="E1913" s="3" t="s">
        <v>1029</v>
      </c>
      <c r="F1913" s="43" t="b">
        <v>1</v>
      </c>
      <c r="G1913" s="43" t="b">
        <v>1</v>
      </c>
      <c r="H1913" s="44">
        <v>330</v>
      </c>
    </row>
    <row r="1914" spans="1:8" x14ac:dyDescent="0.3">
      <c r="A1914" s="42" t="s">
        <v>1894</v>
      </c>
      <c r="B1914" s="3" t="s">
        <v>1247</v>
      </c>
      <c r="C1914" s="4">
        <f t="shared" ca="1" si="77"/>
        <v>45849</v>
      </c>
      <c r="D1914" s="4">
        <f ca="1">TODAY()-162</f>
        <v>45875</v>
      </c>
      <c r="E1914" s="3" t="s">
        <v>1032</v>
      </c>
      <c r="F1914" s="43" t="b">
        <v>1</v>
      </c>
      <c r="G1914" s="43" t="b">
        <v>0</v>
      </c>
      <c r="H1914" s="44">
        <v>810</v>
      </c>
    </row>
    <row r="1915" spans="1:8" x14ac:dyDescent="0.3">
      <c r="A1915" s="42" t="s">
        <v>1947</v>
      </c>
      <c r="B1915" s="3" t="s">
        <v>1991</v>
      </c>
      <c r="C1915" s="4">
        <f t="shared" ca="1" si="77"/>
        <v>45849</v>
      </c>
      <c r="D1915" s="42"/>
      <c r="E1915" s="3" t="s">
        <v>1037</v>
      </c>
      <c r="F1915" s="43" t="b">
        <v>0</v>
      </c>
      <c r="G1915" s="43" t="b">
        <v>0</v>
      </c>
      <c r="H1915" s="44">
        <v>270</v>
      </c>
    </row>
    <row r="1916" spans="1:8" x14ac:dyDescent="0.3">
      <c r="A1916" s="42" t="s">
        <v>1925</v>
      </c>
      <c r="B1916" s="3" t="s">
        <v>1926</v>
      </c>
      <c r="C1916" s="4">
        <f t="shared" ca="1" si="77"/>
        <v>45849</v>
      </c>
      <c r="D1916" s="4">
        <f ca="1">TODAY()-176</f>
        <v>45861</v>
      </c>
      <c r="E1916" s="3" t="s">
        <v>1032</v>
      </c>
      <c r="F1916" s="43" t="b">
        <v>1</v>
      </c>
      <c r="G1916" s="43" t="b">
        <v>0</v>
      </c>
      <c r="H1916" s="44">
        <v>2440</v>
      </c>
    </row>
    <row r="1917" spans="1:8" x14ac:dyDescent="0.3">
      <c r="A1917" s="42" t="s">
        <v>1399</v>
      </c>
      <c r="B1917" s="3" t="s">
        <v>1962</v>
      </c>
      <c r="C1917" s="4">
        <f t="shared" ca="1" si="77"/>
        <v>45849</v>
      </c>
      <c r="D1917" s="4">
        <f t="shared" ref="D1917:D1918" ca="1" si="83">TODAY()-161</f>
        <v>45876</v>
      </c>
      <c r="E1917" s="3" t="s">
        <v>1029</v>
      </c>
      <c r="F1917" s="43" t="b">
        <v>1</v>
      </c>
      <c r="G1917" s="43" t="b">
        <v>1</v>
      </c>
      <c r="H1917" s="44">
        <v>1830</v>
      </c>
    </row>
    <row r="1918" spans="1:8" x14ac:dyDescent="0.3">
      <c r="A1918" s="42" t="s">
        <v>1892</v>
      </c>
      <c r="B1918" s="3" t="s">
        <v>1643</v>
      </c>
      <c r="C1918" s="4">
        <f t="shared" ca="1" si="77"/>
        <v>45849</v>
      </c>
      <c r="D1918" s="4">
        <f t="shared" ca="1" si="83"/>
        <v>45876</v>
      </c>
      <c r="E1918" s="3" t="s">
        <v>1029</v>
      </c>
      <c r="F1918" s="43" t="b">
        <v>1</v>
      </c>
      <c r="G1918" s="43" t="b">
        <v>1</v>
      </c>
      <c r="H1918" s="44">
        <v>370</v>
      </c>
    </row>
    <row r="1919" spans="1:8" x14ac:dyDescent="0.3">
      <c r="A1919" s="42" t="s">
        <v>1121</v>
      </c>
      <c r="B1919" s="3" t="s">
        <v>1122</v>
      </c>
      <c r="C1919" s="4">
        <f t="shared" ca="1" si="77"/>
        <v>45849</v>
      </c>
      <c r="D1919" s="4">
        <f ca="1">TODAY()-162</f>
        <v>45875</v>
      </c>
      <c r="E1919" s="3" t="s">
        <v>1029</v>
      </c>
      <c r="F1919" s="43" t="b">
        <v>1</v>
      </c>
      <c r="G1919" s="43" t="b">
        <v>1</v>
      </c>
      <c r="H1919" s="44">
        <v>1420</v>
      </c>
    </row>
    <row r="1920" spans="1:8" x14ac:dyDescent="0.3">
      <c r="A1920" s="42" t="s">
        <v>1270</v>
      </c>
      <c r="B1920" s="3" t="s">
        <v>1942</v>
      </c>
      <c r="C1920" s="4">
        <f t="shared" ca="1" si="77"/>
        <v>45849</v>
      </c>
      <c r="D1920" s="4">
        <f ca="1">TODAY()-168</f>
        <v>45869</v>
      </c>
      <c r="E1920" s="3" t="s">
        <v>1032</v>
      </c>
      <c r="F1920" s="43" t="b">
        <v>1</v>
      </c>
      <c r="G1920" s="43" t="b">
        <v>0</v>
      </c>
      <c r="H1920" s="44">
        <v>1120</v>
      </c>
    </row>
    <row r="1921" spans="1:8" x14ac:dyDescent="0.3">
      <c r="A1921" s="42" t="s">
        <v>1227</v>
      </c>
      <c r="B1921" s="3" t="s">
        <v>1228</v>
      </c>
      <c r="C1921" s="4">
        <f t="shared" ca="1" si="77"/>
        <v>45849</v>
      </c>
      <c r="D1921" s="4">
        <f ca="1">TODAY()-161</f>
        <v>45876</v>
      </c>
      <c r="E1921" s="3" t="s">
        <v>1029</v>
      </c>
      <c r="F1921" s="43" t="b">
        <v>1</v>
      </c>
      <c r="G1921" s="43" t="b">
        <v>1</v>
      </c>
      <c r="H1921" s="44">
        <v>480</v>
      </c>
    </row>
    <row r="1922" spans="1:8" x14ac:dyDescent="0.3">
      <c r="A1922" s="42" t="s">
        <v>1374</v>
      </c>
      <c r="B1922" s="3" t="s">
        <v>1375</v>
      </c>
      <c r="C1922" s="4">
        <f t="shared" ca="1" si="77"/>
        <v>45849</v>
      </c>
      <c r="D1922" s="4">
        <f ca="1">TODAY()-176</f>
        <v>45861</v>
      </c>
      <c r="E1922" s="3" t="s">
        <v>1029</v>
      </c>
      <c r="F1922" s="43" t="b">
        <v>1</v>
      </c>
      <c r="G1922" s="43" t="b">
        <v>1</v>
      </c>
      <c r="H1922" s="44">
        <v>560</v>
      </c>
    </row>
    <row r="1923" spans="1:8" x14ac:dyDescent="0.3">
      <c r="A1923" s="42" t="s">
        <v>1261</v>
      </c>
      <c r="B1923" s="3" t="s">
        <v>1259</v>
      </c>
      <c r="C1923" s="4">
        <f t="shared" ca="1" si="77"/>
        <v>45849</v>
      </c>
      <c r="D1923" s="42"/>
      <c r="E1923" s="3" t="s">
        <v>1101</v>
      </c>
      <c r="F1923" s="43" t="b">
        <v>0</v>
      </c>
      <c r="G1923" s="43" t="b">
        <v>0</v>
      </c>
      <c r="H1923" s="44">
        <v>840</v>
      </c>
    </row>
    <row r="1924" spans="1:8" x14ac:dyDescent="0.3">
      <c r="A1924" s="42" t="s">
        <v>1524</v>
      </c>
      <c r="B1924" s="3" t="s">
        <v>1574</v>
      </c>
      <c r="C1924" s="4">
        <f t="shared" ca="1" si="77"/>
        <v>45849</v>
      </c>
      <c r="D1924" s="4">
        <f ca="1">TODAY()-176</f>
        <v>45861</v>
      </c>
      <c r="E1924" s="3" t="s">
        <v>1029</v>
      </c>
      <c r="F1924" s="43" t="b">
        <v>1</v>
      </c>
      <c r="G1924" s="43" t="b">
        <v>1</v>
      </c>
      <c r="H1924" s="44">
        <v>530</v>
      </c>
    </row>
    <row r="1925" spans="1:8" x14ac:dyDescent="0.3">
      <c r="A1925" s="42" t="s">
        <v>1779</v>
      </c>
      <c r="B1925" s="3" t="s">
        <v>1862</v>
      </c>
      <c r="C1925" s="4">
        <f t="shared" ca="1" si="77"/>
        <v>45849</v>
      </c>
      <c r="D1925" s="4">
        <f ca="1">TODAY()-161</f>
        <v>45876</v>
      </c>
      <c r="E1925" s="3" t="s">
        <v>1032</v>
      </c>
      <c r="F1925" s="43" t="b">
        <v>1</v>
      </c>
      <c r="G1925" s="43" t="b">
        <v>0</v>
      </c>
      <c r="H1925" s="44">
        <v>1950</v>
      </c>
    </row>
    <row r="1926" spans="1:8" x14ac:dyDescent="0.3">
      <c r="A1926" s="42" t="s">
        <v>1330</v>
      </c>
      <c r="B1926" s="3" t="s">
        <v>1331</v>
      </c>
      <c r="C1926" s="4">
        <f t="shared" ca="1" si="77"/>
        <v>45849</v>
      </c>
      <c r="D1926" s="42"/>
      <c r="E1926" s="3" t="s">
        <v>1101</v>
      </c>
      <c r="F1926" s="43" t="b">
        <v>0</v>
      </c>
      <c r="G1926" s="43" t="b">
        <v>0</v>
      </c>
      <c r="H1926" s="44">
        <v>1430</v>
      </c>
    </row>
    <row r="1927" spans="1:8" x14ac:dyDescent="0.3">
      <c r="A1927" s="42" t="s">
        <v>1106</v>
      </c>
      <c r="B1927" s="3" t="s">
        <v>1107</v>
      </c>
      <c r="C1927" s="4">
        <f t="shared" ca="1" si="77"/>
        <v>45849</v>
      </c>
      <c r="D1927" s="42"/>
      <c r="E1927" s="3" t="s">
        <v>1108</v>
      </c>
      <c r="F1927" s="43" t="b">
        <v>0</v>
      </c>
      <c r="G1927" s="43" t="b">
        <v>0</v>
      </c>
      <c r="H1927" s="44">
        <v>1870</v>
      </c>
    </row>
    <row r="1928" spans="1:8" x14ac:dyDescent="0.3">
      <c r="A1928" s="42" t="s">
        <v>1599</v>
      </c>
      <c r="B1928" s="3" t="s">
        <v>1136</v>
      </c>
      <c r="C1928" s="4">
        <f t="shared" ca="1" si="77"/>
        <v>45849</v>
      </c>
      <c r="D1928" s="4">
        <f t="shared" ref="D1928:D1929" ca="1" si="84">TODAY()-175</f>
        <v>45862</v>
      </c>
      <c r="E1928" s="3" t="s">
        <v>1029</v>
      </c>
      <c r="F1928" s="43" t="b">
        <v>1</v>
      </c>
      <c r="G1928" s="43" t="b">
        <v>1</v>
      </c>
      <c r="H1928" s="44">
        <v>20000</v>
      </c>
    </row>
    <row r="1929" spans="1:8" x14ac:dyDescent="0.3">
      <c r="A1929" s="42" t="s">
        <v>1342</v>
      </c>
      <c r="B1929" s="3" t="s">
        <v>1343</v>
      </c>
      <c r="C1929" s="4">
        <f t="shared" ca="1" si="77"/>
        <v>45849</v>
      </c>
      <c r="D1929" s="4">
        <f t="shared" ca="1" si="84"/>
        <v>45862</v>
      </c>
      <c r="E1929" s="3" t="s">
        <v>1032</v>
      </c>
      <c r="F1929" s="43" t="b">
        <v>1</v>
      </c>
      <c r="G1929" s="43" t="b">
        <v>0</v>
      </c>
      <c r="H1929" s="44">
        <v>410</v>
      </c>
    </row>
    <row r="1930" spans="1:8" x14ac:dyDescent="0.3">
      <c r="A1930" s="42" t="s">
        <v>1159</v>
      </c>
      <c r="B1930" s="3" t="s">
        <v>1160</v>
      </c>
      <c r="C1930" s="4">
        <f t="shared" ca="1" si="77"/>
        <v>45849</v>
      </c>
      <c r="D1930" s="4">
        <f ca="1">TODAY()-158</f>
        <v>45879</v>
      </c>
      <c r="E1930" s="3" t="s">
        <v>1032</v>
      </c>
      <c r="F1930" s="43" t="b">
        <v>1</v>
      </c>
      <c r="G1930" s="43" t="b">
        <v>0</v>
      </c>
      <c r="H1930" s="44">
        <v>2060</v>
      </c>
    </row>
    <row r="1931" spans="1:8" x14ac:dyDescent="0.3">
      <c r="A1931" s="42" t="s">
        <v>1776</v>
      </c>
      <c r="B1931" s="3" t="s">
        <v>1777</v>
      </c>
      <c r="C1931" s="4">
        <f t="shared" ca="1" si="77"/>
        <v>45849</v>
      </c>
      <c r="D1931" s="4">
        <f ca="1">TODAY()-160</f>
        <v>45877</v>
      </c>
      <c r="E1931" s="3" t="s">
        <v>1029</v>
      </c>
      <c r="F1931" s="43" t="b">
        <v>1</v>
      </c>
      <c r="G1931" s="43" t="b">
        <v>1</v>
      </c>
      <c r="H1931" s="44">
        <v>1890</v>
      </c>
    </row>
    <row r="1932" spans="1:8" x14ac:dyDescent="0.3">
      <c r="A1932" s="42" t="s">
        <v>1685</v>
      </c>
      <c r="B1932" s="3" t="s">
        <v>1995</v>
      </c>
      <c r="C1932" s="4">
        <f t="shared" ca="1" si="77"/>
        <v>45849</v>
      </c>
      <c r="D1932" s="4">
        <f ca="1">TODAY()-161</f>
        <v>45876</v>
      </c>
      <c r="E1932" s="3" t="s">
        <v>1032</v>
      </c>
      <c r="F1932" s="43" t="b">
        <v>1</v>
      </c>
      <c r="G1932" s="43" t="b">
        <v>0</v>
      </c>
      <c r="H1932" s="44">
        <v>650</v>
      </c>
    </row>
    <row r="1933" spans="1:8" x14ac:dyDescent="0.3">
      <c r="A1933" s="42" t="s">
        <v>1249</v>
      </c>
      <c r="B1933" s="3" t="s">
        <v>1769</v>
      </c>
      <c r="C1933" s="4">
        <f t="shared" ca="1" si="77"/>
        <v>45849</v>
      </c>
      <c r="D1933" s="4">
        <f ca="1">TODAY()-177</f>
        <v>45860</v>
      </c>
      <c r="E1933" s="3" t="s">
        <v>1029</v>
      </c>
      <c r="F1933" s="43" t="b">
        <v>1</v>
      </c>
      <c r="G1933" s="43" t="b">
        <v>1</v>
      </c>
      <c r="H1933" s="44">
        <v>370</v>
      </c>
    </row>
    <row r="1934" spans="1:8" x14ac:dyDescent="0.3">
      <c r="A1934" s="42" t="s">
        <v>1391</v>
      </c>
      <c r="B1934" s="3" t="s">
        <v>1392</v>
      </c>
      <c r="C1934" s="4">
        <f t="shared" ca="1" si="77"/>
        <v>45849</v>
      </c>
      <c r="D1934" s="4">
        <f ca="1">TODAY()-176</f>
        <v>45861</v>
      </c>
      <c r="E1934" s="3" t="s">
        <v>1029</v>
      </c>
      <c r="F1934" s="43" t="b">
        <v>1</v>
      </c>
      <c r="G1934" s="43" t="b">
        <v>1</v>
      </c>
      <c r="H1934" s="44">
        <v>240</v>
      </c>
    </row>
    <row r="1935" spans="1:8" x14ac:dyDescent="0.3">
      <c r="A1935" s="42" t="s">
        <v>1687</v>
      </c>
      <c r="B1935" s="3" t="s">
        <v>1688</v>
      </c>
      <c r="C1935" s="4">
        <f t="shared" ca="1" si="77"/>
        <v>45849</v>
      </c>
      <c r="D1935" s="4">
        <f ca="1">TODAY()-168</f>
        <v>45869</v>
      </c>
      <c r="E1935" s="3" t="s">
        <v>1029</v>
      </c>
      <c r="F1935" s="43" t="b">
        <v>1</v>
      </c>
      <c r="G1935" s="43" t="b">
        <v>1</v>
      </c>
      <c r="H1935" s="44">
        <v>600</v>
      </c>
    </row>
    <row r="1936" spans="1:8" x14ac:dyDescent="0.3">
      <c r="A1936" s="42" t="s">
        <v>1382</v>
      </c>
      <c r="B1936" s="3" t="s">
        <v>1724</v>
      </c>
      <c r="C1936" s="4">
        <f t="shared" ca="1" si="77"/>
        <v>45849</v>
      </c>
      <c r="D1936" s="4">
        <f ca="1">TODAY()-165</f>
        <v>45872</v>
      </c>
      <c r="E1936" s="3" t="s">
        <v>1029</v>
      </c>
      <c r="F1936" s="43" t="b">
        <v>1</v>
      </c>
      <c r="G1936" s="43" t="b">
        <v>1</v>
      </c>
      <c r="H1936" s="44">
        <v>1990</v>
      </c>
    </row>
    <row r="1937" spans="1:8" x14ac:dyDescent="0.3">
      <c r="A1937" s="42" t="s">
        <v>1642</v>
      </c>
      <c r="B1937" s="3" t="s">
        <v>1887</v>
      </c>
      <c r="C1937" s="4">
        <f t="shared" ca="1" si="77"/>
        <v>45849</v>
      </c>
      <c r="D1937" s="4">
        <f ca="1">TODAY()-167</f>
        <v>45870</v>
      </c>
      <c r="E1937" s="3" t="s">
        <v>1032</v>
      </c>
      <c r="F1937" s="43" t="b">
        <v>1</v>
      </c>
      <c r="G1937" s="43" t="b">
        <v>0</v>
      </c>
      <c r="H1937" s="44">
        <v>1610</v>
      </c>
    </row>
    <row r="1938" spans="1:8" x14ac:dyDescent="0.3">
      <c r="A1938" s="42" t="s">
        <v>1205</v>
      </c>
      <c r="B1938" s="3" t="s">
        <v>1580</v>
      </c>
      <c r="C1938" s="4">
        <f t="shared" ca="1" si="77"/>
        <v>45849</v>
      </c>
      <c r="D1938" s="4">
        <f ca="1">TODAY()-177</f>
        <v>45860</v>
      </c>
      <c r="E1938" s="3" t="s">
        <v>1032</v>
      </c>
      <c r="F1938" s="43" t="b">
        <v>1</v>
      </c>
      <c r="G1938" s="43" t="b">
        <v>0</v>
      </c>
      <c r="H1938" s="44">
        <v>1190</v>
      </c>
    </row>
    <row r="1939" spans="1:8" x14ac:dyDescent="0.3">
      <c r="A1939" s="42" t="s">
        <v>1169</v>
      </c>
      <c r="B1939" s="3" t="s">
        <v>1170</v>
      </c>
      <c r="C1939" s="4">
        <f t="shared" ca="1" si="77"/>
        <v>45849</v>
      </c>
      <c r="D1939" s="4">
        <f ca="1">TODAY()-173</f>
        <v>45864</v>
      </c>
      <c r="E1939" s="3" t="s">
        <v>1029</v>
      </c>
      <c r="F1939" s="43" t="b">
        <v>1</v>
      </c>
      <c r="G1939" s="43" t="b">
        <v>1</v>
      </c>
      <c r="H1939" s="44">
        <v>1220</v>
      </c>
    </row>
    <row r="1940" spans="1:8" x14ac:dyDescent="0.3">
      <c r="A1940" s="42" t="s">
        <v>1073</v>
      </c>
      <c r="B1940" s="3" t="s">
        <v>1074</v>
      </c>
      <c r="C1940" s="4">
        <f t="shared" ca="1" si="77"/>
        <v>45849</v>
      </c>
      <c r="D1940" s="4">
        <f ca="1">TODAY()-160</f>
        <v>45877</v>
      </c>
      <c r="E1940" s="3" t="s">
        <v>1032</v>
      </c>
      <c r="F1940" s="43" t="b">
        <v>1</v>
      </c>
      <c r="G1940" s="43" t="b">
        <v>0</v>
      </c>
      <c r="H1940" s="44">
        <v>1320</v>
      </c>
    </row>
    <row r="1941" spans="1:8" x14ac:dyDescent="0.3">
      <c r="A1941" s="42" t="s">
        <v>1135</v>
      </c>
      <c r="B1941" s="3" t="s">
        <v>1946</v>
      </c>
      <c r="C1941" s="4">
        <f t="shared" ca="1" si="77"/>
        <v>45849</v>
      </c>
      <c r="D1941" s="4">
        <f ca="1">TODAY()-176</f>
        <v>45861</v>
      </c>
      <c r="E1941" s="3" t="s">
        <v>1032</v>
      </c>
      <c r="F1941" s="43" t="b">
        <v>1</v>
      </c>
      <c r="G1941" s="43" t="b">
        <v>0</v>
      </c>
      <c r="H1941" s="44">
        <v>590</v>
      </c>
    </row>
    <row r="1942" spans="1:8" x14ac:dyDescent="0.3">
      <c r="A1942" s="42" t="s">
        <v>1878</v>
      </c>
      <c r="B1942" s="3" t="s">
        <v>1879</v>
      </c>
      <c r="C1942" s="4">
        <f t="shared" ca="1" si="77"/>
        <v>45849</v>
      </c>
      <c r="D1942" s="4">
        <f ca="1">TODAY()-163</f>
        <v>45874</v>
      </c>
      <c r="E1942" s="3" t="s">
        <v>1029</v>
      </c>
      <c r="F1942" s="43" t="b">
        <v>1</v>
      </c>
      <c r="G1942" s="43" t="b">
        <v>1</v>
      </c>
      <c r="H1942" s="44">
        <v>270</v>
      </c>
    </row>
    <row r="1943" spans="1:8" x14ac:dyDescent="0.3">
      <c r="A1943" s="42" t="s">
        <v>1292</v>
      </c>
      <c r="B1943" s="3" t="s">
        <v>1936</v>
      </c>
      <c r="C1943" s="4">
        <f t="shared" ca="1" si="77"/>
        <v>45849</v>
      </c>
      <c r="D1943" s="4">
        <f ca="1">TODAY()-177</f>
        <v>45860</v>
      </c>
      <c r="E1943" s="3" t="s">
        <v>1029</v>
      </c>
      <c r="F1943" s="43" t="b">
        <v>1</v>
      </c>
      <c r="G1943" s="43" t="b">
        <v>1</v>
      </c>
      <c r="H1943" s="44">
        <v>410</v>
      </c>
    </row>
    <row r="1944" spans="1:8" x14ac:dyDescent="0.3">
      <c r="A1944" s="42" t="s">
        <v>1421</v>
      </c>
      <c r="B1944" s="3" t="s">
        <v>1422</v>
      </c>
      <c r="C1944" s="4">
        <f t="shared" ca="1" si="77"/>
        <v>45849</v>
      </c>
      <c r="D1944" s="4">
        <f ca="1">TODAY()-170</f>
        <v>45867</v>
      </c>
      <c r="E1944" s="3" t="s">
        <v>1032</v>
      </c>
      <c r="F1944" s="43" t="b">
        <v>1</v>
      </c>
      <c r="G1944" s="43" t="b">
        <v>0</v>
      </c>
      <c r="H1944" s="44">
        <v>1270</v>
      </c>
    </row>
    <row r="1945" spans="1:8" x14ac:dyDescent="0.3">
      <c r="A1945" s="42" t="s">
        <v>1437</v>
      </c>
      <c r="B1945" s="3" t="s">
        <v>1608</v>
      </c>
      <c r="C1945" s="4">
        <f t="shared" ca="1" si="77"/>
        <v>45849</v>
      </c>
      <c r="D1945" s="4">
        <f ca="1">TODAY()-164</f>
        <v>45873</v>
      </c>
      <c r="E1945" s="3" t="s">
        <v>1029</v>
      </c>
      <c r="F1945" s="43" t="b">
        <v>1</v>
      </c>
      <c r="G1945" s="43" t="b">
        <v>1</v>
      </c>
      <c r="H1945" s="44">
        <v>310</v>
      </c>
    </row>
    <row r="1946" spans="1:8" x14ac:dyDescent="0.3">
      <c r="A1946" s="42" t="s">
        <v>1213</v>
      </c>
      <c r="B1946" s="3" t="s">
        <v>1756</v>
      </c>
      <c r="C1946" s="4">
        <f t="shared" ref="C1946:C2075" ca="1" si="85">TODAY()-157</f>
        <v>45880</v>
      </c>
      <c r="D1946" s="4">
        <f ca="1">TODAY()-138</f>
        <v>45899</v>
      </c>
      <c r="E1946" s="3" t="s">
        <v>1029</v>
      </c>
      <c r="F1946" s="43" t="b">
        <v>1</v>
      </c>
      <c r="G1946" s="43" t="b">
        <v>1</v>
      </c>
      <c r="H1946" s="44">
        <v>840</v>
      </c>
    </row>
    <row r="1947" spans="1:8" x14ac:dyDescent="0.3">
      <c r="A1947" s="42" t="s">
        <v>1947</v>
      </c>
      <c r="B1947" s="3" t="s">
        <v>1706</v>
      </c>
      <c r="C1947" s="4">
        <f t="shared" ca="1" si="85"/>
        <v>45880</v>
      </c>
      <c r="D1947" s="4">
        <f ca="1">TODAY()-129</f>
        <v>45908</v>
      </c>
      <c r="E1947" s="3" t="s">
        <v>1029</v>
      </c>
      <c r="F1947" s="43" t="b">
        <v>1</v>
      </c>
      <c r="G1947" s="43" t="b">
        <v>1</v>
      </c>
      <c r="H1947" s="44">
        <v>1310</v>
      </c>
    </row>
    <row r="1948" spans="1:8" x14ac:dyDescent="0.3">
      <c r="A1948" s="42" t="s">
        <v>1242</v>
      </c>
      <c r="B1948" s="3" t="s">
        <v>1136</v>
      </c>
      <c r="C1948" s="4">
        <f t="shared" ca="1" si="85"/>
        <v>45880</v>
      </c>
      <c r="D1948" s="4">
        <f ca="1">TODAY()-139</f>
        <v>45898</v>
      </c>
      <c r="E1948" s="3" t="s">
        <v>1029</v>
      </c>
      <c r="F1948" s="43" t="b">
        <v>1</v>
      </c>
      <c r="G1948" s="43" t="b">
        <v>1</v>
      </c>
      <c r="H1948" s="44">
        <v>1550</v>
      </c>
    </row>
    <row r="1949" spans="1:8" x14ac:dyDescent="0.3">
      <c r="A1949" s="42" t="s">
        <v>1060</v>
      </c>
      <c r="B1949" s="3" t="s">
        <v>1102</v>
      </c>
      <c r="C1949" s="4">
        <f t="shared" ca="1" si="85"/>
        <v>45880</v>
      </c>
      <c r="D1949" s="42"/>
      <c r="E1949" s="3" t="s">
        <v>1103</v>
      </c>
      <c r="F1949" s="43" t="b">
        <v>0</v>
      </c>
      <c r="G1949" s="43" t="b">
        <v>0</v>
      </c>
      <c r="H1949" s="44">
        <v>740</v>
      </c>
    </row>
    <row r="1950" spans="1:8" x14ac:dyDescent="0.3">
      <c r="A1950" s="42" t="s">
        <v>1044</v>
      </c>
      <c r="B1950" s="3" t="s">
        <v>1572</v>
      </c>
      <c r="C1950" s="4">
        <f t="shared" ca="1" si="85"/>
        <v>45880</v>
      </c>
      <c r="D1950" s="4">
        <f ca="1">TODAY()-141</f>
        <v>45896</v>
      </c>
      <c r="E1950" s="3" t="s">
        <v>1029</v>
      </c>
      <c r="F1950" s="43" t="b">
        <v>1</v>
      </c>
      <c r="G1950" s="43" t="b">
        <v>1</v>
      </c>
      <c r="H1950" s="44">
        <v>360</v>
      </c>
    </row>
    <row r="1951" spans="1:8" x14ac:dyDescent="0.3">
      <c r="A1951" s="42" t="s">
        <v>1827</v>
      </c>
      <c r="B1951" s="3" t="s">
        <v>1828</v>
      </c>
      <c r="C1951" s="4">
        <f t="shared" ca="1" si="85"/>
        <v>45880</v>
      </c>
      <c r="D1951" s="4">
        <f ca="1">TODAY()-146</f>
        <v>45891</v>
      </c>
      <c r="E1951" s="3" t="s">
        <v>1029</v>
      </c>
      <c r="F1951" s="43" t="b">
        <v>1</v>
      </c>
      <c r="G1951" s="43" t="b">
        <v>1</v>
      </c>
      <c r="H1951" s="44">
        <v>660</v>
      </c>
    </row>
    <row r="1952" spans="1:8" x14ac:dyDescent="0.3">
      <c r="A1952" s="42" t="s">
        <v>1277</v>
      </c>
      <c r="B1952" s="3" t="s">
        <v>1844</v>
      </c>
      <c r="C1952" s="4">
        <f t="shared" ca="1" si="85"/>
        <v>45880</v>
      </c>
      <c r="D1952" s="42"/>
      <c r="E1952" s="3" t="s">
        <v>1037</v>
      </c>
      <c r="F1952" s="43" t="b">
        <v>0</v>
      </c>
      <c r="G1952" s="43" t="b">
        <v>0</v>
      </c>
      <c r="H1952" s="44">
        <v>1710</v>
      </c>
    </row>
    <row r="1953" spans="1:8" x14ac:dyDescent="0.3">
      <c r="A1953" s="42" t="s">
        <v>1262</v>
      </c>
      <c r="B1953" s="3" t="s">
        <v>1573</v>
      </c>
      <c r="C1953" s="4">
        <f t="shared" ca="1" si="85"/>
        <v>45880</v>
      </c>
      <c r="D1953" s="4">
        <f ca="1">TODAY()-134</f>
        <v>45903</v>
      </c>
      <c r="E1953" s="3" t="s">
        <v>1029</v>
      </c>
      <c r="F1953" s="43" t="b">
        <v>1</v>
      </c>
      <c r="G1953" s="43" t="b">
        <v>1</v>
      </c>
      <c r="H1953" s="44">
        <v>1120</v>
      </c>
    </row>
    <row r="1954" spans="1:8" x14ac:dyDescent="0.3">
      <c r="A1954" s="42" t="s">
        <v>1464</v>
      </c>
      <c r="B1954" s="3" t="s">
        <v>1465</v>
      </c>
      <c r="C1954" s="4">
        <f t="shared" ca="1" si="85"/>
        <v>45880</v>
      </c>
      <c r="D1954" s="42"/>
      <c r="E1954" s="3" t="s">
        <v>1037</v>
      </c>
      <c r="F1954" s="43" t="b">
        <v>0</v>
      </c>
      <c r="G1954" s="43" t="b">
        <v>0</v>
      </c>
      <c r="H1954" s="44">
        <v>920</v>
      </c>
    </row>
    <row r="1955" spans="1:8" x14ac:dyDescent="0.3">
      <c r="A1955" s="42" t="s">
        <v>1068</v>
      </c>
      <c r="B1955" s="3" t="s">
        <v>1069</v>
      </c>
      <c r="C1955" s="4">
        <f t="shared" ca="1" si="85"/>
        <v>45880</v>
      </c>
      <c r="D1955" s="42"/>
      <c r="E1955" s="3" t="s">
        <v>1070</v>
      </c>
      <c r="F1955" s="43" t="b">
        <v>0</v>
      </c>
      <c r="G1955" s="43" t="b">
        <v>0</v>
      </c>
      <c r="H1955" s="44">
        <v>1450</v>
      </c>
    </row>
    <row r="1956" spans="1:8" x14ac:dyDescent="0.3">
      <c r="A1956" s="42" t="s">
        <v>1472</v>
      </c>
      <c r="B1956" s="3" t="s">
        <v>1974</v>
      </c>
      <c r="C1956" s="4">
        <f t="shared" ca="1" si="85"/>
        <v>45880</v>
      </c>
      <c r="D1956" s="42"/>
      <c r="E1956" s="3" t="s">
        <v>1037</v>
      </c>
      <c r="F1956" s="43" t="b">
        <v>0</v>
      </c>
      <c r="G1956" s="43" t="b">
        <v>0</v>
      </c>
      <c r="H1956" s="44">
        <v>130</v>
      </c>
    </row>
    <row r="1957" spans="1:8" x14ac:dyDescent="0.3">
      <c r="A1957" s="42" t="s">
        <v>1056</v>
      </c>
      <c r="B1957" s="3" t="s">
        <v>1540</v>
      </c>
      <c r="C1957" s="4">
        <f t="shared" ca="1" si="85"/>
        <v>45880</v>
      </c>
      <c r="D1957" s="42"/>
      <c r="E1957" s="3" t="s">
        <v>1108</v>
      </c>
      <c r="F1957" s="43" t="b">
        <v>0</v>
      </c>
      <c r="G1957" s="43" t="b">
        <v>0</v>
      </c>
      <c r="H1957" s="44">
        <v>620</v>
      </c>
    </row>
    <row r="1958" spans="1:8" x14ac:dyDescent="0.3">
      <c r="A1958" s="42" t="s">
        <v>1211</v>
      </c>
      <c r="B1958" s="3" t="s">
        <v>1817</v>
      </c>
      <c r="C1958" s="4">
        <f t="shared" ca="1" si="85"/>
        <v>45880</v>
      </c>
      <c r="D1958" s="4">
        <f ca="1">TODAY()-132</f>
        <v>45905</v>
      </c>
      <c r="E1958" s="3" t="s">
        <v>1029</v>
      </c>
      <c r="F1958" s="43" t="b">
        <v>1</v>
      </c>
      <c r="G1958" s="43" t="b">
        <v>1</v>
      </c>
      <c r="H1958" s="44">
        <v>2470</v>
      </c>
    </row>
    <row r="1959" spans="1:8" x14ac:dyDescent="0.3">
      <c r="A1959" s="42" t="s">
        <v>1758</v>
      </c>
      <c r="B1959" s="3" t="s">
        <v>1903</v>
      </c>
      <c r="C1959" s="4">
        <f t="shared" ca="1" si="85"/>
        <v>45880</v>
      </c>
      <c r="D1959" s="4">
        <f ca="1">TODAY()-144</f>
        <v>45893</v>
      </c>
      <c r="E1959" s="3" t="s">
        <v>1029</v>
      </c>
      <c r="F1959" s="43" t="b">
        <v>1</v>
      </c>
      <c r="G1959" s="43" t="b">
        <v>1</v>
      </c>
      <c r="H1959" s="44">
        <v>1260</v>
      </c>
    </row>
    <row r="1960" spans="1:8" x14ac:dyDescent="0.3">
      <c r="A1960" s="42" t="s">
        <v>1896</v>
      </c>
      <c r="B1960" s="3" t="s">
        <v>1897</v>
      </c>
      <c r="C1960" s="4">
        <f t="shared" ca="1" si="85"/>
        <v>45880</v>
      </c>
      <c r="D1960" s="42"/>
      <c r="E1960" s="3" t="s">
        <v>1108</v>
      </c>
      <c r="F1960" s="43" t="b">
        <v>0</v>
      </c>
      <c r="G1960" s="43" t="b">
        <v>0</v>
      </c>
      <c r="H1960" s="44">
        <v>1040</v>
      </c>
    </row>
    <row r="1961" spans="1:8" x14ac:dyDescent="0.3">
      <c r="A1961" s="42" t="s">
        <v>1357</v>
      </c>
      <c r="B1961" s="3" t="s">
        <v>1561</v>
      </c>
      <c r="C1961" s="4">
        <f t="shared" ca="1" si="85"/>
        <v>45880</v>
      </c>
      <c r="D1961" s="42"/>
      <c r="E1961" s="3" t="s">
        <v>1103</v>
      </c>
      <c r="F1961" s="43" t="b">
        <v>0</v>
      </c>
      <c r="G1961" s="43" t="b">
        <v>0</v>
      </c>
      <c r="H1961" s="44">
        <v>1690</v>
      </c>
    </row>
    <row r="1962" spans="1:8" x14ac:dyDescent="0.3">
      <c r="A1962" s="42" t="s">
        <v>1398</v>
      </c>
      <c r="B1962" s="3" t="s">
        <v>1859</v>
      </c>
      <c r="C1962" s="4">
        <f t="shared" ca="1" si="85"/>
        <v>45880</v>
      </c>
      <c r="D1962" s="4">
        <f ca="1">TODAY()-130</f>
        <v>45907</v>
      </c>
      <c r="E1962" s="3" t="s">
        <v>1029</v>
      </c>
      <c r="F1962" s="43" t="b">
        <v>1</v>
      </c>
      <c r="G1962" s="43" t="b">
        <v>1</v>
      </c>
      <c r="H1962" s="44">
        <v>2360</v>
      </c>
    </row>
    <row r="1963" spans="1:8" x14ac:dyDescent="0.3">
      <c r="A1963" s="42" t="s">
        <v>1872</v>
      </c>
      <c r="B1963" s="3" t="s">
        <v>1996</v>
      </c>
      <c r="C1963" s="4">
        <f t="shared" ca="1" si="85"/>
        <v>45880</v>
      </c>
      <c r="D1963" s="4">
        <f t="shared" ref="D1963:D1964" ca="1" si="86">TODAY()-128</f>
        <v>45909</v>
      </c>
      <c r="E1963" s="3" t="s">
        <v>1029</v>
      </c>
      <c r="F1963" s="43" t="b">
        <v>1</v>
      </c>
      <c r="G1963" s="43" t="b">
        <v>1</v>
      </c>
      <c r="H1963" s="44">
        <v>1300</v>
      </c>
    </row>
    <row r="1964" spans="1:8" x14ac:dyDescent="0.3">
      <c r="A1964" s="42" t="s">
        <v>1549</v>
      </c>
      <c r="B1964" s="3" t="s">
        <v>1550</v>
      </c>
      <c r="C1964" s="4">
        <f t="shared" ca="1" si="85"/>
        <v>45880</v>
      </c>
      <c r="D1964" s="4">
        <f t="shared" ca="1" si="86"/>
        <v>45909</v>
      </c>
      <c r="E1964" s="3" t="s">
        <v>1032</v>
      </c>
      <c r="F1964" s="43" t="b">
        <v>1</v>
      </c>
      <c r="G1964" s="43" t="b">
        <v>0</v>
      </c>
      <c r="H1964" s="44">
        <v>610</v>
      </c>
    </row>
    <row r="1965" spans="1:8" x14ac:dyDescent="0.3">
      <c r="A1965" s="42" t="s">
        <v>1551</v>
      </c>
      <c r="B1965" s="3" t="s">
        <v>1144</v>
      </c>
      <c r="C1965" s="4">
        <f t="shared" ca="1" si="85"/>
        <v>45880</v>
      </c>
      <c r="D1965" s="42"/>
      <c r="E1965" s="3" t="s">
        <v>1077</v>
      </c>
      <c r="F1965" s="43" t="b">
        <v>0</v>
      </c>
      <c r="G1965" s="43" t="b">
        <v>0</v>
      </c>
      <c r="H1965" s="44">
        <v>1860</v>
      </c>
    </row>
    <row r="1966" spans="1:8" x14ac:dyDescent="0.3">
      <c r="A1966" s="42" t="s">
        <v>1315</v>
      </c>
      <c r="B1966" s="3" t="s">
        <v>1316</v>
      </c>
      <c r="C1966" s="4">
        <f t="shared" ca="1" si="85"/>
        <v>45880</v>
      </c>
      <c r="D1966" s="4">
        <f ca="1">TODAY()-127</f>
        <v>45910</v>
      </c>
      <c r="E1966" s="3" t="s">
        <v>1029</v>
      </c>
      <c r="F1966" s="43" t="b">
        <v>1</v>
      </c>
      <c r="G1966" s="43" t="b">
        <v>1</v>
      </c>
      <c r="H1966" s="44">
        <v>1910</v>
      </c>
    </row>
    <row r="1967" spans="1:8" x14ac:dyDescent="0.3">
      <c r="A1967" s="42" t="s">
        <v>1566</v>
      </c>
      <c r="B1967" s="3" t="s">
        <v>1751</v>
      </c>
      <c r="C1967" s="4">
        <f t="shared" ca="1" si="85"/>
        <v>45880</v>
      </c>
      <c r="D1967" s="4">
        <f ca="1">TODAY()-128</f>
        <v>45909</v>
      </c>
      <c r="E1967" s="3" t="s">
        <v>1032</v>
      </c>
      <c r="F1967" s="43" t="b">
        <v>1</v>
      </c>
      <c r="G1967" s="43" t="b">
        <v>0</v>
      </c>
      <c r="H1967" s="44">
        <v>290</v>
      </c>
    </row>
    <row r="1968" spans="1:8" x14ac:dyDescent="0.3">
      <c r="A1968" s="42" t="s">
        <v>1627</v>
      </c>
      <c r="B1968" s="3" t="s">
        <v>1796</v>
      </c>
      <c r="C1968" s="4">
        <f t="shared" ca="1" si="85"/>
        <v>45880</v>
      </c>
      <c r="D1968" s="42"/>
      <c r="E1968" s="3" t="s">
        <v>1037</v>
      </c>
      <c r="F1968" s="43" t="b">
        <v>0</v>
      </c>
      <c r="G1968" s="43" t="b">
        <v>0</v>
      </c>
      <c r="H1968" s="44">
        <v>2070</v>
      </c>
    </row>
    <row r="1969" spans="1:8" x14ac:dyDescent="0.3">
      <c r="A1969" s="42" t="s">
        <v>1044</v>
      </c>
      <c r="B1969" s="3" t="s">
        <v>1045</v>
      </c>
      <c r="C1969" s="4">
        <f t="shared" ca="1" si="85"/>
        <v>45880</v>
      </c>
      <c r="D1969" s="4">
        <f ca="1">TODAY()-138</f>
        <v>45899</v>
      </c>
      <c r="E1969" s="3" t="s">
        <v>1029</v>
      </c>
      <c r="F1969" s="43" t="b">
        <v>1</v>
      </c>
      <c r="G1969" s="43" t="b">
        <v>1</v>
      </c>
      <c r="H1969" s="44">
        <v>1310</v>
      </c>
    </row>
    <row r="1970" spans="1:8" x14ac:dyDescent="0.3">
      <c r="A1970" s="42" t="s">
        <v>1566</v>
      </c>
      <c r="B1970" s="3" t="s">
        <v>1567</v>
      </c>
      <c r="C1970" s="4">
        <f t="shared" ca="1" si="85"/>
        <v>45880</v>
      </c>
      <c r="D1970" s="4">
        <f ca="1">TODAY()-133</f>
        <v>45904</v>
      </c>
      <c r="E1970" s="3" t="s">
        <v>1029</v>
      </c>
      <c r="F1970" s="43" t="b">
        <v>1</v>
      </c>
      <c r="G1970" s="43" t="b">
        <v>1</v>
      </c>
      <c r="H1970" s="44">
        <v>650</v>
      </c>
    </row>
    <row r="1971" spans="1:8" x14ac:dyDescent="0.3">
      <c r="A1971" s="42" t="s">
        <v>1165</v>
      </c>
      <c r="B1971" s="3" t="s">
        <v>1166</v>
      </c>
      <c r="C1971" s="4">
        <f t="shared" ca="1" si="85"/>
        <v>45880</v>
      </c>
      <c r="D1971" s="4">
        <f ca="1">TODAY()-132</f>
        <v>45905</v>
      </c>
      <c r="E1971" s="3" t="s">
        <v>1032</v>
      </c>
      <c r="F1971" s="43" t="b">
        <v>1</v>
      </c>
      <c r="G1971" s="43" t="b">
        <v>0</v>
      </c>
      <c r="H1971" s="44">
        <v>1140</v>
      </c>
    </row>
    <row r="1972" spans="1:8" x14ac:dyDescent="0.3">
      <c r="A1972" s="42" t="s">
        <v>1659</v>
      </c>
      <c r="B1972" s="3" t="s">
        <v>1660</v>
      </c>
      <c r="C1972" s="4">
        <f t="shared" ca="1" si="85"/>
        <v>45880</v>
      </c>
      <c r="D1972" s="4">
        <f ca="1">TODAY()-142</f>
        <v>45895</v>
      </c>
      <c r="E1972" s="3" t="s">
        <v>1029</v>
      </c>
      <c r="F1972" s="43" t="b">
        <v>1</v>
      </c>
      <c r="G1972" s="43" t="b">
        <v>1</v>
      </c>
      <c r="H1972" s="44">
        <v>820</v>
      </c>
    </row>
    <row r="1973" spans="1:8" x14ac:dyDescent="0.3">
      <c r="A1973" s="42" t="s">
        <v>1532</v>
      </c>
      <c r="B1973" s="3" t="s">
        <v>1906</v>
      </c>
      <c r="C1973" s="4">
        <f t="shared" ca="1" si="85"/>
        <v>45880</v>
      </c>
      <c r="D1973" s="4">
        <f ca="1">TODAY()-146</f>
        <v>45891</v>
      </c>
      <c r="E1973" s="3" t="s">
        <v>1032</v>
      </c>
      <c r="F1973" s="43" t="b">
        <v>1</v>
      </c>
      <c r="G1973" s="43" t="b">
        <v>0</v>
      </c>
      <c r="H1973" s="44">
        <v>1850</v>
      </c>
    </row>
    <row r="1974" spans="1:8" x14ac:dyDescent="0.3">
      <c r="A1974" s="42" t="s">
        <v>1957</v>
      </c>
      <c r="B1974" s="3" t="s">
        <v>1958</v>
      </c>
      <c r="C1974" s="4">
        <f t="shared" ca="1" si="85"/>
        <v>45880</v>
      </c>
      <c r="D1974" s="42"/>
      <c r="E1974" s="3" t="s">
        <v>1101</v>
      </c>
      <c r="F1974" s="43" t="b">
        <v>0</v>
      </c>
      <c r="G1974" s="43" t="b">
        <v>0</v>
      </c>
      <c r="H1974" s="44">
        <v>1260</v>
      </c>
    </row>
    <row r="1975" spans="1:8" x14ac:dyDescent="0.3">
      <c r="A1975" s="42" t="s">
        <v>1847</v>
      </c>
      <c r="B1975" s="3" t="s">
        <v>1848</v>
      </c>
      <c r="C1975" s="4">
        <f t="shared" ca="1" si="85"/>
        <v>45880</v>
      </c>
      <c r="D1975" s="4">
        <f t="shared" ref="D1975:D1976" ca="1" si="87">TODAY()-142</f>
        <v>45895</v>
      </c>
      <c r="E1975" s="3" t="s">
        <v>1029</v>
      </c>
      <c r="F1975" s="43" t="b">
        <v>1</v>
      </c>
      <c r="G1975" s="43" t="b">
        <v>1</v>
      </c>
      <c r="H1975" s="44">
        <v>470</v>
      </c>
    </row>
    <row r="1976" spans="1:8" x14ac:dyDescent="0.3">
      <c r="A1976" s="42" t="s">
        <v>1133</v>
      </c>
      <c r="B1976" s="3" t="s">
        <v>1393</v>
      </c>
      <c r="C1976" s="4">
        <f t="shared" ca="1" si="85"/>
        <v>45880</v>
      </c>
      <c r="D1976" s="4">
        <f t="shared" ca="1" si="87"/>
        <v>45895</v>
      </c>
      <c r="E1976" s="3" t="s">
        <v>1029</v>
      </c>
      <c r="F1976" s="43" t="b">
        <v>1</v>
      </c>
      <c r="G1976" s="43" t="b">
        <v>1</v>
      </c>
      <c r="H1976" s="44">
        <v>260</v>
      </c>
    </row>
    <row r="1977" spans="1:8" x14ac:dyDescent="0.3">
      <c r="A1977" s="42" t="s">
        <v>1143</v>
      </c>
      <c r="B1977" s="3" t="s">
        <v>1144</v>
      </c>
      <c r="C1977" s="4">
        <f t="shared" ca="1" si="85"/>
        <v>45880</v>
      </c>
      <c r="D1977" s="4">
        <f t="shared" ref="D1977:D1978" ca="1" si="88">TODAY()-129</f>
        <v>45908</v>
      </c>
      <c r="E1977" s="3" t="s">
        <v>1029</v>
      </c>
      <c r="F1977" s="43" t="b">
        <v>1</v>
      </c>
      <c r="G1977" s="43" t="b">
        <v>1</v>
      </c>
      <c r="H1977" s="44">
        <v>560</v>
      </c>
    </row>
    <row r="1978" spans="1:8" x14ac:dyDescent="0.3">
      <c r="A1978" s="42" t="s">
        <v>1727</v>
      </c>
      <c r="B1978" s="3" t="s">
        <v>1728</v>
      </c>
      <c r="C1978" s="4">
        <f t="shared" ca="1" si="85"/>
        <v>45880</v>
      </c>
      <c r="D1978" s="4">
        <f t="shared" ca="1" si="88"/>
        <v>45908</v>
      </c>
      <c r="E1978" s="3" t="s">
        <v>1029</v>
      </c>
      <c r="F1978" s="43" t="b">
        <v>1</v>
      </c>
      <c r="G1978" s="43" t="b">
        <v>1</v>
      </c>
      <c r="H1978" s="44">
        <v>1000</v>
      </c>
    </row>
    <row r="1979" spans="1:8" x14ac:dyDescent="0.3">
      <c r="A1979" s="42" t="s">
        <v>1964</v>
      </c>
      <c r="B1979" s="3" t="s">
        <v>1965</v>
      </c>
      <c r="C1979" s="4">
        <f t="shared" ca="1" si="85"/>
        <v>45880</v>
      </c>
      <c r="D1979" s="4">
        <f ca="1">TODAY()-132</f>
        <v>45905</v>
      </c>
      <c r="E1979" s="3" t="s">
        <v>1032</v>
      </c>
      <c r="F1979" s="43" t="b">
        <v>1</v>
      </c>
      <c r="G1979" s="43" t="b">
        <v>0</v>
      </c>
      <c r="H1979" s="44">
        <v>1470</v>
      </c>
    </row>
    <row r="1980" spans="1:8" x14ac:dyDescent="0.3">
      <c r="A1980" s="42" t="s">
        <v>1510</v>
      </c>
      <c r="B1980" s="3" t="s">
        <v>1511</v>
      </c>
      <c r="C1980" s="4">
        <f t="shared" ca="1" si="85"/>
        <v>45880</v>
      </c>
      <c r="D1980" s="42"/>
      <c r="E1980" s="3" t="s">
        <v>1037</v>
      </c>
      <c r="F1980" s="43" t="b">
        <v>0</v>
      </c>
      <c r="G1980" s="43" t="b">
        <v>0</v>
      </c>
      <c r="H1980" s="44">
        <v>2070</v>
      </c>
    </row>
    <row r="1981" spans="1:8" x14ac:dyDescent="0.3">
      <c r="A1981" s="42" t="s">
        <v>1256</v>
      </c>
      <c r="B1981" s="3" t="s">
        <v>1257</v>
      </c>
      <c r="C1981" s="4">
        <f t="shared" ca="1" si="85"/>
        <v>45880</v>
      </c>
      <c r="D1981" s="4">
        <f ca="1">TODAY()-145</f>
        <v>45892</v>
      </c>
      <c r="E1981" s="3" t="s">
        <v>1032</v>
      </c>
      <c r="F1981" s="43" t="b">
        <v>1</v>
      </c>
      <c r="G1981" s="43" t="b">
        <v>0</v>
      </c>
      <c r="H1981" s="44">
        <v>590</v>
      </c>
    </row>
    <row r="1982" spans="1:8" x14ac:dyDescent="0.3">
      <c r="A1982" s="42" t="s">
        <v>1482</v>
      </c>
      <c r="B1982" s="3" t="s">
        <v>1274</v>
      </c>
      <c r="C1982" s="4">
        <f t="shared" ca="1" si="85"/>
        <v>45880</v>
      </c>
      <c r="D1982" s="4">
        <f ca="1">TODAY()-136</f>
        <v>45901</v>
      </c>
      <c r="E1982" s="3" t="s">
        <v>1029</v>
      </c>
      <c r="F1982" s="43" t="b">
        <v>1</v>
      </c>
      <c r="G1982" s="43" t="b">
        <v>1</v>
      </c>
      <c r="H1982" s="44">
        <v>1020</v>
      </c>
    </row>
    <row r="1983" spans="1:8" x14ac:dyDescent="0.3">
      <c r="A1983" s="42" t="s">
        <v>1856</v>
      </c>
      <c r="B1983" s="3" t="s">
        <v>1222</v>
      </c>
      <c r="C1983" s="4">
        <f t="shared" ca="1" si="85"/>
        <v>45880</v>
      </c>
      <c r="D1983" s="4">
        <f ca="1">TODAY()-141</f>
        <v>45896</v>
      </c>
      <c r="E1983" s="3" t="s">
        <v>1029</v>
      </c>
      <c r="F1983" s="43" t="b">
        <v>1</v>
      </c>
      <c r="G1983" s="43" t="b">
        <v>1</v>
      </c>
      <c r="H1983" s="44">
        <v>2430</v>
      </c>
    </row>
    <row r="1984" spans="1:8" x14ac:dyDescent="0.3">
      <c r="A1984" s="42" t="s">
        <v>1581</v>
      </c>
      <c r="B1984" s="3" t="s">
        <v>1582</v>
      </c>
      <c r="C1984" s="4">
        <f t="shared" ca="1" si="85"/>
        <v>45880</v>
      </c>
      <c r="D1984" s="4">
        <f ca="1">TODAY()-130</f>
        <v>45907</v>
      </c>
      <c r="E1984" s="3" t="s">
        <v>1032</v>
      </c>
      <c r="F1984" s="43" t="b">
        <v>1</v>
      </c>
      <c r="G1984" s="43" t="b">
        <v>0</v>
      </c>
      <c r="H1984" s="44">
        <v>820</v>
      </c>
    </row>
    <row r="1985" spans="1:8" x14ac:dyDescent="0.3">
      <c r="A1985" s="42" t="s">
        <v>1821</v>
      </c>
      <c r="B1985" s="3" t="s">
        <v>1881</v>
      </c>
      <c r="C1985" s="4">
        <f t="shared" ca="1" si="85"/>
        <v>45880</v>
      </c>
      <c r="D1985" s="4">
        <f ca="1">TODAY()-135</f>
        <v>45902</v>
      </c>
      <c r="E1985" s="3" t="s">
        <v>1032</v>
      </c>
      <c r="F1985" s="43" t="b">
        <v>1</v>
      </c>
      <c r="G1985" s="43" t="b">
        <v>0</v>
      </c>
      <c r="H1985" s="44">
        <v>1790</v>
      </c>
    </row>
    <row r="1986" spans="1:8" x14ac:dyDescent="0.3">
      <c r="A1986" s="42" t="s">
        <v>1372</v>
      </c>
      <c r="B1986" s="3" t="s">
        <v>1373</v>
      </c>
      <c r="C1986" s="4">
        <f t="shared" ca="1" si="85"/>
        <v>45880</v>
      </c>
      <c r="D1986" s="42"/>
      <c r="E1986" s="3" t="s">
        <v>1101</v>
      </c>
      <c r="F1986" s="43" t="b">
        <v>0</v>
      </c>
      <c r="G1986" s="43" t="b">
        <v>0</v>
      </c>
      <c r="H1986" s="44">
        <v>850</v>
      </c>
    </row>
    <row r="1987" spans="1:8" x14ac:dyDescent="0.3">
      <c r="A1987" s="42" t="s">
        <v>1426</v>
      </c>
      <c r="B1987" s="3" t="s">
        <v>1201</v>
      </c>
      <c r="C1987" s="4">
        <f t="shared" ca="1" si="85"/>
        <v>45880</v>
      </c>
      <c r="D1987" s="4">
        <f ca="1">TODAY()-136</f>
        <v>45901</v>
      </c>
      <c r="E1987" s="3" t="s">
        <v>1032</v>
      </c>
      <c r="F1987" s="43" t="b">
        <v>1</v>
      </c>
      <c r="G1987" s="43" t="b">
        <v>0</v>
      </c>
      <c r="H1987" s="44">
        <v>910</v>
      </c>
    </row>
    <row r="1988" spans="1:8" x14ac:dyDescent="0.3">
      <c r="A1988" s="42" t="s">
        <v>1396</v>
      </c>
      <c r="B1988" s="3" t="s">
        <v>1732</v>
      </c>
      <c r="C1988" s="4">
        <f t="shared" ca="1" si="85"/>
        <v>45880</v>
      </c>
      <c r="D1988" s="4">
        <f ca="1">TODAY()-146</f>
        <v>45891</v>
      </c>
      <c r="E1988" s="3" t="s">
        <v>1032</v>
      </c>
      <c r="F1988" s="43" t="b">
        <v>1</v>
      </c>
      <c r="G1988" s="43" t="b">
        <v>0</v>
      </c>
      <c r="H1988" s="44">
        <v>1850</v>
      </c>
    </row>
    <row r="1989" spans="1:8" x14ac:dyDescent="0.3">
      <c r="A1989" s="42" t="s">
        <v>1708</v>
      </c>
      <c r="B1989" s="3" t="s">
        <v>1715</v>
      </c>
      <c r="C1989" s="4">
        <f t="shared" ca="1" si="85"/>
        <v>45880</v>
      </c>
      <c r="D1989" s="42"/>
      <c r="E1989" s="3" t="s">
        <v>1108</v>
      </c>
      <c r="F1989" s="43" t="b">
        <v>0</v>
      </c>
      <c r="G1989" s="43" t="b">
        <v>0</v>
      </c>
      <c r="H1989" s="44">
        <v>720</v>
      </c>
    </row>
    <row r="1990" spans="1:8" x14ac:dyDescent="0.3">
      <c r="A1990" s="42" t="s">
        <v>1137</v>
      </c>
      <c r="B1990" s="3" t="s">
        <v>1138</v>
      </c>
      <c r="C1990" s="4">
        <f t="shared" ca="1" si="85"/>
        <v>45880</v>
      </c>
      <c r="D1990" s="4">
        <f ca="1">TODAY()-143</f>
        <v>45894</v>
      </c>
      <c r="E1990" s="3" t="s">
        <v>1029</v>
      </c>
      <c r="F1990" s="43" t="b">
        <v>1</v>
      </c>
      <c r="G1990" s="43" t="b">
        <v>1</v>
      </c>
      <c r="H1990" s="44">
        <v>2440</v>
      </c>
    </row>
    <row r="1991" spans="1:8" x14ac:dyDescent="0.3">
      <c r="A1991" s="42" t="s">
        <v>1850</v>
      </c>
      <c r="B1991" s="3" t="s">
        <v>1851</v>
      </c>
      <c r="C1991" s="4">
        <f t="shared" ca="1" si="85"/>
        <v>45880</v>
      </c>
      <c r="D1991" s="42"/>
      <c r="E1991" s="3" t="s">
        <v>1101</v>
      </c>
      <c r="F1991" s="43" t="b">
        <v>0</v>
      </c>
      <c r="G1991" s="43" t="b">
        <v>0</v>
      </c>
      <c r="H1991" s="44">
        <v>510</v>
      </c>
    </row>
    <row r="1992" spans="1:8" x14ac:dyDescent="0.3">
      <c r="A1992" s="42" t="s">
        <v>1285</v>
      </c>
      <c r="B1992" s="3" t="s">
        <v>1201</v>
      </c>
      <c r="C1992" s="4">
        <f t="shared" ca="1" si="85"/>
        <v>45880</v>
      </c>
      <c r="D1992" s="4">
        <f ca="1">TODAY()-136</f>
        <v>45901</v>
      </c>
      <c r="E1992" s="3" t="s">
        <v>1029</v>
      </c>
      <c r="F1992" s="43" t="b">
        <v>1</v>
      </c>
      <c r="G1992" s="43" t="b">
        <v>1</v>
      </c>
      <c r="H1992" s="44">
        <v>1520</v>
      </c>
    </row>
    <row r="1993" spans="1:8" x14ac:dyDescent="0.3">
      <c r="A1993" s="42" t="s">
        <v>1642</v>
      </c>
      <c r="B1993" s="3" t="s">
        <v>1887</v>
      </c>
      <c r="C1993" s="4">
        <f t="shared" ca="1" si="85"/>
        <v>45880</v>
      </c>
      <c r="D1993" s="4">
        <f ca="1">TODAY()-134</f>
        <v>45903</v>
      </c>
      <c r="E1993" s="3" t="s">
        <v>1032</v>
      </c>
      <c r="F1993" s="43" t="b">
        <v>1</v>
      </c>
      <c r="G1993" s="43" t="b">
        <v>0</v>
      </c>
      <c r="H1993" s="44">
        <v>1610</v>
      </c>
    </row>
    <row r="1994" spans="1:8" x14ac:dyDescent="0.3">
      <c r="A1994" s="42" t="s">
        <v>1099</v>
      </c>
      <c r="B1994" s="3" t="s">
        <v>1975</v>
      </c>
      <c r="C1994" s="4">
        <f t="shared" ca="1" si="85"/>
        <v>45880</v>
      </c>
      <c r="D1994" s="4">
        <f ca="1">TODAY()-129</f>
        <v>45908</v>
      </c>
      <c r="E1994" s="3" t="s">
        <v>1029</v>
      </c>
      <c r="F1994" s="43" t="b">
        <v>1</v>
      </c>
      <c r="G1994" s="43" t="b">
        <v>1</v>
      </c>
      <c r="H1994" s="44">
        <v>1530</v>
      </c>
    </row>
    <row r="1995" spans="1:8" x14ac:dyDescent="0.3">
      <c r="A1995" s="42" t="s">
        <v>1249</v>
      </c>
      <c r="B1995" s="3" t="s">
        <v>1769</v>
      </c>
      <c r="C1995" s="4">
        <f t="shared" ca="1" si="85"/>
        <v>45880</v>
      </c>
      <c r="D1995" s="4">
        <f ca="1">TODAY()-145</f>
        <v>45892</v>
      </c>
      <c r="E1995" s="3" t="s">
        <v>1029</v>
      </c>
      <c r="F1995" s="43" t="b">
        <v>1</v>
      </c>
      <c r="G1995" s="43" t="b">
        <v>1</v>
      </c>
      <c r="H1995" s="44">
        <v>370</v>
      </c>
    </row>
    <row r="1996" spans="1:8" x14ac:dyDescent="0.3">
      <c r="A1996" s="42" t="s">
        <v>1779</v>
      </c>
      <c r="B1996" s="3" t="s">
        <v>1862</v>
      </c>
      <c r="C1996" s="4">
        <f t="shared" ca="1" si="85"/>
        <v>45880</v>
      </c>
      <c r="D1996" s="4">
        <f ca="1">TODAY()-138</f>
        <v>45899</v>
      </c>
      <c r="E1996" s="3" t="s">
        <v>1032</v>
      </c>
      <c r="F1996" s="43" t="b">
        <v>1</v>
      </c>
      <c r="G1996" s="43" t="b">
        <v>0</v>
      </c>
      <c r="H1996" s="44">
        <v>1950</v>
      </c>
    </row>
    <row r="1997" spans="1:8" x14ac:dyDescent="0.3">
      <c r="A1997" s="42" t="s">
        <v>1496</v>
      </c>
      <c r="B1997" s="3" t="s">
        <v>1497</v>
      </c>
      <c r="C1997" s="4">
        <f t="shared" ca="1" si="85"/>
        <v>45880</v>
      </c>
      <c r="D1997" s="4">
        <f ca="1">TODAY()-137</f>
        <v>45900</v>
      </c>
      <c r="E1997" s="3" t="s">
        <v>1029</v>
      </c>
      <c r="F1997" s="43" t="b">
        <v>1</v>
      </c>
      <c r="G1997" s="43" t="b">
        <v>1</v>
      </c>
      <c r="H1997" s="44">
        <v>2330</v>
      </c>
    </row>
    <row r="1998" spans="1:8" x14ac:dyDescent="0.3">
      <c r="A1998" s="42" t="s">
        <v>1200</v>
      </c>
      <c r="B1998" s="3" t="s">
        <v>1875</v>
      </c>
      <c r="C1998" s="4">
        <f t="shared" ca="1" si="85"/>
        <v>45880</v>
      </c>
      <c r="D1998" s="42"/>
      <c r="E1998" s="3" t="s">
        <v>1070</v>
      </c>
      <c r="F1998" s="43" t="b">
        <v>0</v>
      </c>
      <c r="G1998" s="43" t="b">
        <v>0</v>
      </c>
      <c r="H1998" s="44">
        <v>740</v>
      </c>
    </row>
    <row r="1999" spans="1:8" x14ac:dyDescent="0.3">
      <c r="A1999" s="42" t="s">
        <v>1415</v>
      </c>
      <c r="B1999" s="3" t="s">
        <v>1416</v>
      </c>
      <c r="C1999" s="4">
        <f t="shared" ca="1" si="85"/>
        <v>45880</v>
      </c>
      <c r="D1999" s="4">
        <f ca="1">TODAY()-137</f>
        <v>45900</v>
      </c>
      <c r="E1999" s="3" t="s">
        <v>1029</v>
      </c>
      <c r="F1999" s="43" t="b">
        <v>1</v>
      </c>
      <c r="G1999" s="43" t="b">
        <v>1</v>
      </c>
      <c r="H1999" s="44">
        <v>580</v>
      </c>
    </row>
    <row r="2000" spans="1:8" x14ac:dyDescent="0.3">
      <c r="A2000" s="42" t="s">
        <v>1173</v>
      </c>
      <c r="B2000" s="3" t="s">
        <v>1706</v>
      </c>
      <c r="C2000" s="4">
        <f t="shared" ca="1" si="85"/>
        <v>45880</v>
      </c>
      <c r="D2000" s="42"/>
      <c r="E2000" s="3" t="s">
        <v>1070</v>
      </c>
      <c r="F2000" s="43" t="b">
        <v>0</v>
      </c>
      <c r="G2000" s="43" t="b">
        <v>0</v>
      </c>
      <c r="H2000" s="44">
        <v>130</v>
      </c>
    </row>
    <row r="2001" spans="1:8" x14ac:dyDescent="0.3">
      <c r="A2001" s="42" t="s">
        <v>1354</v>
      </c>
      <c r="B2001" s="3" t="s">
        <v>1355</v>
      </c>
      <c r="C2001" s="4">
        <f t="shared" ca="1" si="85"/>
        <v>45880</v>
      </c>
      <c r="D2001" s="4">
        <f ca="1">TODAY()-133</f>
        <v>45904</v>
      </c>
      <c r="E2001" s="3" t="s">
        <v>1029</v>
      </c>
      <c r="F2001" s="43" t="b">
        <v>1</v>
      </c>
      <c r="G2001" s="43" t="b">
        <v>1</v>
      </c>
      <c r="H2001" s="44">
        <v>190</v>
      </c>
    </row>
    <row r="2002" spans="1:8" x14ac:dyDescent="0.3">
      <c r="A2002" s="42" t="s">
        <v>1143</v>
      </c>
      <c r="B2002" s="3" t="s">
        <v>1413</v>
      </c>
      <c r="C2002" s="4">
        <f t="shared" ca="1" si="85"/>
        <v>45880</v>
      </c>
      <c r="D2002" s="4">
        <f ca="1">TODAY()-140</f>
        <v>45897</v>
      </c>
      <c r="E2002" s="3" t="s">
        <v>1029</v>
      </c>
      <c r="F2002" s="43" t="b">
        <v>1</v>
      </c>
      <c r="G2002" s="43" t="b">
        <v>1</v>
      </c>
      <c r="H2002" s="44">
        <v>1470</v>
      </c>
    </row>
    <row r="2003" spans="1:8" x14ac:dyDescent="0.3">
      <c r="A2003" s="42" t="s">
        <v>1083</v>
      </c>
      <c r="B2003" s="3" t="s">
        <v>1997</v>
      </c>
      <c r="C2003" s="4">
        <f t="shared" ca="1" si="85"/>
        <v>45880</v>
      </c>
      <c r="D2003" s="4">
        <f ca="1">TODAY()-135</f>
        <v>45902</v>
      </c>
      <c r="E2003" s="3" t="s">
        <v>1029</v>
      </c>
      <c r="F2003" s="43" t="b">
        <v>1</v>
      </c>
      <c r="G2003" s="43" t="b">
        <v>1</v>
      </c>
      <c r="H2003" s="44">
        <v>1780</v>
      </c>
    </row>
    <row r="2004" spans="1:8" x14ac:dyDescent="0.3">
      <c r="A2004" s="42" t="s">
        <v>1133</v>
      </c>
      <c r="B2004" s="3" t="s">
        <v>1393</v>
      </c>
      <c r="C2004" s="4">
        <f t="shared" ca="1" si="85"/>
        <v>45880</v>
      </c>
      <c r="D2004" s="4">
        <f ca="1">TODAY()-134</f>
        <v>45903</v>
      </c>
      <c r="E2004" s="3" t="s">
        <v>1029</v>
      </c>
      <c r="F2004" s="43" t="b">
        <v>1</v>
      </c>
      <c r="G2004" s="43" t="b">
        <v>1</v>
      </c>
      <c r="H2004" s="44">
        <v>260</v>
      </c>
    </row>
    <row r="2005" spans="1:8" x14ac:dyDescent="0.3">
      <c r="A2005" s="42" t="s">
        <v>1894</v>
      </c>
      <c r="B2005" s="3" t="s">
        <v>1895</v>
      </c>
      <c r="C2005" s="4">
        <f t="shared" ca="1" si="85"/>
        <v>45880</v>
      </c>
      <c r="D2005" s="4">
        <f t="shared" ref="D2005:D2007" ca="1" si="89">TODAY()-136</f>
        <v>45901</v>
      </c>
      <c r="E2005" s="3" t="s">
        <v>1029</v>
      </c>
      <c r="F2005" s="43" t="b">
        <v>1</v>
      </c>
      <c r="G2005" s="43" t="b">
        <v>1</v>
      </c>
      <c r="H2005" s="44">
        <v>1490</v>
      </c>
    </row>
    <row r="2006" spans="1:8" x14ac:dyDescent="0.3">
      <c r="A2006" s="42" t="s">
        <v>1594</v>
      </c>
      <c r="B2006" s="3" t="s">
        <v>1976</v>
      </c>
      <c r="C2006" s="4">
        <f t="shared" ca="1" si="85"/>
        <v>45880</v>
      </c>
      <c r="D2006" s="4">
        <f t="shared" ca="1" si="89"/>
        <v>45901</v>
      </c>
      <c r="E2006" s="3" t="s">
        <v>1032</v>
      </c>
      <c r="F2006" s="43" t="b">
        <v>1</v>
      </c>
      <c r="G2006" s="43" t="b">
        <v>0</v>
      </c>
      <c r="H2006" s="44">
        <v>1850</v>
      </c>
    </row>
    <row r="2007" spans="1:8" x14ac:dyDescent="0.3">
      <c r="A2007" s="42" t="s">
        <v>1340</v>
      </c>
      <c r="B2007" s="3" t="s">
        <v>1341</v>
      </c>
      <c r="C2007" s="4">
        <f t="shared" ca="1" si="85"/>
        <v>45880</v>
      </c>
      <c r="D2007" s="4">
        <f t="shared" ca="1" si="89"/>
        <v>45901</v>
      </c>
      <c r="E2007" s="3" t="s">
        <v>1032</v>
      </c>
      <c r="F2007" s="43" t="b">
        <v>1</v>
      </c>
      <c r="G2007" s="43" t="b">
        <v>0</v>
      </c>
      <c r="H2007" s="44">
        <v>1250</v>
      </c>
    </row>
    <row r="2008" spans="1:8" x14ac:dyDescent="0.3">
      <c r="A2008" s="42" t="s">
        <v>1816</v>
      </c>
      <c r="B2008" s="3" t="s">
        <v>1989</v>
      </c>
      <c r="C2008" s="4">
        <f t="shared" ca="1" si="85"/>
        <v>45880</v>
      </c>
      <c r="D2008" s="4">
        <f ca="1">TODAY()-146</f>
        <v>45891</v>
      </c>
      <c r="E2008" s="3" t="s">
        <v>1029</v>
      </c>
      <c r="F2008" s="43" t="b">
        <v>1</v>
      </c>
      <c r="G2008" s="43" t="b">
        <v>1</v>
      </c>
      <c r="H2008" s="44">
        <v>390</v>
      </c>
    </row>
    <row r="2009" spans="1:8" x14ac:dyDescent="0.3">
      <c r="A2009" s="42" t="s">
        <v>1616</v>
      </c>
      <c r="B2009" s="3" t="s">
        <v>1617</v>
      </c>
      <c r="C2009" s="4">
        <f t="shared" ca="1" si="85"/>
        <v>45880</v>
      </c>
      <c r="D2009" s="4">
        <f ca="1">TODAY()-132</f>
        <v>45905</v>
      </c>
      <c r="E2009" s="3" t="s">
        <v>1032</v>
      </c>
      <c r="F2009" s="43" t="b">
        <v>1</v>
      </c>
      <c r="G2009" s="43" t="b">
        <v>0</v>
      </c>
      <c r="H2009" s="44">
        <v>1810</v>
      </c>
    </row>
    <row r="2010" spans="1:8" x14ac:dyDescent="0.3">
      <c r="A2010" s="42" t="s">
        <v>1468</v>
      </c>
      <c r="B2010" s="3" t="s">
        <v>1469</v>
      </c>
      <c r="C2010" s="4">
        <f t="shared" ca="1" si="85"/>
        <v>45880</v>
      </c>
      <c r="D2010" s="4">
        <f ca="1">TODAY()-133</f>
        <v>45904</v>
      </c>
      <c r="E2010" s="3" t="s">
        <v>1029</v>
      </c>
      <c r="F2010" s="43" t="b">
        <v>1</v>
      </c>
      <c r="G2010" s="43" t="b">
        <v>1</v>
      </c>
      <c r="H2010" s="44">
        <v>200</v>
      </c>
    </row>
    <row r="2011" spans="1:8" x14ac:dyDescent="0.3">
      <c r="A2011" s="42" t="s">
        <v>1426</v>
      </c>
      <c r="B2011" s="3" t="s">
        <v>1793</v>
      </c>
      <c r="C2011" s="4">
        <f t="shared" ca="1" si="85"/>
        <v>45880</v>
      </c>
      <c r="D2011" s="4">
        <f ca="1">TODAY()-136</f>
        <v>45901</v>
      </c>
      <c r="E2011" s="3" t="s">
        <v>1029</v>
      </c>
      <c r="F2011" s="43" t="b">
        <v>1</v>
      </c>
      <c r="G2011" s="43" t="b">
        <v>1</v>
      </c>
      <c r="H2011" s="44">
        <v>1190</v>
      </c>
    </row>
    <row r="2012" spans="1:8" x14ac:dyDescent="0.3">
      <c r="A2012" s="42" t="s">
        <v>1671</v>
      </c>
      <c r="B2012" s="3" t="s">
        <v>1222</v>
      </c>
      <c r="C2012" s="4">
        <f t="shared" ca="1" si="85"/>
        <v>45880</v>
      </c>
      <c r="D2012" s="4">
        <f ca="1">TODAY()-127</f>
        <v>45910</v>
      </c>
      <c r="E2012" s="3" t="s">
        <v>1029</v>
      </c>
      <c r="F2012" s="43" t="b">
        <v>1</v>
      </c>
      <c r="G2012" s="43" t="b">
        <v>1</v>
      </c>
      <c r="H2012" s="44">
        <v>1670</v>
      </c>
    </row>
    <row r="2013" spans="1:8" x14ac:dyDescent="0.3">
      <c r="A2013" s="42" t="s">
        <v>1089</v>
      </c>
      <c r="B2013" s="3" t="s">
        <v>1222</v>
      </c>
      <c r="C2013" s="4">
        <f t="shared" ca="1" si="85"/>
        <v>45880</v>
      </c>
      <c r="D2013" s="42"/>
      <c r="E2013" s="3" t="s">
        <v>1103</v>
      </c>
      <c r="F2013" s="43" t="b">
        <v>0</v>
      </c>
      <c r="G2013" s="43" t="b">
        <v>0</v>
      </c>
      <c r="H2013" s="44">
        <v>1440</v>
      </c>
    </row>
    <row r="2014" spans="1:8" x14ac:dyDescent="0.3">
      <c r="A2014" s="42" t="s">
        <v>1553</v>
      </c>
      <c r="B2014" s="3" t="s">
        <v>1554</v>
      </c>
      <c r="C2014" s="4">
        <f t="shared" ca="1" si="85"/>
        <v>45880</v>
      </c>
      <c r="D2014" s="4">
        <f ca="1">TODAY()-131</f>
        <v>45906</v>
      </c>
      <c r="E2014" s="3" t="s">
        <v>1029</v>
      </c>
      <c r="F2014" s="43" t="b">
        <v>1</v>
      </c>
      <c r="G2014" s="43" t="b">
        <v>1</v>
      </c>
      <c r="H2014" s="44">
        <v>120</v>
      </c>
    </row>
    <row r="2015" spans="1:8" x14ac:dyDescent="0.3">
      <c r="A2015" s="42" t="s">
        <v>1231</v>
      </c>
      <c r="B2015" s="3" t="s">
        <v>1232</v>
      </c>
      <c r="C2015" s="4">
        <f t="shared" ca="1" si="85"/>
        <v>45880</v>
      </c>
      <c r="D2015" s="4">
        <f ca="1">TODAY()-129</f>
        <v>45908</v>
      </c>
      <c r="E2015" s="3" t="s">
        <v>1029</v>
      </c>
      <c r="F2015" s="43" t="b">
        <v>1</v>
      </c>
      <c r="G2015" s="43" t="b">
        <v>1</v>
      </c>
      <c r="H2015" s="44">
        <v>230</v>
      </c>
    </row>
    <row r="2016" spans="1:8" x14ac:dyDescent="0.3">
      <c r="A2016" s="42" t="s">
        <v>1119</v>
      </c>
      <c r="B2016" s="3" t="s">
        <v>1120</v>
      </c>
      <c r="C2016" s="4">
        <f t="shared" ca="1" si="85"/>
        <v>45880</v>
      </c>
      <c r="D2016" s="4">
        <f ca="1">TODAY()-138</f>
        <v>45899</v>
      </c>
      <c r="E2016" s="3" t="s">
        <v>1029</v>
      </c>
      <c r="F2016" s="43" t="b">
        <v>1</v>
      </c>
      <c r="G2016" s="43" t="b">
        <v>1</v>
      </c>
      <c r="H2016" s="44">
        <v>1450</v>
      </c>
    </row>
    <row r="2017" spans="1:8" x14ac:dyDescent="0.3">
      <c r="A2017" s="42" t="s">
        <v>1761</v>
      </c>
      <c r="B2017" s="3" t="s">
        <v>1762</v>
      </c>
      <c r="C2017" s="4">
        <f t="shared" ca="1" si="85"/>
        <v>45880</v>
      </c>
      <c r="D2017" s="42"/>
      <c r="E2017" s="3" t="s">
        <v>1070</v>
      </c>
      <c r="F2017" s="43" t="b">
        <v>0</v>
      </c>
      <c r="G2017" s="43" t="b">
        <v>0</v>
      </c>
      <c r="H2017" s="44">
        <v>840</v>
      </c>
    </row>
    <row r="2018" spans="1:8" x14ac:dyDescent="0.3">
      <c r="A2018" s="42" t="s">
        <v>1225</v>
      </c>
      <c r="B2018" s="3" t="s">
        <v>1226</v>
      </c>
      <c r="C2018" s="4">
        <f t="shared" ca="1" si="85"/>
        <v>45880</v>
      </c>
      <c r="D2018" s="4">
        <f ca="1">TODAY()-140</f>
        <v>45897</v>
      </c>
      <c r="E2018" s="3" t="s">
        <v>1029</v>
      </c>
      <c r="F2018" s="43" t="b">
        <v>1</v>
      </c>
      <c r="G2018" s="43" t="b">
        <v>1</v>
      </c>
      <c r="H2018" s="44">
        <v>1230</v>
      </c>
    </row>
    <row r="2019" spans="1:8" x14ac:dyDescent="0.3">
      <c r="A2019" s="42" t="s">
        <v>1244</v>
      </c>
      <c r="B2019" s="3" t="s">
        <v>1804</v>
      </c>
      <c r="C2019" s="4">
        <f t="shared" ca="1" si="85"/>
        <v>45880</v>
      </c>
      <c r="D2019" s="4">
        <f ca="1">TODAY()-133</f>
        <v>45904</v>
      </c>
      <c r="E2019" s="3" t="s">
        <v>1032</v>
      </c>
      <c r="F2019" s="43" t="b">
        <v>1</v>
      </c>
      <c r="G2019" s="43" t="b">
        <v>0</v>
      </c>
      <c r="H2019" s="44">
        <v>1320</v>
      </c>
    </row>
    <row r="2020" spans="1:8" x14ac:dyDescent="0.3">
      <c r="A2020" s="42" t="s">
        <v>1816</v>
      </c>
      <c r="B2020" s="3" t="s">
        <v>1241</v>
      </c>
      <c r="C2020" s="4">
        <f t="shared" ca="1" si="85"/>
        <v>45880</v>
      </c>
      <c r="D2020" s="4">
        <f ca="1">TODAY()-130</f>
        <v>45907</v>
      </c>
      <c r="E2020" s="3" t="s">
        <v>1032</v>
      </c>
      <c r="F2020" s="43" t="b">
        <v>1</v>
      </c>
      <c r="G2020" s="43" t="b">
        <v>0</v>
      </c>
      <c r="H2020" s="44">
        <v>210</v>
      </c>
    </row>
    <row r="2021" spans="1:8" x14ac:dyDescent="0.3">
      <c r="A2021" s="42" t="s">
        <v>1966</v>
      </c>
      <c r="B2021" s="3" t="s">
        <v>1967</v>
      </c>
      <c r="C2021" s="4">
        <f t="shared" ca="1" si="85"/>
        <v>45880</v>
      </c>
      <c r="D2021" s="4">
        <f ca="1">TODAY()-139</f>
        <v>45898</v>
      </c>
      <c r="E2021" s="3" t="s">
        <v>1032</v>
      </c>
      <c r="F2021" s="43" t="b">
        <v>1</v>
      </c>
      <c r="G2021" s="43" t="b">
        <v>0</v>
      </c>
      <c r="H2021" s="44">
        <v>1270</v>
      </c>
    </row>
    <row r="2022" spans="1:8" x14ac:dyDescent="0.3">
      <c r="A2022" s="42" t="s">
        <v>1145</v>
      </c>
      <c r="B2022" s="3" t="s">
        <v>1931</v>
      </c>
      <c r="C2022" s="4">
        <f t="shared" ca="1" si="85"/>
        <v>45880</v>
      </c>
      <c r="D2022" s="4">
        <f ca="1">TODAY()-131</f>
        <v>45906</v>
      </c>
      <c r="E2022" s="3" t="s">
        <v>1029</v>
      </c>
      <c r="F2022" s="43" t="b">
        <v>1</v>
      </c>
      <c r="G2022" s="43" t="b">
        <v>1</v>
      </c>
      <c r="H2022" s="44">
        <v>920</v>
      </c>
    </row>
    <row r="2023" spans="1:8" x14ac:dyDescent="0.3">
      <c r="A2023" s="42" t="s">
        <v>1943</v>
      </c>
      <c r="B2023" s="3" t="s">
        <v>1944</v>
      </c>
      <c r="C2023" s="4">
        <f t="shared" ca="1" si="85"/>
        <v>45880</v>
      </c>
      <c r="D2023" s="4">
        <f ca="1">TODAY()-135</f>
        <v>45902</v>
      </c>
      <c r="E2023" s="3" t="s">
        <v>1029</v>
      </c>
      <c r="F2023" s="43" t="b">
        <v>1</v>
      </c>
      <c r="G2023" s="43" t="b">
        <v>1</v>
      </c>
      <c r="H2023" s="44">
        <v>110</v>
      </c>
    </row>
    <row r="2024" spans="1:8" x14ac:dyDescent="0.3">
      <c r="A2024" s="42" t="s">
        <v>1135</v>
      </c>
      <c r="B2024" s="3" t="s">
        <v>1946</v>
      </c>
      <c r="C2024" s="4">
        <f t="shared" ca="1" si="85"/>
        <v>45880</v>
      </c>
      <c r="D2024" s="4">
        <f ca="1">TODAY()-146</f>
        <v>45891</v>
      </c>
      <c r="E2024" s="3" t="s">
        <v>1032</v>
      </c>
      <c r="F2024" s="43" t="b">
        <v>1</v>
      </c>
      <c r="G2024" s="43" t="b">
        <v>0</v>
      </c>
      <c r="H2024" s="44">
        <v>590</v>
      </c>
    </row>
    <row r="2025" spans="1:8" x14ac:dyDescent="0.3">
      <c r="A2025" s="42" t="s">
        <v>1925</v>
      </c>
      <c r="B2025" s="3" t="s">
        <v>1926</v>
      </c>
      <c r="C2025" s="4">
        <f t="shared" ca="1" si="85"/>
        <v>45880</v>
      </c>
      <c r="D2025" s="4">
        <f ca="1">TODAY()-132</f>
        <v>45905</v>
      </c>
      <c r="E2025" s="3" t="s">
        <v>1032</v>
      </c>
      <c r="F2025" s="43" t="b">
        <v>1</v>
      </c>
      <c r="G2025" s="43" t="b">
        <v>0</v>
      </c>
      <c r="H2025" s="44">
        <v>2440</v>
      </c>
    </row>
    <row r="2026" spans="1:8" x14ac:dyDescent="0.3">
      <c r="A2026" s="42" t="s">
        <v>1551</v>
      </c>
      <c r="B2026" s="3" t="s">
        <v>1552</v>
      </c>
      <c r="C2026" s="4">
        <f t="shared" ca="1" si="85"/>
        <v>45880</v>
      </c>
      <c r="D2026" s="4">
        <f ca="1">TODAY()-144</f>
        <v>45893</v>
      </c>
      <c r="E2026" s="3" t="s">
        <v>1029</v>
      </c>
      <c r="F2026" s="43" t="b">
        <v>1</v>
      </c>
      <c r="G2026" s="43" t="b">
        <v>1</v>
      </c>
      <c r="H2026" s="44">
        <v>2230</v>
      </c>
    </row>
    <row r="2027" spans="1:8" x14ac:dyDescent="0.3">
      <c r="A2027" s="42" t="s">
        <v>1304</v>
      </c>
      <c r="B2027" s="3" t="s">
        <v>1305</v>
      </c>
      <c r="C2027" s="4">
        <f t="shared" ca="1" si="85"/>
        <v>45880</v>
      </c>
      <c r="D2027" s="4">
        <f t="shared" ref="D2027:D2028" ca="1" si="90">TODAY()-128</f>
        <v>45909</v>
      </c>
      <c r="E2027" s="3" t="s">
        <v>1032</v>
      </c>
      <c r="F2027" s="43" t="b">
        <v>1</v>
      </c>
      <c r="G2027" s="43" t="b">
        <v>0</v>
      </c>
      <c r="H2027" s="44">
        <v>1300</v>
      </c>
    </row>
    <row r="2028" spans="1:8" x14ac:dyDescent="0.3">
      <c r="A2028" s="42" t="s">
        <v>1448</v>
      </c>
      <c r="B2028" s="3" t="s">
        <v>1222</v>
      </c>
      <c r="C2028" s="4">
        <f t="shared" ca="1" si="85"/>
        <v>45880</v>
      </c>
      <c r="D2028" s="4">
        <f t="shared" ca="1" si="90"/>
        <v>45909</v>
      </c>
      <c r="E2028" s="3" t="s">
        <v>1029</v>
      </c>
      <c r="F2028" s="43" t="b">
        <v>1</v>
      </c>
      <c r="G2028" s="43" t="b">
        <v>1</v>
      </c>
      <c r="H2028" s="44">
        <v>720</v>
      </c>
    </row>
    <row r="2029" spans="1:8" x14ac:dyDescent="0.3">
      <c r="A2029" s="42" t="s">
        <v>1391</v>
      </c>
      <c r="B2029" s="3" t="s">
        <v>1222</v>
      </c>
      <c r="C2029" s="4">
        <f t="shared" ca="1" si="85"/>
        <v>45880</v>
      </c>
      <c r="D2029" s="42"/>
      <c r="E2029" s="3" t="s">
        <v>1037</v>
      </c>
      <c r="F2029" s="43" t="b">
        <v>0</v>
      </c>
      <c r="G2029" s="43" t="b">
        <v>0</v>
      </c>
      <c r="H2029" s="44">
        <v>1280</v>
      </c>
    </row>
    <row r="2030" spans="1:8" x14ac:dyDescent="0.3">
      <c r="A2030" s="42" t="s">
        <v>1229</v>
      </c>
      <c r="B2030" s="3" t="s">
        <v>1757</v>
      </c>
      <c r="C2030" s="4">
        <f t="shared" ca="1" si="85"/>
        <v>45880</v>
      </c>
      <c r="D2030" s="4">
        <f ca="1">TODAY()-147</f>
        <v>45890</v>
      </c>
      <c r="E2030" s="3" t="s">
        <v>1029</v>
      </c>
      <c r="F2030" s="43" t="b">
        <v>1</v>
      </c>
      <c r="G2030" s="43" t="b">
        <v>1</v>
      </c>
      <c r="H2030" s="44">
        <v>2200</v>
      </c>
    </row>
    <row r="2031" spans="1:8" x14ac:dyDescent="0.3">
      <c r="A2031" s="42" t="s">
        <v>1482</v>
      </c>
      <c r="B2031" s="3" t="s">
        <v>1274</v>
      </c>
      <c r="C2031" s="4">
        <f t="shared" ca="1" si="85"/>
        <v>45880</v>
      </c>
      <c r="D2031" s="4">
        <f ca="1">TODAY()-127</f>
        <v>45910</v>
      </c>
      <c r="E2031" s="3" t="s">
        <v>1029</v>
      </c>
      <c r="F2031" s="43" t="b">
        <v>1</v>
      </c>
      <c r="G2031" s="43" t="b">
        <v>1</v>
      </c>
      <c r="H2031" s="44">
        <v>1020</v>
      </c>
    </row>
    <row r="2032" spans="1:8" x14ac:dyDescent="0.3">
      <c r="A2032" s="42" t="s">
        <v>1748</v>
      </c>
      <c r="B2032" s="3" t="s">
        <v>1749</v>
      </c>
      <c r="C2032" s="4">
        <f t="shared" ca="1" si="85"/>
        <v>45880</v>
      </c>
      <c r="D2032" s="4">
        <f ca="1">TODAY()-147</f>
        <v>45890</v>
      </c>
      <c r="E2032" s="3" t="s">
        <v>1029</v>
      </c>
      <c r="F2032" s="43" t="b">
        <v>1</v>
      </c>
      <c r="G2032" s="43" t="b">
        <v>1</v>
      </c>
      <c r="H2032" s="44">
        <v>670</v>
      </c>
    </row>
    <row r="2033" spans="1:8" x14ac:dyDescent="0.3">
      <c r="A2033" s="42" t="s">
        <v>1431</v>
      </c>
      <c r="B2033" s="3" t="s">
        <v>1432</v>
      </c>
      <c r="C2033" s="4">
        <f t="shared" ca="1" si="85"/>
        <v>45880</v>
      </c>
      <c r="D2033" s="42"/>
      <c r="E2033" s="3" t="s">
        <v>1108</v>
      </c>
      <c r="F2033" s="43" t="b">
        <v>0</v>
      </c>
      <c r="G2033" s="43" t="b">
        <v>0</v>
      </c>
      <c r="H2033" s="44">
        <v>1170</v>
      </c>
    </row>
    <row r="2034" spans="1:8" x14ac:dyDescent="0.3">
      <c r="A2034" s="42" t="s">
        <v>1932</v>
      </c>
      <c r="B2034" s="3" t="s">
        <v>1187</v>
      </c>
      <c r="C2034" s="4">
        <f t="shared" ca="1" si="85"/>
        <v>45880</v>
      </c>
      <c r="D2034" s="4">
        <f ca="1">TODAY()-137</f>
        <v>45900</v>
      </c>
      <c r="E2034" s="3" t="s">
        <v>1029</v>
      </c>
      <c r="F2034" s="43" t="b">
        <v>1</v>
      </c>
      <c r="G2034" s="43" t="b">
        <v>1</v>
      </c>
      <c r="H2034" s="44">
        <v>660</v>
      </c>
    </row>
    <row r="2035" spans="1:8" x14ac:dyDescent="0.3">
      <c r="A2035" s="42" t="s">
        <v>1258</v>
      </c>
      <c r="B2035" s="3" t="s">
        <v>1259</v>
      </c>
      <c r="C2035" s="4">
        <f t="shared" ca="1" si="85"/>
        <v>45880</v>
      </c>
      <c r="D2035" s="4">
        <f ca="1">TODAY()-141</f>
        <v>45896</v>
      </c>
      <c r="E2035" s="3" t="s">
        <v>1032</v>
      </c>
      <c r="F2035" s="43" t="b">
        <v>1</v>
      </c>
      <c r="G2035" s="43" t="b">
        <v>0</v>
      </c>
      <c r="H2035" s="44">
        <v>1510</v>
      </c>
    </row>
    <row r="2036" spans="1:8" x14ac:dyDescent="0.3">
      <c r="A2036" s="42" t="s">
        <v>1332</v>
      </c>
      <c r="B2036" s="3" t="s">
        <v>1501</v>
      </c>
      <c r="C2036" s="4">
        <f t="shared" ca="1" si="85"/>
        <v>45880</v>
      </c>
      <c r="D2036" s="42"/>
      <c r="E2036" s="3" t="s">
        <v>1101</v>
      </c>
      <c r="F2036" s="43" t="b">
        <v>0</v>
      </c>
      <c r="G2036" s="43" t="b">
        <v>0</v>
      </c>
      <c r="H2036" s="44">
        <v>550</v>
      </c>
    </row>
    <row r="2037" spans="1:8" x14ac:dyDescent="0.3">
      <c r="A2037" s="42" t="s">
        <v>1109</v>
      </c>
      <c r="B2037" s="3" t="s">
        <v>1110</v>
      </c>
      <c r="C2037" s="4">
        <f t="shared" ca="1" si="85"/>
        <v>45880</v>
      </c>
      <c r="D2037" s="4">
        <f ca="1">TODAY()-141</f>
        <v>45896</v>
      </c>
      <c r="E2037" s="3" t="s">
        <v>1029</v>
      </c>
      <c r="F2037" s="43" t="b">
        <v>1</v>
      </c>
      <c r="G2037" s="43" t="b">
        <v>1</v>
      </c>
      <c r="H2037" s="44">
        <v>260</v>
      </c>
    </row>
    <row r="2038" spans="1:8" x14ac:dyDescent="0.3">
      <c r="A2038" s="42" t="s">
        <v>1399</v>
      </c>
      <c r="B2038" s="3" t="s">
        <v>1400</v>
      </c>
      <c r="C2038" s="4">
        <f t="shared" ca="1" si="85"/>
        <v>45880</v>
      </c>
      <c r="D2038" s="4">
        <f ca="1">TODAY()-132</f>
        <v>45905</v>
      </c>
      <c r="E2038" s="3" t="s">
        <v>1032</v>
      </c>
      <c r="F2038" s="43" t="b">
        <v>1</v>
      </c>
      <c r="G2038" s="43" t="b">
        <v>0</v>
      </c>
      <c r="H2038" s="44">
        <v>1460</v>
      </c>
    </row>
    <row r="2039" spans="1:8" x14ac:dyDescent="0.3">
      <c r="A2039" s="42" t="s">
        <v>1569</v>
      </c>
      <c r="B2039" s="3" t="s">
        <v>1136</v>
      </c>
      <c r="C2039" s="4">
        <f t="shared" ca="1" si="85"/>
        <v>45880</v>
      </c>
      <c r="D2039" s="4">
        <f ca="1">TODAY()-143</f>
        <v>45894</v>
      </c>
      <c r="E2039" s="3" t="s">
        <v>1029</v>
      </c>
      <c r="F2039" s="43" t="b">
        <v>1</v>
      </c>
      <c r="G2039" s="43" t="b">
        <v>1</v>
      </c>
      <c r="H2039" s="44">
        <v>3630</v>
      </c>
    </row>
    <row r="2040" spans="1:8" x14ac:dyDescent="0.3">
      <c r="A2040" s="42" t="s">
        <v>1529</v>
      </c>
      <c r="B2040" s="3" t="s">
        <v>1443</v>
      </c>
      <c r="C2040" s="4">
        <f t="shared" ca="1" si="85"/>
        <v>45880</v>
      </c>
      <c r="D2040" s="4">
        <f ca="1">TODAY()-128</f>
        <v>45909</v>
      </c>
      <c r="E2040" s="3" t="s">
        <v>1032</v>
      </c>
      <c r="F2040" s="43" t="b">
        <v>1</v>
      </c>
      <c r="G2040" s="43" t="b">
        <v>0</v>
      </c>
      <c r="H2040" s="44">
        <v>1570</v>
      </c>
    </row>
    <row r="2041" spans="1:8" x14ac:dyDescent="0.3">
      <c r="A2041" s="42" t="s">
        <v>1850</v>
      </c>
      <c r="B2041" s="3" t="s">
        <v>1851</v>
      </c>
      <c r="C2041" s="4">
        <f t="shared" ca="1" si="85"/>
        <v>45880</v>
      </c>
      <c r="D2041" s="42"/>
      <c r="E2041" s="3" t="s">
        <v>1101</v>
      </c>
      <c r="F2041" s="43" t="b">
        <v>0</v>
      </c>
      <c r="G2041" s="43" t="b">
        <v>0</v>
      </c>
      <c r="H2041" s="44">
        <v>510</v>
      </c>
    </row>
    <row r="2042" spans="1:8" x14ac:dyDescent="0.3">
      <c r="A2042" s="42" t="s">
        <v>1832</v>
      </c>
      <c r="B2042" s="3" t="s">
        <v>1833</v>
      </c>
      <c r="C2042" s="4">
        <f t="shared" ca="1" si="85"/>
        <v>45880</v>
      </c>
      <c r="D2042" s="42"/>
      <c r="E2042" s="3" t="s">
        <v>1108</v>
      </c>
      <c r="F2042" s="43" t="b">
        <v>0</v>
      </c>
      <c r="G2042" s="43" t="b">
        <v>0</v>
      </c>
      <c r="H2042" s="44">
        <v>1300</v>
      </c>
    </row>
    <row r="2043" spans="1:8" x14ac:dyDescent="0.3">
      <c r="A2043" s="42" t="s">
        <v>1759</v>
      </c>
      <c r="B2043" s="3" t="s">
        <v>1201</v>
      </c>
      <c r="C2043" s="4">
        <f t="shared" ca="1" si="85"/>
        <v>45880</v>
      </c>
      <c r="D2043" s="4">
        <f ca="1">TODAY()-146</f>
        <v>45891</v>
      </c>
      <c r="E2043" s="3" t="s">
        <v>1029</v>
      </c>
      <c r="F2043" s="43" t="b">
        <v>1</v>
      </c>
      <c r="G2043" s="43" t="b">
        <v>1</v>
      </c>
      <c r="H2043" s="44">
        <v>830</v>
      </c>
    </row>
    <row r="2044" spans="1:8" x14ac:dyDescent="0.3">
      <c r="A2044" s="42" t="s">
        <v>1739</v>
      </c>
      <c r="B2044" s="3" t="s">
        <v>1740</v>
      </c>
      <c r="C2044" s="4">
        <f t="shared" ca="1" si="85"/>
        <v>45880</v>
      </c>
      <c r="D2044" s="4">
        <f ca="1">TODAY()-133</f>
        <v>45904</v>
      </c>
      <c r="E2044" s="3" t="s">
        <v>1029</v>
      </c>
      <c r="F2044" s="43" t="b">
        <v>1</v>
      </c>
      <c r="G2044" s="43" t="b">
        <v>1</v>
      </c>
      <c r="H2044" s="44">
        <v>2310</v>
      </c>
    </row>
    <row r="2045" spans="1:8" x14ac:dyDescent="0.3">
      <c r="A2045" s="42" t="s">
        <v>1517</v>
      </c>
      <c r="B2045" s="3" t="s">
        <v>1114</v>
      </c>
      <c r="C2045" s="4">
        <f t="shared" ca="1" si="85"/>
        <v>45880</v>
      </c>
      <c r="D2045" s="42"/>
      <c r="E2045" s="3" t="s">
        <v>1037</v>
      </c>
      <c r="F2045" s="43" t="b">
        <v>0</v>
      </c>
      <c r="G2045" s="43" t="b">
        <v>0</v>
      </c>
      <c r="H2045" s="44">
        <v>2180</v>
      </c>
    </row>
    <row r="2046" spans="1:8" x14ac:dyDescent="0.3">
      <c r="A2046" s="42" t="s">
        <v>1543</v>
      </c>
      <c r="B2046" s="3" t="s">
        <v>1948</v>
      </c>
      <c r="C2046" s="4">
        <f t="shared" ca="1" si="85"/>
        <v>45880</v>
      </c>
      <c r="D2046" s="4">
        <f ca="1">TODAY()-127</f>
        <v>45910</v>
      </c>
      <c r="E2046" s="3" t="s">
        <v>1029</v>
      </c>
      <c r="F2046" s="43" t="b">
        <v>1</v>
      </c>
      <c r="G2046" s="43" t="b">
        <v>1</v>
      </c>
      <c r="H2046" s="44">
        <v>1460</v>
      </c>
    </row>
    <row r="2047" spans="1:8" x14ac:dyDescent="0.3">
      <c r="A2047" s="42" t="s">
        <v>1993</v>
      </c>
      <c r="B2047" s="3" t="s">
        <v>1994</v>
      </c>
      <c r="C2047" s="4">
        <f t="shared" ca="1" si="85"/>
        <v>45880</v>
      </c>
      <c r="D2047" s="42"/>
      <c r="E2047" s="3" t="s">
        <v>1101</v>
      </c>
      <c r="F2047" s="43" t="b">
        <v>0</v>
      </c>
      <c r="G2047" s="43" t="b">
        <v>0</v>
      </c>
      <c r="H2047" s="44">
        <v>1080</v>
      </c>
    </row>
    <row r="2048" spans="1:8" x14ac:dyDescent="0.3">
      <c r="A2048" s="42" t="s">
        <v>1298</v>
      </c>
      <c r="B2048" s="3" t="s">
        <v>1222</v>
      </c>
      <c r="C2048" s="4">
        <f t="shared" ca="1" si="85"/>
        <v>45880</v>
      </c>
      <c r="D2048" s="4">
        <f ca="1">TODAY()-129</f>
        <v>45908</v>
      </c>
      <c r="E2048" s="3" t="s">
        <v>1029</v>
      </c>
      <c r="F2048" s="43" t="b">
        <v>1</v>
      </c>
      <c r="G2048" s="43" t="b">
        <v>1</v>
      </c>
      <c r="H2048" s="44">
        <v>1700</v>
      </c>
    </row>
    <row r="2049" spans="1:8" x14ac:dyDescent="0.3">
      <c r="A2049" s="42" t="s">
        <v>1510</v>
      </c>
      <c r="B2049" s="3" t="s">
        <v>1511</v>
      </c>
      <c r="C2049" s="4">
        <f t="shared" ca="1" si="85"/>
        <v>45880</v>
      </c>
      <c r="D2049" s="42"/>
      <c r="E2049" s="3" t="s">
        <v>1037</v>
      </c>
      <c r="F2049" s="43" t="b">
        <v>0</v>
      </c>
      <c r="G2049" s="43" t="b">
        <v>0</v>
      </c>
      <c r="H2049" s="44">
        <v>2070</v>
      </c>
    </row>
    <row r="2050" spans="1:8" x14ac:dyDescent="0.3">
      <c r="A2050" s="42" t="s">
        <v>1830</v>
      </c>
      <c r="B2050" s="3" t="s">
        <v>1990</v>
      </c>
      <c r="C2050" s="4">
        <f t="shared" ca="1" si="85"/>
        <v>45880</v>
      </c>
      <c r="D2050" s="42"/>
      <c r="E2050" s="3" t="s">
        <v>1037</v>
      </c>
      <c r="F2050" s="43" t="b">
        <v>0</v>
      </c>
      <c r="G2050" s="43" t="b">
        <v>0</v>
      </c>
      <c r="H2050" s="44">
        <v>2310</v>
      </c>
    </row>
    <row r="2051" spans="1:8" x14ac:dyDescent="0.3">
      <c r="A2051" s="42" t="s">
        <v>1808</v>
      </c>
      <c r="B2051" s="3" t="s">
        <v>1973</v>
      </c>
      <c r="C2051" s="4">
        <f t="shared" ca="1" si="85"/>
        <v>45880</v>
      </c>
      <c r="D2051" s="4">
        <f ca="1">TODAY()-130</f>
        <v>45907</v>
      </c>
      <c r="E2051" s="3" t="s">
        <v>1029</v>
      </c>
      <c r="F2051" s="43" t="b">
        <v>1</v>
      </c>
      <c r="G2051" s="43" t="b">
        <v>1</v>
      </c>
      <c r="H2051" s="44">
        <v>390</v>
      </c>
    </row>
    <row r="2052" spans="1:8" x14ac:dyDescent="0.3">
      <c r="A2052" s="42" t="s">
        <v>1918</v>
      </c>
      <c r="B2052" s="3" t="s">
        <v>1927</v>
      </c>
      <c r="C2052" s="4">
        <f t="shared" ca="1" si="85"/>
        <v>45880</v>
      </c>
      <c r="D2052" s="4">
        <f ca="1">TODAY()-141</f>
        <v>45896</v>
      </c>
      <c r="E2052" s="3" t="s">
        <v>1029</v>
      </c>
      <c r="F2052" s="43" t="b">
        <v>1</v>
      </c>
      <c r="G2052" s="43" t="b">
        <v>1</v>
      </c>
      <c r="H2052" s="44">
        <v>680</v>
      </c>
    </row>
    <row r="2053" spans="1:8" x14ac:dyDescent="0.3">
      <c r="A2053" s="42" t="s">
        <v>1310</v>
      </c>
      <c r="B2053" s="3" t="s">
        <v>1311</v>
      </c>
      <c r="C2053" s="4">
        <f t="shared" ca="1" si="85"/>
        <v>45880</v>
      </c>
      <c r="D2053" s="4">
        <f ca="1">TODAY()-145</f>
        <v>45892</v>
      </c>
      <c r="E2053" s="3" t="s">
        <v>1029</v>
      </c>
      <c r="F2053" s="43" t="b">
        <v>1</v>
      </c>
      <c r="G2053" s="43" t="b">
        <v>1</v>
      </c>
      <c r="H2053" s="44">
        <v>2070</v>
      </c>
    </row>
    <row r="2054" spans="1:8" x14ac:dyDescent="0.3">
      <c r="A2054" s="42" t="s">
        <v>1510</v>
      </c>
      <c r="B2054" s="3" t="s">
        <v>1589</v>
      </c>
      <c r="C2054" s="4">
        <f t="shared" ca="1" si="85"/>
        <v>45880</v>
      </c>
      <c r="D2054" s="4">
        <f ca="1">TODAY()-129</f>
        <v>45908</v>
      </c>
      <c r="E2054" s="3" t="s">
        <v>1032</v>
      </c>
      <c r="F2054" s="43" t="b">
        <v>1</v>
      </c>
      <c r="G2054" s="43" t="b">
        <v>0</v>
      </c>
      <c r="H2054" s="44">
        <v>820</v>
      </c>
    </row>
    <row r="2055" spans="1:8" x14ac:dyDescent="0.3">
      <c r="A2055" s="42" t="s">
        <v>1151</v>
      </c>
      <c r="B2055" s="3" t="s">
        <v>1831</v>
      </c>
      <c r="C2055" s="4">
        <f t="shared" ca="1" si="85"/>
        <v>45880</v>
      </c>
      <c r="D2055" s="4">
        <f ca="1">TODAY()-147</f>
        <v>45890</v>
      </c>
      <c r="E2055" s="3" t="s">
        <v>1032</v>
      </c>
      <c r="F2055" s="43" t="b">
        <v>1</v>
      </c>
      <c r="G2055" s="43" t="b">
        <v>0</v>
      </c>
      <c r="H2055" s="44">
        <v>890</v>
      </c>
    </row>
    <row r="2056" spans="1:8" x14ac:dyDescent="0.3">
      <c r="A2056" s="42" t="s">
        <v>1030</v>
      </c>
      <c r="B2056" s="3" t="s">
        <v>1378</v>
      </c>
      <c r="C2056" s="4">
        <f t="shared" ca="1" si="85"/>
        <v>45880</v>
      </c>
      <c r="D2056" s="4">
        <f ca="1">TODAY()-144</f>
        <v>45893</v>
      </c>
      <c r="E2056" s="3" t="s">
        <v>1029</v>
      </c>
      <c r="F2056" s="43" t="b">
        <v>1</v>
      </c>
      <c r="G2056" s="43" t="b">
        <v>1</v>
      </c>
      <c r="H2056" s="44">
        <v>1260</v>
      </c>
    </row>
    <row r="2057" spans="1:8" x14ac:dyDescent="0.3">
      <c r="A2057" s="42" t="s">
        <v>1685</v>
      </c>
      <c r="B2057" s="3" t="s">
        <v>1686</v>
      </c>
      <c r="C2057" s="4">
        <f t="shared" ca="1" si="85"/>
        <v>45880</v>
      </c>
      <c r="D2057" s="4">
        <f t="shared" ref="D2057:D2058" ca="1" si="91">TODAY()-130</f>
        <v>45907</v>
      </c>
      <c r="E2057" s="3" t="s">
        <v>1032</v>
      </c>
      <c r="F2057" s="43" t="b">
        <v>1</v>
      </c>
      <c r="G2057" s="43" t="b">
        <v>0</v>
      </c>
      <c r="H2057" s="44">
        <v>1830</v>
      </c>
    </row>
    <row r="2058" spans="1:8" x14ac:dyDescent="0.3">
      <c r="A2058" s="42" t="s">
        <v>1763</v>
      </c>
      <c r="B2058" s="3" t="s">
        <v>1764</v>
      </c>
      <c r="C2058" s="4">
        <f t="shared" ca="1" si="85"/>
        <v>45880</v>
      </c>
      <c r="D2058" s="4">
        <f t="shared" ca="1" si="91"/>
        <v>45907</v>
      </c>
      <c r="E2058" s="3" t="s">
        <v>1029</v>
      </c>
      <c r="F2058" s="43" t="b">
        <v>1</v>
      </c>
      <c r="G2058" s="43" t="b">
        <v>1</v>
      </c>
      <c r="H2058" s="44">
        <v>2130</v>
      </c>
    </row>
    <row r="2059" spans="1:8" x14ac:dyDescent="0.3">
      <c r="A2059" s="42" t="s">
        <v>1494</v>
      </c>
      <c r="B2059" s="3" t="s">
        <v>1778</v>
      </c>
      <c r="C2059" s="4">
        <f t="shared" ca="1" si="85"/>
        <v>45880</v>
      </c>
      <c r="D2059" s="4">
        <f ca="1">TODAY()-147</f>
        <v>45890</v>
      </c>
      <c r="E2059" s="3" t="s">
        <v>1029</v>
      </c>
      <c r="F2059" s="43" t="b">
        <v>1</v>
      </c>
      <c r="G2059" s="43" t="b">
        <v>1</v>
      </c>
      <c r="H2059" s="44">
        <v>2700</v>
      </c>
    </row>
    <row r="2060" spans="1:8" x14ac:dyDescent="0.3">
      <c r="A2060" s="42" t="s">
        <v>1627</v>
      </c>
      <c r="B2060" s="3" t="s">
        <v>1796</v>
      </c>
      <c r="C2060" s="4">
        <f t="shared" ca="1" si="85"/>
        <v>45880</v>
      </c>
      <c r="D2060" s="42"/>
      <c r="E2060" s="3" t="s">
        <v>1037</v>
      </c>
      <c r="F2060" s="43" t="b">
        <v>0</v>
      </c>
      <c r="G2060" s="43" t="b">
        <v>0</v>
      </c>
      <c r="H2060" s="44">
        <v>2070</v>
      </c>
    </row>
    <row r="2061" spans="1:8" x14ac:dyDescent="0.3">
      <c r="A2061" s="42" t="s">
        <v>1104</v>
      </c>
      <c r="B2061" s="3" t="s">
        <v>1789</v>
      </c>
      <c r="C2061" s="4">
        <f t="shared" ca="1" si="85"/>
        <v>45880</v>
      </c>
      <c r="D2061" s="4">
        <f ca="1">TODAY()-140</f>
        <v>45897</v>
      </c>
      <c r="E2061" s="3" t="s">
        <v>1029</v>
      </c>
      <c r="F2061" s="43" t="b">
        <v>1</v>
      </c>
      <c r="G2061" s="43" t="b">
        <v>1</v>
      </c>
      <c r="H2061" s="44">
        <v>2170</v>
      </c>
    </row>
    <row r="2062" spans="1:8" x14ac:dyDescent="0.3">
      <c r="A2062" s="42" t="s">
        <v>1830</v>
      </c>
      <c r="B2062" s="3" t="s">
        <v>1475</v>
      </c>
      <c r="C2062" s="4">
        <f t="shared" ca="1" si="85"/>
        <v>45880</v>
      </c>
      <c r="D2062" s="4">
        <f ca="1">TODAY()-132</f>
        <v>45905</v>
      </c>
      <c r="E2062" s="3" t="s">
        <v>1029</v>
      </c>
      <c r="F2062" s="43" t="b">
        <v>1</v>
      </c>
      <c r="G2062" s="43" t="b">
        <v>1</v>
      </c>
      <c r="H2062" s="44">
        <v>1880</v>
      </c>
    </row>
    <row r="2063" spans="1:8" x14ac:dyDescent="0.3">
      <c r="A2063" s="42" t="s">
        <v>1667</v>
      </c>
      <c r="B2063" s="3" t="s">
        <v>1668</v>
      </c>
      <c r="C2063" s="4">
        <f t="shared" ca="1" si="85"/>
        <v>45880</v>
      </c>
      <c r="D2063" s="4">
        <f ca="1">TODAY()-138</f>
        <v>45899</v>
      </c>
      <c r="E2063" s="3" t="s">
        <v>1029</v>
      </c>
      <c r="F2063" s="43" t="b">
        <v>1</v>
      </c>
      <c r="G2063" s="43" t="b">
        <v>1</v>
      </c>
      <c r="H2063" s="44">
        <v>1360</v>
      </c>
    </row>
    <row r="2064" spans="1:8" x14ac:dyDescent="0.3">
      <c r="A2064" s="42" t="s">
        <v>1932</v>
      </c>
      <c r="B2064" s="3" t="s">
        <v>1933</v>
      </c>
      <c r="C2064" s="4">
        <f t="shared" ca="1" si="85"/>
        <v>45880</v>
      </c>
      <c r="D2064" s="4">
        <f ca="1">TODAY()-144</f>
        <v>45893</v>
      </c>
      <c r="E2064" s="3" t="s">
        <v>1029</v>
      </c>
      <c r="F2064" s="43" t="b">
        <v>1</v>
      </c>
      <c r="G2064" s="43" t="b">
        <v>1</v>
      </c>
      <c r="H2064" s="44">
        <v>510</v>
      </c>
    </row>
    <row r="2065" spans="1:8" x14ac:dyDescent="0.3">
      <c r="A2065" s="42" t="s">
        <v>1685</v>
      </c>
      <c r="B2065" s="3" t="s">
        <v>1995</v>
      </c>
      <c r="C2065" s="4">
        <f t="shared" ca="1" si="85"/>
        <v>45880</v>
      </c>
      <c r="D2065" s="4">
        <f ca="1">TODAY()-135</f>
        <v>45902</v>
      </c>
      <c r="E2065" s="3" t="s">
        <v>1032</v>
      </c>
      <c r="F2065" s="43" t="b">
        <v>1</v>
      </c>
      <c r="G2065" s="43" t="b">
        <v>0</v>
      </c>
      <c r="H2065" s="44">
        <v>650</v>
      </c>
    </row>
    <row r="2066" spans="1:8" x14ac:dyDescent="0.3">
      <c r="A2066" s="42" t="s">
        <v>1075</v>
      </c>
      <c r="B2066" s="3" t="s">
        <v>1425</v>
      </c>
      <c r="C2066" s="4">
        <f t="shared" ca="1" si="85"/>
        <v>45880</v>
      </c>
      <c r="D2066" s="4">
        <f ca="1">TODAY()-145</f>
        <v>45892</v>
      </c>
      <c r="E2066" s="3" t="s">
        <v>1029</v>
      </c>
      <c r="F2066" s="43" t="b">
        <v>1</v>
      </c>
      <c r="G2066" s="43" t="b">
        <v>1</v>
      </c>
      <c r="H2066" s="44">
        <v>2100</v>
      </c>
    </row>
    <row r="2067" spans="1:8" x14ac:dyDescent="0.3">
      <c r="A2067" s="42" t="s">
        <v>1266</v>
      </c>
      <c r="B2067" s="3" t="s">
        <v>1267</v>
      </c>
      <c r="C2067" s="4">
        <f t="shared" ca="1" si="85"/>
        <v>45880</v>
      </c>
      <c r="D2067" s="4">
        <f ca="1">TODAY()-141</f>
        <v>45896</v>
      </c>
      <c r="E2067" s="3" t="s">
        <v>1029</v>
      </c>
      <c r="F2067" s="43" t="b">
        <v>1</v>
      </c>
      <c r="G2067" s="43" t="b">
        <v>1</v>
      </c>
      <c r="H2067" s="44">
        <v>1110</v>
      </c>
    </row>
    <row r="2068" spans="1:8" x14ac:dyDescent="0.3">
      <c r="A2068" s="42" t="s">
        <v>1435</v>
      </c>
      <c r="B2068" s="3" t="s">
        <v>1436</v>
      </c>
      <c r="C2068" s="4">
        <f t="shared" ca="1" si="85"/>
        <v>45880</v>
      </c>
      <c r="D2068" s="42"/>
      <c r="E2068" s="3" t="s">
        <v>1108</v>
      </c>
      <c r="F2068" s="43" t="b">
        <v>0</v>
      </c>
      <c r="G2068" s="43" t="b">
        <v>0</v>
      </c>
      <c r="H2068" s="44">
        <v>190</v>
      </c>
    </row>
    <row r="2069" spans="1:8" x14ac:dyDescent="0.3">
      <c r="A2069" s="42" t="s">
        <v>1982</v>
      </c>
      <c r="B2069" s="3" t="s">
        <v>1983</v>
      </c>
      <c r="C2069" s="4">
        <f t="shared" ca="1" si="85"/>
        <v>45880</v>
      </c>
      <c r="D2069" s="4">
        <f ca="1">TODAY()-138</f>
        <v>45899</v>
      </c>
      <c r="E2069" s="3" t="s">
        <v>1032</v>
      </c>
      <c r="F2069" s="43" t="b">
        <v>1</v>
      </c>
      <c r="G2069" s="43" t="b">
        <v>0</v>
      </c>
      <c r="H2069" s="44">
        <v>1950</v>
      </c>
    </row>
    <row r="2070" spans="1:8" x14ac:dyDescent="0.3">
      <c r="A2070" s="42" t="s">
        <v>1256</v>
      </c>
      <c r="B2070" s="3" t="s">
        <v>1639</v>
      </c>
      <c r="C2070" s="4">
        <f t="shared" ca="1" si="85"/>
        <v>45880</v>
      </c>
      <c r="D2070" s="4">
        <f ca="1">TODAY()-141</f>
        <v>45896</v>
      </c>
      <c r="E2070" s="3" t="s">
        <v>1029</v>
      </c>
      <c r="F2070" s="43" t="b">
        <v>1</v>
      </c>
      <c r="G2070" s="43" t="b">
        <v>1</v>
      </c>
      <c r="H2070" s="44">
        <v>2000</v>
      </c>
    </row>
    <row r="2071" spans="1:8" x14ac:dyDescent="0.3">
      <c r="A2071" s="42" t="s">
        <v>1324</v>
      </c>
      <c r="B2071" s="3" t="s">
        <v>1325</v>
      </c>
      <c r="C2071" s="4">
        <f t="shared" ca="1" si="85"/>
        <v>45880</v>
      </c>
      <c r="D2071" s="42"/>
      <c r="E2071" s="3" t="s">
        <v>1070</v>
      </c>
      <c r="F2071" s="43" t="b">
        <v>0</v>
      </c>
      <c r="G2071" s="43" t="b">
        <v>0</v>
      </c>
      <c r="H2071" s="44">
        <v>250</v>
      </c>
    </row>
    <row r="2072" spans="1:8" x14ac:dyDescent="0.3">
      <c r="A2072" s="42" t="s">
        <v>1605</v>
      </c>
      <c r="B2072" s="3" t="s">
        <v>1963</v>
      </c>
      <c r="C2072" s="4">
        <f t="shared" ca="1" si="85"/>
        <v>45880</v>
      </c>
      <c r="D2072" s="4">
        <f ca="1">TODAY()-137</f>
        <v>45900</v>
      </c>
      <c r="E2072" s="3" t="s">
        <v>1029</v>
      </c>
      <c r="F2072" s="43" t="b">
        <v>1</v>
      </c>
      <c r="G2072" s="43" t="b">
        <v>1</v>
      </c>
      <c r="H2072" s="44">
        <v>1430</v>
      </c>
    </row>
    <row r="2073" spans="1:8" x14ac:dyDescent="0.3">
      <c r="A2073" s="42" t="s">
        <v>1876</v>
      </c>
      <c r="B2073" s="3" t="s">
        <v>1877</v>
      </c>
      <c r="C2073" s="4">
        <f t="shared" ca="1" si="85"/>
        <v>45880</v>
      </c>
      <c r="D2073" s="4">
        <f ca="1">TODAY()-132</f>
        <v>45905</v>
      </c>
      <c r="E2073" s="3" t="s">
        <v>1029</v>
      </c>
      <c r="F2073" s="43" t="b">
        <v>1</v>
      </c>
      <c r="G2073" s="43" t="b">
        <v>1</v>
      </c>
      <c r="H2073" s="44">
        <v>310</v>
      </c>
    </row>
    <row r="2074" spans="1:8" x14ac:dyDescent="0.3">
      <c r="A2074" s="42" t="s">
        <v>1640</v>
      </c>
      <c r="B2074" s="3" t="s">
        <v>1641</v>
      </c>
      <c r="C2074" s="4">
        <f t="shared" ca="1" si="85"/>
        <v>45880</v>
      </c>
      <c r="D2074" s="4">
        <f ca="1">TODAY()-137</f>
        <v>45900</v>
      </c>
      <c r="E2074" s="3" t="s">
        <v>1029</v>
      </c>
      <c r="F2074" s="43" t="b">
        <v>1</v>
      </c>
      <c r="G2074" s="43" t="b">
        <v>1</v>
      </c>
      <c r="H2074" s="44">
        <v>5250</v>
      </c>
    </row>
    <row r="2075" spans="1:8" x14ac:dyDescent="0.3">
      <c r="A2075" s="42" t="s">
        <v>1594</v>
      </c>
      <c r="B2075" s="3" t="s">
        <v>1976</v>
      </c>
      <c r="C2075" s="4">
        <f t="shared" ca="1" si="85"/>
        <v>45880</v>
      </c>
      <c r="D2075" s="4">
        <f ca="1">TODAY()-127</f>
        <v>45910</v>
      </c>
      <c r="E2075" s="3" t="s">
        <v>1032</v>
      </c>
      <c r="F2075" s="43" t="b">
        <v>1</v>
      </c>
      <c r="G2075" s="43" t="b">
        <v>0</v>
      </c>
      <c r="H2075" s="44">
        <v>1850</v>
      </c>
    </row>
    <row r="2076" spans="1:8" x14ac:dyDescent="0.3">
      <c r="A2076" s="42" t="s">
        <v>1595</v>
      </c>
      <c r="B2076" s="3" t="s">
        <v>1769</v>
      </c>
      <c r="C2076" s="4">
        <f t="shared" ref="C2076:C2202" ca="1" si="92">TODAY()-127</f>
        <v>45910</v>
      </c>
      <c r="D2076" s="4">
        <f ca="1">TODAY()-98</f>
        <v>45939</v>
      </c>
      <c r="E2076" s="3" t="s">
        <v>1029</v>
      </c>
      <c r="F2076" s="43" t="b">
        <v>1</v>
      </c>
      <c r="G2076" s="43" t="b">
        <v>1</v>
      </c>
      <c r="H2076" s="44">
        <v>1770</v>
      </c>
    </row>
    <row r="2077" spans="1:8" x14ac:dyDescent="0.3">
      <c r="A2077" s="42" t="s">
        <v>1982</v>
      </c>
      <c r="B2077" s="3" t="s">
        <v>1983</v>
      </c>
      <c r="C2077" s="4">
        <f t="shared" ca="1" si="92"/>
        <v>45910</v>
      </c>
      <c r="D2077" s="4">
        <f ca="1">TODAY()-101</f>
        <v>45936</v>
      </c>
      <c r="E2077" s="3" t="s">
        <v>1032</v>
      </c>
      <c r="F2077" s="43" t="b">
        <v>1</v>
      </c>
      <c r="G2077" s="43" t="b">
        <v>0</v>
      </c>
      <c r="H2077" s="44">
        <v>1950</v>
      </c>
    </row>
    <row r="2078" spans="1:8" x14ac:dyDescent="0.3">
      <c r="A2078" s="42" t="s">
        <v>1599</v>
      </c>
      <c r="B2078" s="3" t="s">
        <v>1600</v>
      </c>
      <c r="C2078" s="4">
        <f t="shared" ca="1" si="92"/>
        <v>45910</v>
      </c>
      <c r="D2078" s="42"/>
      <c r="E2078" s="3" t="s">
        <v>1037</v>
      </c>
      <c r="F2078" s="43" t="b">
        <v>0</v>
      </c>
      <c r="G2078" s="43" t="b">
        <v>0</v>
      </c>
      <c r="H2078" s="44">
        <v>170</v>
      </c>
    </row>
    <row r="2079" spans="1:8" x14ac:dyDescent="0.3">
      <c r="A2079" s="42" t="s">
        <v>1941</v>
      </c>
      <c r="B2079" s="3" t="s">
        <v>1978</v>
      </c>
      <c r="C2079" s="4">
        <f t="shared" ca="1" si="92"/>
        <v>45910</v>
      </c>
      <c r="D2079" s="4">
        <f t="shared" ref="D2079:D2080" ca="1" si="93">TODAY()-105</f>
        <v>45932</v>
      </c>
      <c r="E2079" s="3" t="s">
        <v>1032</v>
      </c>
      <c r="F2079" s="43" t="b">
        <v>1</v>
      </c>
      <c r="G2079" s="43" t="b">
        <v>0</v>
      </c>
      <c r="H2079" s="44">
        <v>720</v>
      </c>
    </row>
    <row r="2080" spans="1:8" x14ac:dyDescent="0.3">
      <c r="A2080" s="42" t="s">
        <v>1123</v>
      </c>
      <c r="B2080" s="3" t="s">
        <v>1260</v>
      </c>
      <c r="C2080" s="4">
        <f t="shared" ca="1" si="92"/>
        <v>45910</v>
      </c>
      <c r="D2080" s="4">
        <f t="shared" ca="1" si="93"/>
        <v>45932</v>
      </c>
      <c r="E2080" s="3" t="s">
        <v>1029</v>
      </c>
      <c r="F2080" s="43" t="b">
        <v>1</v>
      </c>
      <c r="G2080" s="43" t="b">
        <v>1</v>
      </c>
      <c r="H2080" s="44">
        <v>630</v>
      </c>
    </row>
    <row r="2081" spans="1:8" x14ac:dyDescent="0.3">
      <c r="A2081" s="42" t="s">
        <v>1254</v>
      </c>
      <c r="B2081" s="3" t="s">
        <v>1255</v>
      </c>
      <c r="C2081" s="4">
        <f t="shared" ca="1" si="92"/>
        <v>45910</v>
      </c>
      <c r="D2081" s="4">
        <f ca="1">TODAY()-101</f>
        <v>45936</v>
      </c>
      <c r="E2081" s="3" t="s">
        <v>1029</v>
      </c>
      <c r="F2081" s="43" t="b">
        <v>1</v>
      </c>
      <c r="G2081" s="43" t="b">
        <v>1</v>
      </c>
      <c r="H2081" s="44">
        <v>1210</v>
      </c>
    </row>
    <row r="2082" spans="1:8" x14ac:dyDescent="0.3">
      <c r="A2082" s="42" t="s">
        <v>1125</v>
      </c>
      <c r="B2082" s="3" t="s">
        <v>1126</v>
      </c>
      <c r="C2082" s="4">
        <f t="shared" ca="1" si="92"/>
        <v>45910</v>
      </c>
      <c r="D2082" s="4">
        <f ca="1">TODAY()-104</f>
        <v>45933</v>
      </c>
      <c r="E2082" s="3" t="s">
        <v>1029</v>
      </c>
      <c r="F2082" s="43" t="b">
        <v>1</v>
      </c>
      <c r="G2082" s="43" t="b">
        <v>1</v>
      </c>
      <c r="H2082" s="44">
        <v>1840</v>
      </c>
    </row>
    <row r="2083" spans="1:8" x14ac:dyDescent="0.3">
      <c r="A2083" s="42" t="s">
        <v>1637</v>
      </c>
      <c r="B2083" s="3" t="s">
        <v>1638</v>
      </c>
      <c r="C2083" s="4">
        <f t="shared" ca="1" si="92"/>
        <v>45910</v>
      </c>
      <c r="D2083" s="42"/>
      <c r="E2083" s="3" t="s">
        <v>1103</v>
      </c>
      <c r="F2083" s="43" t="b">
        <v>0</v>
      </c>
      <c r="G2083" s="43" t="b">
        <v>0</v>
      </c>
      <c r="H2083" s="44">
        <v>520</v>
      </c>
    </row>
    <row r="2084" spans="1:8" x14ac:dyDescent="0.3">
      <c r="A2084" s="42" t="s">
        <v>1737</v>
      </c>
      <c r="B2084" s="3" t="s">
        <v>1738</v>
      </c>
      <c r="C2084" s="4">
        <f t="shared" ca="1" si="92"/>
        <v>45910</v>
      </c>
      <c r="D2084" s="4">
        <f ca="1">TODAY()-107</f>
        <v>45930</v>
      </c>
      <c r="E2084" s="3" t="s">
        <v>1029</v>
      </c>
      <c r="F2084" s="43" t="b">
        <v>1</v>
      </c>
      <c r="G2084" s="43" t="b">
        <v>1</v>
      </c>
      <c r="H2084" s="44">
        <v>2210</v>
      </c>
    </row>
    <row r="2085" spans="1:8" x14ac:dyDescent="0.3">
      <c r="A2085" s="42" t="s">
        <v>1835</v>
      </c>
      <c r="B2085" s="3" t="s">
        <v>1836</v>
      </c>
      <c r="C2085" s="4">
        <f t="shared" ca="1" si="92"/>
        <v>45910</v>
      </c>
      <c r="D2085" s="4">
        <f ca="1">TODAY()-106</f>
        <v>45931</v>
      </c>
      <c r="E2085" s="3" t="s">
        <v>1029</v>
      </c>
      <c r="F2085" s="43" t="b">
        <v>1</v>
      </c>
      <c r="G2085" s="43" t="b">
        <v>1</v>
      </c>
      <c r="H2085" s="44">
        <v>1450</v>
      </c>
    </row>
    <row r="2086" spans="1:8" x14ac:dyDescent="0.3">
      <c r="A2086" s="42" t="s">
        <v>1281</v>
      </c>
      <c r="B2086" s="3" t="s">
        <v>1114</v>
      </c>
      <c r="C2086" s="4">
        <f t="shared" ca="1" si="92"/>
        <v>45910</v>
      </c>
      <c r="D2086" s="4">
        <f ca="1">TODAY()-114</f>
        <v>45923</v>
      </c>
      <c r="E2086" s="3" t="s">
        <v>1029</v>
      </c>
      <c r="F2086" s="43" t="b">
        <v>1</v>
      </c>
      <c r="G2086" s="43" t="b">
        <v>1</v>
      </c>
      <c r="H2086" s="44">
        <v>4710</v>
      </c>
    </row>
    <row r="2087" spans="1:8" x14ac:dyDescent="0.3">
      <c r="A2087" s="42" t="s">
        <v>1263</v>
      </c>
      <c r="B2087" s="3" t="s">
        <v>1629</v>
      </c>
      <c r="C2087" s="4">
        <f t="shared" ca="1" si="92"/>
        <v>45910</v>
      </c>
      <c r="D2087" s="42"/>
      <c r="E2087" s="3" t="s">
        <v>1103</v>
      </c>
      <c r="F2087" s="43" t="b">
        <v>0</v>
      </c>
      <c r="G2087" s="43" t="b">
        <v>0</v>
      </c>
      <c r="H2087" s="44">
        <v>960</v>
      </c>
    </row>
    <row r="2088" spans="1:8" x14ac:dyDescent="0.3">
      <c r="A2088" s="42" t="s">
        <v>1308</v>
      </c>
      <c r="B2088" s="3" t="s">
        <v>1309</v>
      </c>
      <c r="C2088" s="4">
        <f t="shared" ca="1" si="92"/>
        <v>45910</v>
      </c>
      <c r="D2088" s="4">
        <f ca="1">TODAY()-101</f>
        <v>45936</v>
      </c>
      <c r="E2088" s="3" t="s">
        <v>1029</v>
      </c>
      <c r="F2088" s="43" t="b">
        <v>1</v>
      </c>
      <c r="G2088" s="43" t="b">
        <v>1</v>
      </c>
      <c r="H2088" s="44">
        <v>1840</v>
      </c>
    </row>
    <row r="2089" spans="1:8" x14ac:dyDescent="0.3">
      <c r="A2089" s="42" t="s">
        <v>1161</v>
      </c>
      <c r="B2089" s="3" t="s">
        <v>1162</v>
      </c>
      <c r="C2089" s="4">
        <f t="shared" ca="1" si="92"/>
        <v>45910</v>
      </c>
      <c r="D2089" s="4">
        <f ca="1">TODAY()-114</f>
        <v>45923</v>
      </c>
      <c r="E2089" s="3" t="s">
        <v>1029</v>
      </c>
      <c r="F2089" s="43" t="b">
        <v>1</v>
      </c>
      <c r="G2089" s="43" t="b">
        <v>1</v>
      </c>
      <c r="H2089" s="44">
        <v>4090</v>
      </c>
    </row>
    <row r="2090" spans="1:8" x14ac:dyDescent="0.3">
      <c r="A2090" s="42" t="s">
        <v>1937</v>
      </c>
      <c r="B2090" s="3" t="s">
        <v>1938</v>
      </c>
      <c r="C2090" s="4">
        <f t="shared" ca="1" si="92"/>
        <v>45910</v>
      </c>
      <c r="D2090" s="42"/>
      <c r="E2090" s="3" t="s">
        <v>1108</v>
      </c>
      <c r="F2090" s="43" t="b">
        <v>0</v>
      </c>
      <c r="G2090" s="43" t="b">
        <v>0</v>
      </c>
      <c r="H2090" s="44">
        <v>2500</v>
      </c>
    </row>
    <row r="2091" spans="1:8" x14ac:dyDescent="0.3">
      <c r="A2091" s="42" t="s">
        <v>1503</v>
      </c>
      <c r="B2091" s="3" t="s">
        <v>1684</v>
      </c>
      <c r="C2091" s="4">
        <f t="shared" ca="1" si="92"/>
        <v>45910</v>
      </c>
      <c r="D2091" s="4">
        <f ca="1">TODAY()-112</f>
        <v>45925</v>
      </c>
      <c r="E2091" s="3" t="s">
        <v>1032</v>
      </c>
      <c r="F2091" s="43" t="b">
        <v>1</v>
      </c>
      <c r="G2091" s="43" t="b">
        <v>0</v>
      </c>
      <c r="H2091" s="44">
        <v>1470</v>
      </c>
    </row>
    <row r="2092" spans="1:8" x14ac:dyDescent="0.3">
      <c r="A2092" s="42" t="s">
        <v>1765</v>
      </c>
      <c r="B2092" s="3" t="s">
        <v>1766</v>
      </c>
      <c r="C2092" s="4">
        <f t="shared" ca="1" si="92"/>
        <v>45910</v>
      </c>
      <c r="D2092" s="42"/>
      <c r="E2092" s="3" t="s">
        <v>1103</v>
      </c>
      <c r="F2092" s="43" t="b">
        <v>0</v>
      </c>
      <c r="G2092" s="43" t="b">
        <v>0</v>
      </c>
      <c r="H2092" s="44">
        <v>1790</v>
      </c>
    </row>
    <row r="2093" spans="1:8" x14ac:dyDescent="0.3">
      <c r="A2093" s="42" t="s">
        <v>1541</v>
      </c>
      <c r="B2093" s="3" t="s">
        <v>1905</v>
      </c>
      <c r="C2093" s="4">
        <f t="shared" ca="1" si="92"/>
        <v>45910</v>
      </c>
      <c r="D2093" s="42"/>
      <c r="E2093" s="3" t="s">
        <v>1077</v>
      </c>
      <c r="F2093" s="43" t="b">
        <v>0</v>
      </c>
      <c r="G2093" s="43" t="b">
        <v>0</v>
      </c>
      <c r="H2093" s="44">
        <v>550</v>
      </c>
    </row>
    <row r="2094" spans="1:8" x14ac:dyDescent="0.3">
      <c r="A2094" s="42" t="s">
        <v>1153</v>
      </c>
      <c r="B2094" s="3" t="s">
        <v>1665</v>
      </c>
      <c r="C2094" s="4">
        <f t="shared" ca="1" si="92"/>
        <v>45910</v>
      </c>
      <c r="D2094" s="4">
        <f ca="1">TODAY()-114</f>
        <v>45923</v>
      </c>
      <c r="E2094" s="3" t="s">
        <v>1029</v>
      </c>
      <c r="F2094" s="43" t="b">
        <v>1</v>
      </c>
      <c r="G2094" s="43" t="b">
        <v>1</v>
      </c>
      <c r="H2094" s="44">
        <v>750</v>
      </c>
    </row>
    <row r="2095" spans="1:8" x14ac:dyDescent="0.3">
      <c r="A2095" s="42" t="s">
        <v>1403</v>
      </c>
      <c r="B2095" s="3" t="s">
        <v>1678</v>
      </c>
      <c r="C2095" s="4">
        <f t="shared" ca="1" si="92"/>
        <v>45910</v>
      </c>
      <c r="D2095" s="4">
        <f ca="1">TODAY()-115</f>
        <v>45922</v>
      </c>
      <c r="E2095" s="3" t="s">
        <v>1029</v>
      </c>
      <c r="F2095" s="43" t="b">
        <v>1</v>
      </c>
      <c r="G2095" s="43" t="b">
        <v>1</v>
      </c>
      <c r="H2095" s="44">
        <v>1220</v>
      </c>
    </row>
    <row r="2096" spans="1:8" x14ac:dyDescent="0.3">
      <c r="A2096" s="42" t="s">
        <v>1368</v>
      </c>
      <c r="B2096" s="3" t="s">
        <v>1369</v>
      </c>
      <c r="C2096" s="4">
        <f t="shared" ca="1" si="92"/>
        <v>45910</v>
      </c>
      <c r="D2096" s="42"/>
      <c r="E2096" s="3" t="s">
        <v>1070</v>
      </c>
      <c r="F2096" s="43" t="b">
        <v>0</v>
      </c>
      <c r="G2096" s="43" t="b">
        <v>0</v>
      </c>
      <c r="H2096" s="44">
        <v>530</v>
      </c>
    </row>
    <row r="2097" spans="1:8" x14ac:dyDescent="0.3">
      <c r="A2097" s="42" t="s">
        <v>1089</v>
      </c>
      <c r="B2097" s="3" t="s">
        <v>1222</v>
      </c>
      <c r="C2097" s="4">
        <f t="shared" ca="1" si="92"/>
        <v>45910</v>
      </c>
      <c r="D2097" s="42"/>
      <c r="E2097" s="3" t="s">
        <v>1103</v>
      </c>
      <c r="F2097" s="43" t="b">
        <v>0</v>
      </c>
      <c r="G2097" s="43" t="b">
        <v>0</v>
      </c>
      <c r="H2097" s="44">
        <v>1440</v>
      </c>
    </row>
    <row r="2098" spans="1:8" x14ac:dyDescent="0.3">
      <c r="A2098" s="42" t="s">
        <v>1689</v>
      </c>
      <c r="B2098" s="3" t="s">
        <v>1690</v>
      </c>
      <c r="C2098" s="4">
        <f t="shared" ca="1" si="92"/>
        <v>45910</v>
      </c>
      <c r="D2098" s="42"/>
      <c r="E2098" s="3" t="s">
        <v>1108</v>
      </c>
      <c r="F2098" s="43" t="b">
        <v>0</v>
      </c>
      <c r="G2098" s="43" t="b">
        <v>0</v>
      </c>
      <c r="H2098" s="44">
        <v>1800</v>
      </c>
    </row>
    <row r="2099" spans="1:8" x14ac:dyDescent="0.3">
      <c r="A2099" s="42" t="s">
        <v>1085</v>
      </c>
      <c r="B2099" s="3" t="s">
        <v>1992</v>
      </c>
      <c r="C2099" s="4">
        <f t="shared" ca="1" si="92"/>
        <v>45910</v>
      </c>
      <c r="D2099" s="4">
        <f ca="1">TODAY()-103</f>
        <v>45934</v>
      </c>
      <c r="E2099" s="3" t="s">
        <v>1029</v>
      </c>
      <c r="F2099" s="43" t="b">
        <v>1</v>
      </c>
      <c r="G2099" s="43" t="b">
        <v>1</v>
      </c>
      <c r="H2099" s="44">
        <v>2030</v>
      </c>
    </row>
    <row r="2100" spans="1:8" x14ac:dyDescent="0.3">
      <c r="A2100" s="42" t="s">
        <v>1048</v>
      </c>
      <c r="B2100" s="3" t="s">
        <v>1540</v>
      </c>
      <c r="C2100" s="4">
        <f t="shared" ca="1" si="92"/>
        <v>45910</v>
      </c>
      <c r="D2100" s="4">
        <f ca="1">TODAY()-106</f>
        <v>45931</v>
      </c>
      <c r="E2100" s="3" t="s">
        <v>1029</v>
      </c>
      <c r="F2100" s="43" t="b">
        <v>1</v>
      </c>
      <c r="G2100" s="43" t="b">
        <v>1</v>
      </c>
      <c r="H2100" s="44">
        <v>1470</v>
      </c>
    </row>
    <row r="2101" spans="1:8" x14ac:dyDescent="0.3">
      <c r="A2101" s="42" t="s">
        <v>1245</v>
      </c>
      <c r="B2101" s="3" t="s">
        <v>1275</v>
      </c>
      <c r="C2101" s="4">
        <f t="shared" ca="1" si="92"/>
        <v>45910</v>
      </c>
      <c r="D2101" s="4">
        <f ca="1">TODAY()-100</f>
        <v>45937</v>
      </c>
      <c r="E2101" s="3" t="s">
        <v>1029</v>
      </c>
      <c r="F2101" s="43" t="b">
        <v>1</v>
      </c>
      <c r="G2101" s="43" t="b">
        <v>1</v>
      </c>
      <c r="H2101" s="44">
        <v>1500</v>
      </c>
    </row>
    <row r="2102" spans="1:8" x14ac:dyDescent="0.3">
      <c r="A2102" s="42" t="s">
        <v>1960</v>
      </c>
      <c r="B2102" s="3" t="s">
        <v>1961</v>
      </c>
      <c r="C2102" s="4">
        <f t="shared" ca="1" si="92"/>
        <v>45910</v>
      </c>
      <c r="D2102" s="4">
        <f ca="1">TODAY()-109</f>
        <v>45928</v>
      </c>
      <c r="E2102" s="3" t="s">
        <v>1032</v>
      </c>
      <c r="F2102" s="43" t="b">
        <v>1</v>
      </c>
      <c r="G2102" s="43" t="b">
        <v>0</v>
      </c>
      <c r="H2102" s="44">
        <v>980</v>
      </c>
    </row>
    <row r="2103" spans="1:8" x14ac:dyDescent="0.3">
      <c r="A2103" s="42" t="s">
        <v>1091</v>
      </c>
      <c r="B2103" s="3" t="s">
        <v>1092</v>
      </c>
      <c r="C2103" s="4">
        <f t="shared" ca="1" si="92"/>
        <v>45910</v>
      </c>
      <c r="D2103" s="4">
        <f ca="1">TODAY()-115</f>
        <v>45922</v>
      </c>
      <c r="E2103" s="3" t="s">
        <v>1032</v>
      </c>
      <c r="F2103" s="43" t="b">
        <v>1</v>
      </c>
      <c r="G2103" s="43" t="b">
        <v>0</v>
      </c>
      <c r="H2103" s="44">
        <v>580</v>
      </c>
    </row>
    <row r="2104" spans="1:8" x14ac:dyDescent="0.3">
      <c r="A2104" s="42" t="s">
        <v>1626</v>
      </c>
      <c r="B2104" s="3" t="s">
        <v>1874</v>
      </c>
      <c r="C2104" s="4">
        <f t="shared" ca="1" si="92"/>
        <v>45910</v>
      </c>
      <c r="D2104" s="4">
        <f ca="1">TODAY()-112</f>
        <v>45925</v>
      </c>
      <c r="E2104" s="3" t="s">
        <v>1029</v>
      </c>
      <c r="F2104" s="43" t="b">
        <v>1</v>
      </c>
      <c r="G2104" s="43" t="b">
        <v>1</v>
      </c>
      <c r="H2104" s="44">
        <v>1660</v>
      </c>
    </row>
    <row r="2105" spans="1:8" x14ac:dyDescent="0.3">
      <c r="A2105" s="42" t="s">
        <v>1296</v>
      </c>
      <c r="B2105" s="3" t="s">
        <v>1297</v>
      </c>
      <c r="C2105" s="4">
        <f t="shared" ca="1" si="92"/>
        <v>45910</v>
      </c>
      <c r="D2105" s="4">
        <f ca="1">TODAY()-104</f>
        <v>45933</v>
      </c>
      <c r="E2105" s="3" t="s">
        <v>1029</v>
      </c>
      <c r="F2105" s="43" t="b">
        <v>1</v>
      </c>
      <c r="G2105" s="43" t="b">
        <v>1</v>
      </c>
      <c r="H2105" s="44">
        <v>530</v>
      </c>
    </row>
    <row r="2106" spans="1:8" x14ac:dyDescent="0.3">
      <c r="A2106" s="42" t="s">
        <v>1376</v>
      </c>
      <c r="B2106" s="3" t="s">
        <v>1377</v>
      </c>
      <c r="C2106" s="4">
        <f t="shared" ca="1" si="92"/>
        <v>45910</v>
      </c>
      <c r="D2106" s="42"/>
      <c r="E2106" s="3" t="s">
        <v>1037</v>
      </c>
      <c r="F2106" s="43" t="b">
        <v>0</v>
      </c>
      <c r="G2106" s="43" t="b">
        <v>0</v>
      </c>
      <c r="H2106" s="44">
        <v>1600</v>
      </c>
    </row>
    <row r="2107" spans="1:8" x14ac:dyDescent="0.3">
      <c r="A2107" s="42" t="s">
        <v>1872</v>
      </c>
      <c r="B2107" s="3" t="s">
        <v>1873</v>
      </c>
      <c r="C2107" s="4">
        <f t="shared" ca="1" si="92"/>
        <v>45910</v>
      </c>
      <c r="D2107" s="4">
        <f ca="1">TODAY()-100</f>
        <v>45937</v>
      </c>
      <c r="E2107" s="3" t="s">
        <v>1029</v>
      </c>
      <c r="F2107" s="43" t="b">
        <v>1</v>
      </c>
      <c r="G2107" s="43" t="b">
        <v>1</v>
      </c>
      <c r="H2107" s="44">
        <v>2070</v>
      </c>
    </row>
    <row r="2108" spans="1:8" x14ac:dyDescent="0.3">
      <c r="A2108" s="42" t="s">
        <v>1943</v>
      </c>
      <c r="B2108" s="3" t="s">
        <v>1944</v>
      </c>
      <c r="C2108" s="4">
        <f t="shared" ca="1" si="92"/>
        <v>45910</v>
      </c>
      <c r="D2108" s="4">
        <f ca="1">TODAY()-108</f>
        <v>45929</v>
      </c>
      <c r="E2108" s="3" t="s">
        <v>1029</v>
      </c>
      <c r="F2108" s="43" t="b">
        <v>1</v>
      </c>
      <c r="G2108" s="43" t="b">
        <v>1</v>
      </c>
      <c r="H2108" s="44">
        <v>110</v>
      </c>
    </row>
    <row r="2109" spans="1:8" x14ac:dyDescent="0.3">
      <c r="A2109" s="42" t="s">
        <v>1451</v>
      </c>
      <c r="B2109" s="3" t="s">
        <v>1750</v>
      </c>
      <c r="C2109" s="4">
        <f t="shared" ca="1" si="92"/>
        <v>45910</v>
      </c>
      <c r="D2109" s="4">
        <f ca="1">TODAY()-111</f>
        <v>45926</v>
      </c>
      <c r="E2109" s="3" t="s">
        <v>1032</v>
      </c>
      <c r="F2109" s="43" t="b">
        <v>1</v>
      </c>
      <c r="G2109" s="43" t="b">
        <v>0</v>
      </c>
      <c r="H2109" s="44">
        <v>1140</v>
      </c>
    </row>
    <row r="2110" spans="1:8" x14ac:dyDescent="0.3">
      <c r="A2110" s="42" t="s">
        <v>1640</v>
      </c>
      <c r="B2110" s="3" t="s">
        <v>1745</v>
      </c>
      <c r="C2110" s="4">
        <f t="shared" ca="1" si="92"/>
        <v>45910</v>
      </c>
      <c r="D2110" s="42"/>
      <c r="E2110" s="3" t="s">
        <v>1037</v>
      </c>
      <c r="F2110" s="43" t="b">
        <v>0</v>
      </c>
      <c r="G2110" s="43" t="b">
        <v>0</v>
      </c>
      <c r="H2110" s="44">
        <v>1490</v>
      </c>
    </row>
    <row r="2111" spans="1:8" x14ac:dyDescent="0.3">
      <c r="A2111" s="42" t="s">
        <v>1374</v>
      </c>
      <c r="B2111" s="3" t="s">
        <v>1959</v>
      </c>
      <c r="C2111" s="4">
        <f t="shared" ca="1" si="92"/>
        <v>45910</v>
      </c>
      <c r="D2111" s="4">
        <f ca="1">TODAY()-106</f>
        <v>45931</v>
      </c>
      <c r="E2111" s="3" t="s">
        <v>1029</v>
      </c>
      <c r="F2111" s="43" t="b">
        <v>1</v>
      </c>
      <c r="G2111" s="43" t="b">
        <v>1</v>
      </c>
      <c r="H2111" s="44">
        <v>240</v>
      </c>
    </row>
    <row r="2112" spans="1:8" x14ac:dyDescent="0.3">
      <c r="A2112" s="42" t="s">
        <v>1181</v>
      </c>
      <c r="B2112" s="3" t="s">
        <v>1731</v>
      </c>
      <c r="C2112" s="4">
        <f t="shared" ca="1" si="92"/>
        <v>45910</v>
      </c>
      <c r="D2112" s="4">
        <f ca="1">TODAY()-97</f>
        <v>45940</v>
      </c>
      <c r="E2112" s="3" t="s">
        <v>1029</v>
      </c>
      <c r="F2112" s="43" t="b">
        <v>1</v>
      </c>
      <c r="G2112" s="43" t="b">
        <v>1</v>
      </c>
      <c r="H2112" s="44">
        <v>470</v>
      </c>
    </row>
    <row r="2113" spans="1:8" x14ac:dyDescent="0.3">
      <c r="A2113" s="42" t="s">
        <v>1366</v>
      </c>
      <c r="B2113" s="3" t="s">
        <v>1367</v>
      </c>
      <c r="C2113" s="4">
        <f t="shared" ca="1" si="92"/>
        <v>45910</v>
      </c>
      <c r="D2113" s="42"/>
      <c r="E2113" s="3" t="s">
        <v>1037</v>
      </c>
      <c r="F2113" s="43" t="b">
        <v>0</v>
      </c>
      <c r="G2113" s="43" t="b">
        <v>0</v>
      </c>
      <c r="H2113" s="44">
        <v>2450</v>
      </c>
    </row>
    <row r="2114" spans="1:8" x14ac:dyDescent="0.3">
      <c r="A2114" s="42" t="s">
        <v>1960</v>
      </c>
      <c r="B2114" s="3" t="s">
        <v>1961</v>
      </c>
      <c r="C2114" s="4">
        <f t="shared" ca="1" si="92"/>
        <v>45910</v>
      </c>
      <c r="D2114" s="4">
        <f t="shared" ref="D2114:D2115" ca="1" si="94">TODAY()-115</f>
        <v>45922</v>
      </c>
      <c r="E2114" s="3" t="s">
        <v>1032</v>
      </c>
      <c r="F2114" s="43" t="b">
        <v>1</v>
      </c>
      <c r="G2114" s="43" t="b">
        <v>0</v>
      </c>
      <c r="H2114" s="44">
        <v>980</v>
      </c>
    </row>
    <row r="2115" spans="1:8" x14ac:dyDescent="0.3">
      <c r="A2115" s="42" t="s">
        <v>1173</v>
      </c>
      <c r="B2115" s="3" t="s">
        <v>1174</v>
      </c>
      <c r="C2115" s="4">
        <f t="shared" ca="1" si="92"/>
        <v>45910</v>
      </c>
      <c r="D2115" s="4">
        <f t="shared" ca="1" si="94"/>
        <v>45922</v>
      </c>
      <c r="E2115" s="3" t="s">
        <v>1032</v>
      </c>
      <c r="F2115" s="43" t="b">
        <v>1</v>
      </c>
      <c r="G2115" s="43" t="b">
        <v>0</v>
      </c>
      <c r="H2115" s="44">
        <v>640</v>
      </c>
    </row>
    <row r="2116" spans="1:8" x14ac:dyDescent="0.3">
      <c r="A2116" s="42" t="s">
        <v>1458</v>
      </c>
      <c r="B2116" s="3" t="s">
        <v>1459</v>
      </c>
      <c r="C2116" s="4">
        <f t="shared" ca="1" si="92"/>
        <v>45910</v>
      </c>
      <c r="D2116" s="42"/>
      <c r="E2116" s="3" t="s">
        <v>1108</v>
      </c>
      <c r="F2116" s="43" t="b">
        <v>0</v>
      </c>
      <c r="G2116" s="43" t="b">
        <v>0</v>
      </c>
      <c r="H2116" s="44">
        <v>1570</v>
      </c>
    </row>
    <row r="2117" spans="1:8" x14ac:dyDescent="0.3">
      <c r="A2117" s="42" t="s">
        <v>1266</v>
      </c>
      <c r="B2117" s="3" t="s">
        <v>1316</v>
      </c>
      <c r="C2117" s="4">
        <f t="shared" ca="1" si="92"/>
        <v>45910</v>
      </c>
      <c r="D2117" s="42"/>
      <c r="E2117" s="3" t="s">
        <v>1037</v>
      </c>
      <c r="F2117" s="43" t="b">
        <v>0</v>
      </c>
      <c r="G2117" s="43" t="b">
        <v>0</v>
      </c>
      <c r="H2117" s="44">
        <v>710</v>
      </c>
    </row>
    <row r="2118" spans="1:8" x14ac:dyDescent="0.3">
      <c r="A2118" s="42" t="s">
        <v>1553</v>
      </c>
      <c r="B2118" s="3" t="s">
        <v>1945</v>
      </c>
      <c r="C2118" s="4">
        <f t="shared" ca="1" si="92"/>
        <v>45910</v>
      </c>
      <c r="D2118" s="4">
        <f ca="1">TODAY()-100</f>
        <v>45937</v>
      </c>
      <c r="E2118" s="3" t="s">
        <v>1032</v>
      </c>
      <c r="F2118" s="43" t="b">
        <v>1</v>
      </c>
      <c r="G2118" s="43" t="b">
        <v>0</v>
      </c>
      <c r="H2118" s="44">
        <v>640</v>
      </c>
    </row>
    <row r="2119" spans="1:8" x14ac:dyDescent="0.3">
      <c r="A2119" s="42" t="s">
        <v>1093</v>
      </c>
      <c r="B2119" s="3" t="s">
        <v>1094</v>
      </c>
      <c r="C2119" s="4">
        <f t="shared" ca="1" si="92"/>
        <v>45910</v>
      </c>
      <c r="D2119" s="4">
        <f ca="1">TODAY()-114</f>
        <v>45923</v>
      </c>
      <c r="E2119" s="3" t="s">
        <v>1032</v>
      </c>
      <c r="F2119" s="43" t="b">
        <v>1</v>
      </c>
      <c r="G2119" s="43" t="b">
        <v>0</v>
      </c>
      <c r="H2119" s="44">
        <v>890</v>
      </c>
    </row>
    <row r="2120" spans="1:8" x14ac:dyDescent="0.3">
      <c r="A2120" s="42" t="s">
        <v>1816</v>
      </c>
      <c r="B2120" s="3" t="s">
        <v>1989</v>
      </c>
      <c r="C2120" s="4">
        <f t="shared" ca="1" si="92"/>
        <v>45910</v>
      </c>
      <c r="D2120" s="4">
        <f ca="1">TODAY()-104</f>
        <v>45933</v>
      </c>
      <c r="E2120" s="3" t="s">
        <v>1029</v>
      </c>
      <c r="F2120" s="43" t="b">
        <v>1</v>
      </c>
      <c r="G2120" s="43" t="b">
        <v>1</v>
      </c>
      <c r="H2120" s="44">
        <v>390</v>
      </c>
    </row>
    <row r="2121" spans="1:8" x14ac:dyDescent="0.3">
      <c r="A2121" s="42" t="s">
        <v>1252</v>
      </c>
      <c r="B2121" s="3" t="s">
        <v>1788</v>
      </c>
      <c r="C2121" s="4">
        <f t="shared" ca="1" si="92"/>
        <v>45910</v>
      </c>
      <c r="D2121" s="42"/>
      <c r="E2121" s="3" t="s">
        <v>1101</v>
      </c>
      <c r="F2121" s="43" t="b">
        <v>0</v>
      </c>
      <c r="G2121" s="43" t="b">
        <v>0</v>
      </c>
      <c r="H2121" s="44">
        <v>550</v>
      </c>
    </row>
    <row r="2122" spans="1:8" x14ac:dyDescent="0.3">
      <c r="A2122" s="42" t="s">
        <v>1175</v>
      </c>
      <c r="B2122" s="3" t="s">
        <v>1893</v>
      </c>
      <c r="C2122" s="4">
        <f t="shared" ca="1" si="92"/>
        <v>45910</v>
      </c>
      <c r="D2122" s="4">
        <f ca="1">TODAY()-101</f>
        <v>45936</v>
      </c>
      <c r="E2122" s="3" t="s">
        <v>1029</v>
      </c>
      <c r="F2122" s="43" t="b">
        <v>1</v>
      </c>
      <c r="G2122" s="43" t="b">
        <v>1</v>
      </c>
      <c r="H2122" s="44">
        <v>690</v>
      </c>
    </row>
    <row r="2123" spans="1:8" x14ac:dyDescent="0.3">
      <c r="A2123" s="42" t="s">
        <v>1027</v>
      </c>
      <c r="B2123" s="3" t="s">
        <v>1028</v>
      </c>
      <c r="C2123" s="4">
        <f t="shared" ca="1" si="92"/>
        <v>45910</v>
      </c>
      <c r="D2123" s="4">
        <f ca="1">TODAY()-111</f>
        <v>45926</v>
      </c>
      <c r="E2123" s="3" t="s">
        <v>1029</v>
      </c>
      <c r="F2123" s="43" t="b">
        <v>1</v>
      </c>
      <c r="G2123" s="43" t="b">
        <v>1</v>
      </c>
      <c r="H2123" s="44">
        <v>1650</v>
      </c>
    </row>
    <row r="2124" spans="1:8" x14ac:dyDescent="0.3">
      <c r="A2124" s="42" t="s">
        <v>1674</v>
      </c>
      <c r="B2124" s="3" t="s">
        <v>1675</v>
      </c>
      <c r="C2124" s="4">
        <f t="shared" ca="1" si="92"/>
        <v>45910</v>
      </c>
      <c r="D2124" s="4">
        <f ca="1">TODAY()-106</f>
        <v>45931</v>
      </c>
      <c r="E2124" s="3" t="s">
        <v>1029</v>
      </c>
      <c r="F2124" s="43" t="b">
        <v>1</v>
      </c>
      <c r="G2124" s="43" t="b">
        <v>1</v>
      </c>
      <c r="H2124" s="44">
        <v>1290</v>
      </c>
    </row>
    <row r="2125" spans="1:8" x14ac:dyDescent="0.3">
      <c r="A2125" s="42" t="s">
        <v>1652</v>
      </c>
      <c r="B2125" s="3" t="s">
        <v>1653</v>
      </c>
      <c r="C2125" s="4">
        <f t="shared" ca="1" si="92"/>
        <v>45910</v>
      </c>
      <c r="D2125" s="4">
        <f ca="1">TODAY()-109</f>
        <v>45928</v>
      </c>
      <c r="E2125" s="3" t="s">
        <v>1029</v>
      </c>
      <c r="F2125" s="43" t="b">
        <v>1</v>
      </c>
      <c r="G2125" s="43" t="b">
        <v>1</v>
      </c>
      <c r="H2125" s="44">
        <v>2060</v>
      </c>
    </row>
    <row r="2126" spans="1:8" x14ac:dyDescent="0.3">
      <c r="A2126" s="42" t="s">
        <v>1783</v>
      </c>
      <c r="B2126" s="3" t="s">
        <v>1784</v>
      </c>
      <c r="C2126" s="4">
        <f t="shared" ca="1" si="92"/>
        <v>45910</v>
      </c>
      <c r="D2126" s="42"/>
      <c r="E2126" s="3" t="s">
        <v>1108</v>
      </c>
      <c r="F2126" s="43" t="b">
        <v>0</v>
      </c>
      <c r="G2126" s="43" t="b">
        <v>0</v>
      </c>
      <c r="H2126" s="44">
        <v>1020</v>
      </c>
    </row>
    <row r="2127" spans="1:8" x14ac:dyDescent="0.3">
      <c r="A2127" s="42" t="s">
        <v>1687</v>
      </c>
      <c r="B2127" s="3" t="s">
        <v>1688</v>
      </c>
      <c r="C2127" s="4">
        <f t="shared" ca="1" si="92"/>
        <v>45910</v>
      </c>
      <c r="D2127" s="4">
        <f ca="1">TODAY()-103</f>
        <v>45934</v>
      </c>
      <c r="E2127" s="3" t="s">
        <v>1029</v>
      </c>
      <c r="F2127" s="43" t="b">
        <v>1</v>
      </c>
      <c r="G2127" s="43" t="b">
        <v>1</v>
      </c>
      <c r="H2127" s="44">
        <v>600</v>
      </c>
    </row>
    <row r="2128" spans="1:8" x14ac:dyDescent="0.3">
      <c r="A2128" s="42" t="s">
        <v>1884</v>
      </c>
      <c r="B2128" s="3" t="s">
        <v>1885</v>
      </c>
      <c r="C2128" s="4">
        <f t="shared" ca="1" si="92"/>
        <v>45910</v>
      </c>
      <c r="D2128" s="4">
        <f ca="1">TODAY()-97</f>
        <v>45940</v>
      </c>
      <c r="E2128" s="3" t="s">
        <v>1032</v>
      </c>
      <c r="F2128" s="43" t="b">
        <v>1</v>
      </c>
      <c r="G2128" s="43" t="b">
        <v>0</v>
      </c>
      <c r="H2128" s="44">
        <v>380</v>
      </c>
    </row>
    <row r="2129" spans="1:8" x14ac:dyDescent="0.3">
      <c r="A2129" s="42" t="s">
        <v>1630</v>
      </c>
      <c r="B2129" s="3" t="s">
        <v>1631</v>
      </c>
      <c r="C2129" s="4">
        <f t="shared" ca="1" si="92"/>
        <v>45910</v>
      </c>
      <c r="D2129" s="4">
        <f ca="1">TODAY()-105</f>
        <v>45932</v>
      </c>
      <c r="E2129" s="3" t="s">
        <v>1029</v>
      </c>
      <c r="F2129" s="43" t="b">
        <v>1</v>
      </c>
      <c r="G2129" s="43" t="b">
        <v>1</v>
      </c>
      <c r="H2129" s="44">
        <v>1270</v>
      </c>
    </row>
    <row r="2130" spans="1:8" x14ac:dyDescent="0.3">
      <c r="A2130" s="42" t="s">
        <v>1382</v>
      </c>
      <c r="B2130" s="3" t="s">
        <v>1724</v>
      </c>
      <c r="C2130" s="4">
        <f t="shared" ca="1" si="92"/>
        <v>45910</v>
      </c>
      <c r="D2130" s="4">
        <f ca="1">TODAY()-101</f>
        <v>45936</v>
      </c>
      <c r="E2130" s="3" t="s">
        <v>1029</v>
      </c>
      <c r="F2130" s="43" t="b">
        <v>1</v>
      </c>
      <c r="G2130" s="43" t="b">
        <v>1</v>
      </c>
      <c r="H2130" s="44">
        <v>1990</v>
      </c>
    </row>
    <row r="2131" spans="1:8" x14ac:dyDescent="0.3">
      <c r="A2131" s="42" t="s">
        <v>1529</v>
      </c>
      <c r="B2131" s="45" t="s">
        <v>1981</v>
      </c>
      <c r="C2131" s="4">
        <f t="shared" ca="1" si="92"/>
        <v>45910</v>
      </c>
      <c r="D2131" s="4">
        <f ca="1">TODAY()-116</f>
        <v>45921</v>
      </c>
      <c r="E2131" s="3" t="s">
        <v>1032</v>
      </c>
      <c r="F2131" s="43" t="b">
        <v>1</v>
      </c>
      <c r="G2131" s="43" t="b">
        <v>0</v>
      </c>
      <c r="H2131" s="44">
        <v>950</v>
      </c>
    </row>
    <row r="2132" spans="1:8" x14ac:dyDescent="0.3">
      <c r="A2132" s="42" t="s">
        <v>1252</v>
      </c>
      <c r="B2132" s="3" t="s">
        <v>1788</v>
      </c>
      <c r="C2132" s="4">
        <f t="shared" ca="1" si="92"/>
        <v>45910</v>
      </c>
      <c r="D2132" s="42"/>
      <c r="E2132" s="3" t="s">
        <v>1101</v>
      </c>
      <c r="F2132" s="43" t="b">
        <v>0</v>
      </c>
      <c r="G2132" s="43" t="b">
        <v>0</v>
      </c>
      <c r="H2132" s="44">
        <v>550</v>
      </c>
    </row>
    <row r="2133" spans="1:8" x14ac:dyDescent="0.3">
      <c r="A2133" s="42" t="s">
        <v>1115</v>
      </c>
      <c r="B2133" s="3" t="s">
        <v>1988</v>
      </c>
      <c r="C2133" s="4">
        <f t="shared" ca="1" si="92"/>
        <v>45910</v>
      </c>
      <c r="D2133" s="42"/>
      <c r="E2133" s="3" t="s">
        <v>1108</v>
      </c>
      <c r="F2133" s="43" t="b">
        <v>0</v>
      </c>
      <c r="G2133" s="43" t="b">
        <v>0</v>
      </c>
      <c r="H2133" s="44">
        <v>850</v>
      </c>
    </row>
    <row r="2134" spans="1:8" x14ac:dyDescent="0.3">
      <c r="A2134" s="42" t="s">
        <v>1825</v>
      </c>
      <c r="B2134" s="3" t="s">
        <v>1826</v>
      </c>
      <c r="C2134" s="4">
        <f t="shared" ca="1" si="92"/>
        <v>45910</v>
      </c>
      <c r="D2134" s="4">
        <f ca="1">TODAY()-109</f>
        <v>45928</v>
      </c>
      <c r="E2134" s="3" t="s">
        <v>1032</v>
      </c>
      <c r="F2134" s="43" t="b">
        <v>1</v>
      </c>
      <c r="G2134" s="43" t="b">
        <v>0</v>
      </c>
      <c r="H2134" s="44">
        <v>1780</v>
      </c>
    </row>
    <row r="2135" spans="1:8" x14ac:dyDescent="0.3">
      <c r="A2135" s="42" t="s">
        <v>1856</v>
      </c>
      <c r="B2135" s="3" t="s">
        <v>1222</v>
      </c>
      <c r="C2135" s="4">
        <f t="shared" ca="1" si="92"/>
        <v>45910</v>
      </c>
      <c r="D2135" s="4">
        <f ca="1">TODAY()-97</f>
        <v>45940</v>
      </c>
      <c r="E2135" s="3" t="s">
        <v>1029</v>
      </c>
      <c r="F2135" s="43" t="b">
        <v>1</v>
      </c>
      <c r="G2135" s="43" t="b">
        <v>1</v>
      </c>
      <c r="H2135" s="44">
        <v>2430</v>
      </c>
    </row>
    <row r="2136" spans="1:8" x14ac:dyDescent="0.3">
      <c r="A2136" s="42" t="s">
        <v>1549</v>
      </c>
      <c r="B2136" s="3" t="s">
        <v>1898</v>
      </c>
      <c r="C2136" s="4">
        <f t="shared" ca="1" si="92"/>
        <v>45910</v>
      </c>
      <c r="D2136" s="4">
        <f ca="1">TODAY()-115</f>
        <v>45922</v>
      </c>
      <c r="E2136" s="3" t="s">
        <v>1029</v>
      </c>
      <c r="F2136" s="43" t="b">
        <v>1</v>
      </c>
      <c r="G2136" s="43" t="b">
        <v>1</v>
      </c>
      <c r="H2136" s="44">
        <v>770</v>
      </c>
    </row>
    <row r="2137" spans="1:8" x14ac:dyDescent="0.3">
      <c r="A2137" s="42" t="s">
        <v>1704</v>
      </c>
      <c r="B2137" s="3" t="s">
        <v>1705</v>
      </c>
      <c r="C2137" s="4">
        <f t="shared" ca="1" si="92"/>
        <v>45910</v>
      </c>
      <c r="D2137" s="4">
        <f ca="1">TODAY()-97</f>
        <v>45940</v>
      </c>
      <c r="E2137" s="3" t="s">
        <v>1029</v>
      </c>
      <c r="F2137" s="43" t="b">
        <v>1</v>
      </c>
      <c r="G2137" s="43" t="b">
        <v>1</v>
      </c>
      <c r="H2137" s="44">
        <v>2280</v>
      </c>
    </row>
    <row r="2138" spans="1:8" x14ac:dyDescent="0.3">
      <c r="A2138" s="42" t="s">
        <v>1235</v>
      </c>
      <c r="B2138" s="3" t="s">
        <v>1236</v>
      </c>
      <c r="C2138" s="4">
        <f t="shared" ca="1" si="92"/>
        <v>45910</v>
      </c>
      <c r="D2138" s="4">
        <f ca="1">TODAY()-99</f>
        <v>45938</v>
      </c>
      <c r="E2138" s="3" t="s">
        <v>1029</v>
      </c>
      <c r="F2138" s="43" t="b">
        <v>1</v>
      </c>
      <c r="G2138" s="43" t="b">
        <v>1</v>
      </c>
      <c r="H2138" s="44">
        <v>1000</v>
      </c>
    </row>
    <row r="2139" spans="1:8" x14ac:dyDescent="0.3">
      <c r="A2139" s="42" t="s">
        <v>1285</v>
      </c>
      <c r="B2139" s="3" t="s">
        <v>1811</v>
      </c>
      <c r="C2139" s="4">
        <f t="shared" ca="1" si="92"/>
        <v>45910</v>
      </c>
      <c r="D2139" s="4">
        <f ca="1">TODAY()-116</f>
        <v>45921</v>
      </c>
      <c r="E2139" s="3" t="s">
        <v>1029</v>
      </c>
      <c r="F2139" s="43" t="b">
        <v>1</v>
      </c>
      <c r="G2139" s="43" t="b">
        <v>1</v>
      </c>
      <c r="H2139" s="44">
        <v>1350</v>
      </c>
    </row>
    <row r="2140" spans="1:8" x14ac:dyDescent="0.3">
      <c r="A2140" s="42" t="s">
        <v>1474</v>
      </c>
      <c r="B2140" s="3" t="s">
        <v>1475</v>
      </c>
      <c r="C2140" s="4">
        <f t="shared" ca="1" si="92"/>
        <v>45910</v>
      </c>
      <c r="D2140" s="4">
        <f ca="1">TODAY()-98</f>
        <v>45939</v>
      </c>
      <c r="E2140" s="3" t="s">
        <v>1029</v>
      </c>
      <c r="F2140" s="43" t="b">
        <v>1</v>
      </c>
      <c r="G2140" s="43" t="b">
        <v>1</v>
      </c>
      <c r="H2140" s="44">
        <v>630</v>
      </c>
    </row>
    <row r="2141" spans="1:8" x14ac:dyDescent="0.3">
      <c r="A2141" s="42" t="s">
        <v>1062</v>
      </c>
      <c r="B2141" s="3" t="s">
        <v>1063</v>
      </c>
      <c r="C2141" s="4">
        <f t="shared" ca="1" si="92"/>
        <v>45910</v>
      </c>
      <c r="D2141" s="4">
        <f ca="1">TODAY()-110</f>
        <v>45927</v>
      </c>
      <c r="E2141" s="3" t="s">
        <v>1032</v>
      </c>
      <c r="F2141" s="43" t="b">
        <v>1</v>
      </c>
      <c r="G2141" s="43" t="b">
        <v>0</v>
      </c>
      <c r="H2141" s="44">
        <v>310</v>
      </c>
    </row>
    <row r="2142" spans="1:8" x14ac:dyDescent="0.3">
      <c r="A2142" s="42" t="s">
        <v>1876</v>
      </c>
      <c r="B2142" s="3" t="s">
        <v>1877</v>
      </c>
      <c r="C2142" s="4">
        <f t="shared" ca="1" si="92"/>
        <v>45910</v>
      </c>
      <c r="D2142" s="4">
        <f ca="1">TODAY()-101</f>
        <v>45936</v>
      </c>
      <c r="E2142" s="3" t="s">
        <v>1029</v>
      </c>
      <c r="F2142" s="43" t="b">
        <v>1</v>
      </c>
      <c r="G2142" s="43" t="b">
        <v>1</v>
      </c>
      <c r="H2142" s="44">
        <v>310</v>
      </c>
    </row>
    <row r="2143" spans="1:8" x14ac:dyDescent="0.3">
      <c r="A2143" s="42" t="s">
        <v>1626</v>
      </c>
      <c r="B2143" s="3" t="s">
        <v>1275</v>
      </c>
      <c r="C2143" s="4">
        <f t="shared" ca="1" si="92"/>
        <v>45910</v>
      </c>
      <c r="D2143" s="4">
        <f ca="1">TODAY()-111</f>
        <v>45926</v>
      </c>
      <c r="E2143" s="3" t="s">
        <v>1029</v>
      </c>
      <c r="F2143" s="43" t="b">
        <v>1</v>
      </c>
      <c r="G2143" s="43" t="b">
        <v>1</v>
      </c>
      <c r="H2143" s="44">
        <v>4510</v>
      </c>
    </row>
    <row r="2144" spans="1:8" x14ac:dyDescent="0.3">
      <c r="A2144" s="42" t="s">
        <v>1423</v>
      </c>
      <c r="B2144" s="3" t="s">
        <v>1424</v>
      </c>
      <c r="C2144" s="4">
        <f t="shared" ca="1" si="92"/>
        <v>45910</v>
      </c>
      <c r="D2144" s="4">
        <f ca="1">TODAY()-102</f>
        <v>45935</v>
      </c>
      <c r="E2144" s="3" t="s">
        <v>1029</v>
      </c>
      <c r="F2144" s="43" t="b">
        <v>1</v>
      </c>
      <c r="G2144" s="43" t="b">
        <v>1</v>
      </c>
      <c r="H2144" s="44">
        <v>1740</v>
      </c>
    </row>
    <row r="2145" spans="1:8" x14ac:dyDescent="0.3">
      <c r="A2145" s="42" t="s">
        <v>1689</v>
      </c>
      <c r="B2145" s="3" t="s">
        <v>1701</v>
      </c>
      <c r="C2145" s="4">
        <f t="shared" ca="1" si="92"/>
        <v>45910</v>
      </c>
      <c r="D2145" s="4">
        <f ca="1">TODAY()-110</f>
        <v>45927</v>
      </c>
      <c r="E2145" s="3" t="s">
        <v>1029</v>
      </c>
      <c r="F2145" s="43" t="b">
        <v>1</v>
      </c>
      <c r="G2145" s="43" t="b">
        <v>1</v>
      </c>
      <c r="H2145" s="44">
        <v>4230</v>
      </c>
    </row>
    <row r="2146" spans="1:8" x14ac:dyDescent="0.3">
      <c r="A2146" s="42" t="s">
        <v>1821</v>
      </c>
      <c r="B2146" s="3" t="s">
        <v>1881</v>
      </c>
      <c r="C2146" s="4">
        <f t="shared" ca="1" si="92"/>
        <v>45910</v>
      </c>
      <c r="D2146" s="4">
        <f ca="1">TODAY()-103</f>
        <v>45934</v>
      </c>
      <c r="E2146" s="3" t="s">
        <v>1032</v>
      </c>
      <c r="F2146" s="43" t="b">
        <v>1</v>
      </c>
      <c r="G2146" s="43" t="b">
        <v>0</v>
      </c>
      <c r="H2146" s="44">
        <v>1790</v>
      </c>
    </row>
    <row r="2147" spans="1:8" x14ac:dyDescent="0.3">
      <c r="A2147" s="42" t="s">
        <v>1937</v>
      </c>
      <c r="B2147" s="3" t="s">
        <v>1938</v>
      </c>
      <c r="C2147" s="4">
        <f t="shared" ca="1" si="92"/>
        <v>45910</v>
      </c>
      <c r="D2147" s="42"/>
      <c r="E2147" s="3" t="s">
        <v>1108</v>
      </c>
      <c r="F2147" s="43" t="b">
        <v>0</v>
      </c>
      <c r="G2147" s="43" t="b">
        <v>0</v>
      </c>
      <c r="H2147" s="44">
        <v>2500</v>
      </c>
    </row>
    <row r="2148" spans="1:8" x14ac:dyDescent="0.3">
      <c r="A2148" s="42" t="s">
        <v>1910</v>
      </c>
      <c r="B2148" s="3" t="s">
        <v>1911</v>
      </c>
      <c r="C2148" s="4">
        <f t="shared" ca="1" si="92"/>
        <v>45910</v>
      </c>
      <c r="D2148" s="4">
        <f ca="1">TODAY()-102</f>
        <v>45935</v>
      </c>
      <c r="E2148" s="3" t="s">
        <v>1029</v>
      </c>
      <c r="F2148" s="43" t="b">
        <v>1</v>
      </c>
      <c r="G2148" s="43" t="b">
        <v>1</v>
      </c>
      <c r="H2148" s="44">
        <v>350</v>
      </c>
    </row>
    <row r="2149" spans="1:8" x14ac:dyDescent="0.3">
      <c r="A2149" s="42" t="s">
        <v>1899</v>
      </c>
      <c r="B2149" s="3" t="s">
        <v>1146</v>
      </c>
      <c r="C2149" s="4">
        <f t="shared" ca="1" si="92"/>
        <v>45910</v>
      </c>
      <c r="D2149" s="42"/>
      <c r="E2149" s="3" t="s">
        <v>1103</v>
      </c>
      <c r="F2149" s="43" t="b">
        <v>0</v>
      </c>
      <c r="G2149" s="43" t="b">
        <v>0</v>
      </c>
      <c r="H2149" s="44">
        <v>1620</v>
      </c>
    </row>
    <row r="2150" spans="1:8" x14ac:dyDescent="0.3">
      <c r="A2150" s="42" t="s">
        <v>1612</v>
      </c>
      <c r="B2150" s="3" t="s">
        <v>1755</v>
      </c>
      <c r="C2150" s="4">
        <f t="shared" ca="1" si="92"/>
        <v>45910</v>
      </c>
      <c r="D2150" s="4">
        <f ca="1">TODAY()-111</f>
        <v>45926</v>
      </c>
      <c r="E2150" s="3" t="s">
        <v>1032</v>
      </c>
      <c r="F2150" s="43" t="b">
        <v>1</v>
      </c>
      <c r="G2150" s="43" t="b">
        <v>0</v>
      </c>
      <c r="H2150" s="44">
        <v>1320</v>
      </c>
    </row>
    <row r="2151" spans="1:8" x14ac:dyDescent="0.3">
      <c r="A2151" s="42" t="s">
        <v>1594</v>
      </c>
      <c r="B2151" s="3" t="s">
        <v>1275</v>
      </c>
      <c r="C2151" s="4">
        <f t="shared" ca="1" si="92"/>
        <v>45910</v>
      </c>
      <c r="D2151" s="4">
        <f ca="1">TODAY()-110</f>
        <v>45927</v>
      </c>
      <c r="E2151" s="3" t="s">
        <v>1029</v>
      </c>
      <c r="F2151" s="43" t="b">
        <v>1</v>
      </c>
      <c r="G2151" s="43" t="b">
        <v>1</v>
      </c>
      <c r="H2151" s="44">
        <v>4920</v>
      </c>
    </row>
    <row r="2152" spans="1:8" x14ac:dyDescent="0.3">
      <c r="A2152" s="42" t="s">
        <v>1869</v>
      </c>
      <c r="B2152" s="3" t="s">
        <v>1870</v>
      </c>
      <c r="C2152" s="4">
        <f t="shared" ca="1" si="92"/>
        <v>45910</v>
      </c>
      <c r="D2152" s="4">
        <f t="shared" ref="D2152:D2153" ca="1" si="95">TODAY()-105</f>
        <v>45932</v>
      </c>
      <c r="E2152" s="3" t="s">
        <v>1032</v>
      </c>
      <c r="F2152" s="43" t="b">
        <v>1</v>
      </c>
      <c r="G2152" s="43" t="b">
        <v>0</v>
      </c>
      <c r="H2152" s="44">
        <v>190</v>
      </c>
    </row>
    <row r="2153" spans="1:8" x14ac:dyDescent="0.3">
      <c r="A2153" s="42" t="s">
        <v>1153</v>
      </c>
      <c r="B2153" s="3" t="s">
        <v>1154</v>
      </c>
      <c r="C2153" s="4">
        <f t="shared" ca="1" si="92"/>
        <v>45910</v>
      </c>
      <c r="D2153" s="4">
        <f t="shared" ca="1" si="95"/>
        <v>45932</v>
      </c>
      <c r="E2153" s="3" t="s">
        <v>1029</v>
      </c>
      <c r="F2153" s="43" t="b">
        <v>1</v>
      </c>
      <c r="G2153" s="43" t="b">
        <v>1</v>
      </c>
      <c r="H2153" s="44">
        <v>2340</v>
      </c>
    </row>
    <row r="2154" spans="1:8" x14ac:dyDescent="0.3">
      <c r="A2154" s="42" t="s">
        <v>1449</v>
      </c>
      <c r="B2154" s="3" t="s">
        <v>1726</v>
      </c>
      <c r="C2154" s="4">
        <f t="shared" ca="1" si="92"/>
        <v>45910</v>
      </c>
      <c r="D2154" s="4">
        <f ca="1">TODAY()-103</f>
        <v>45934</v>
      </c>
      <c r="E2154" s="3" t="s">
        <v>1029</v>
      </c>
      <c r="F2154" s="43" t="b">
        <v>1</v>
      </c>
      <c r="G2154" s="43" t="b">
        <v>1</v>
      </c>
      <c r="H2154" s="44">
        <v>2430</v>
      </c>
    </row>
    <row r="2155" spans="1:8" x14ac:dyDescent="0.3">
      <c r="A2155" s="42" t="s">
        <v>1647</v>
      </c>
      <c r="B2155" s="3" t="s">
        <v>1648</v>
      </c>
      <c r="C2155" s="4">
        <f t="shared" ca="1" si="92"/>
        <v>45910</v>
      </c>
      <c r="D2155" s="42"/>
      <c r="E2155" s="3" t="s">
        <v>1070</v>
      </c>
      <c r="F2155" s="43" t="b">
        <v>0</v>
      </c>
      <c r="G2155" s="43" t="b">
        <v>0</v>
      </c>
      <c r="H2155" s="44">
        <v>1980</v>
      </c>
    </row>
    <row r="2156" spans="1:8" x14ac:dyDescent="0.3">
      <c r="A2156" s="42" t="s">
        <v>1079</v>
      </c>
      <c r="B2156" s="3" t="s">
        <v>1317</v>
      </c>
      <c r="C2156" s="4">
        <f t="shared" ca="1" si="92"/>
        <v>45910</v>
      </c>
      <c r="D2156" s="4">
        <f ca="1">TODAY()-100</f>
        <v>45937</v>
      </c>
      <c r="E2156" s="3" t="s">
        <v>1029</v>
      </c>
      <c r="F2156" s="43" t="b">
        <v>1</v>
      </c>
      <c r="G2156" s="43" t="b">
        <v>1</v>
      </c>
      <c r="H2156" s="44">
        <v>500</v>
      </c>
    </row>
    <row r="2157" spans="1:8" x14ac:dyDescent="0.3">
      <c r="A2157" s="42" t="s">
        <v>1113</v>
      </c>
      <c r="B2157" s="3" t="s">
        <v>1855</v>
      </c>
      <c r="C2157" s="4">
        <f t="shared" ca="1" si="92"/>
        <v>45910</v>
      </c>
      <c r="D2157" s="4">
        <f ca="1">TODAY()-109</f>
        <v>45928</v>
      </c>
      <c r="E2157" s="3" t="s">
        <v>1029</v>
      </c>
      <c r="F2157" s="43" t="b">
        <v>1</v>
      </c>
      <c r="G2157" s="43" t="b">
        <v>1</v>
      </c>
      <c r="H2157" s="44">
        <v>1240</v>
      </c>
    </row>
    <row r="2158" spans="1:8" x14ac:dyDescent="0.3">
      <c r="A2158" s="42" t="s">
        <v>1151</v>
      </c>
      <c r="B2158" s="3" t="s">
        <v>1152</v>
      </c>
      <c r="C2158" s="4">
        <f t="shared" ca="1" si="92"/>
        <v>45910</v>
      </c>
      <c r="D2158" s="4">
        <f ca="1">TODAY()-101</f>
        <v>45936</v>
      </c>
      <c r="E2158" s="3" t="s">
        <v>1032</v>
      </c>
      <c r="F2158" s="43" t="b">
        <v>1</v>
      </c>
      <c r="G2158" s="43" t="b">
        <v>0</v>
      </c>
      <c r="H2158" s="44">
        <v>2260</v>
      </c>
    </row>
    <row r="2159" spans="1:8" x14ac:dyDescent="0.3">
      <c r="A2159" s="42" t="s">
        <v>1415</v>
      </c>
      <c r="B2159" s="3" t="s">
        <v>1734</v>
      </c>
      <c r="C2159" s="4">
        <f t="shared" ca="1" si="92"/>
        <v>45910</v>
      </c>
      <c r="D2159" s="42"/>
      <c r="E2159" s="3" t="s">
        <v>1101</v>
      </c>
      <c r="F2159" s="43" t="b">
        <v>0</v>
      </c>
      <c r="G2159" s="43" t="b">
        <v>0</v>
      </c>
      <c r="H2159" s="44">
        <v>550</v>
      </c>
    </row>
    <row r="2160" spans="1:8" x14ac:dyDescent="0.3">
      <c r="A2160" s="42" t="s">
        <v>1605</v>
      </c>
      <c r="B2160" s="3" t="s">
        <v>1963</v>
      </c>
      <c r="C2160" s="4">
        <f t="shared" ca="1" si="92"/>
        <v>45910</v>
      </c>
      <c r="D2160" s="4">
        <f ca="1">TODAY()-103</f>
        <v>45934</v>
      </c>
      <c r="E2160" s="3" t="s">
        <v>1029</v>
      </c>
      <c r="F2160" s="43" t="b">
        <v>1</v>
      </c>
      <c r="G2160" s="43" t="b">
        <v>1</v>
      </c>
      <c r="H2160" s="44">
        <v>1430</v>
      </c>
    </row>
    <row r="2161" spans="1:8" x14ac:dyDescent="0.3">
      <c r="A2161" s="42" t="s">
        <v>1494</v>
      </c>
      <c r="B2161" s="3" t="s">
        <v>1778</v>
      </c>
      <c r="C2161" s="4">
        <f t="shared" ca="1" si="92"/>
        <v>45910</v>
      </c>
      <c r="D2161" s="4">
        <f ca="1">TODAY()-105</f>
        <v>45932</v>
      </c>
      <c r="E2161" s="3" t="s">
        <v>1029</v>
      </c>
      <c r="F2161" s="43" t="b">
        <v>1</v>
      </c>
      <c r="G2161" s="43" t="b">
        <v>1</v>
      </c>
      <c r="H2161" s="44">
        <v>2700</v>
      </c>
    </row>
    <row r="2162" spans="1:8" x14ac:dyDescent="0.3">
      <c r="A2162" s="42" t="s">
        <v>1770</v>
      </c>
      <c r="B2162" s="3" t="s">
        <v>1771</v>
      </c>
      <c r="C2162" s="4">
        <f t="shared" ca="1" si="92"/>
        <v>45910</v>
      </c>
      <c r="D2162" s="4">
        <f ca="1">TODAY()-114</f>
        <v>45923</v>
      </c>
      <c r="E2162" s="3" t="s">
        <v>1029</v>
      </c>
      <c r="F2162" s="43" t="b">
        <v>1</v>
      </c>
      <c r="G2162" s="43" t="b">
        <v>1</v>
      </c>
      <c r="H2162" s="44">
        <v>1730</v>
      </c>
    </row>
    <row r="2163" spans="1:8" x14ac:dyDescent="0.3">
      <c r="A2163" s="42" t="s">
        <v>1272</v>
      </c>
      <c r="B2163" s="3" t="s">
        <v>1114</v>
      </c>
      <c r="C2163" s="4">
        <f t="shared" ca="1" si="92"/>
        <v>45910</v>
      </c>
      <c r="D2163" s="4">
        <f ca="1">TODAY()-107</f>
        <v>45930</v>
      </c>
      <c r="E2163" s="3" t="s">
        <v>1029</v>
      </c>
      <c r="F2163" s="43" t="b">
        <v>1</v>
      </c>
      <c r="G2163" s="43" t="b">
        <v>1</v>
      </c>
      <c r="H2163" s="44">
        <v>910</v>
      </c>
    </row>
    <row r="2164" spans="1:8" x14ac:dyDescent="0.3">
      <c r="A2164" s="42" t="s">
        <v>1194</v>
      </c>
      <c r="B2164" s="3" t="s">
        <v>1275</v>
      </c>
      <c r="C2164" s="4">
        <f t="shared" ca="1" si="92"/>
        <v>45910</v>
      </c>
      <c r="D2164" s="4">
        <f ca="1">TODAY()-110</f>
        <v>45927</v>
      </c>
      <c r="E2164" s="3" t="s">
        <v>1029</v>
      </c>
      <c r="F2164" s="43" t="b">
        <v>1</v>
      </c>
      <c r="G2164" s="43" t="b">
        <v>1</v>
      </c>
      <c r="H2164" s="44">
        <v>1920</v>
      </c>
    </row>
    <row r="2165" spans="1:8" x14ac:dyDescent="0.3">
      <c r="A2165" s="42" t="s">
        <v>1729</v>
      </c>
      <c r="B2165" s="3" t="s">
        <v>1730</v>
      </c>
      <c r="C2165" s="4">
        <f t="shared" ca="1" si="92"/>
        <v>45910</v>
      </c>
      <c r="D2165" s="4">
        <f ca="1">TODAY()-107</f>
        <v>45930</v>
      </c>
      <c r="E2165" s="3" t="s">
        <v>1029</v>
      </c>
      <c r="F2165" s="43" t="b">
        <v>1</v>
      </c>
      <c r="G2165" s="43" t="b">
        <v>1</v>
      </c>
      <c r="H2165" s="44">
        <v>950</v>
      </c>
    </row>
    <row r="2166" spans="1:8" x14ac:dyDescent="0.3">
      <c r="A2166" s="42" t="s">
        <v>1499</v>
      </c>
      <c r="B2166" s="3" t="s">
        <v>1500</v>
      </c>
      <c r="C2166" s="4">
        <f t="shared" ca="1" si="92"/>
        <v>45910</v>
      </c>
      <c r="D2166" s="42"/>
      <c r="E2166" s="3" t="s">
        <v>1037</v>
      </c>
      <c r="F2166" s="43" t="b">
        <v>0</v>
      </c>
      <c r="G2166" s="43" t="b">
        <v>0</v>
      </c>
      <c r="H2166" s="44">
        <v>840</v>
      </c>
    </row>
    <row r="2167" spans="1:8" x14ac:dyDescent="0.3">
      <c r="A2167" s="42" t="s">
        <v>1370</v>
      </c>
      <c r="B2167" s="3" t="s">
        <v>1371</v>
      </c>
      <c r="C2167" s="4">
        <f t="shared" ca="1" si="92"/>
        <v>45910</v>
      </c>
      <c r="D2167" s="4">
        <f ca="1">TODAY()-108</f>
        <v>45929</v>
      </c>
      <c r="E2167" s="3" t="s">
        <v>1029</v>
      </c>
      <c r="F2167" s="43" t="b">
        <v>1</v>
      </c>
      <c r="G2167" s="43" t="b">
        <v>1</v>
      </c>
      <c r="H2167" s="44">
        <v>830</v>
      </c>
    </row>
    <row r="2168" spans="1:8" x14ac:dyDescent="0.3">
      <c r="A2168" s="42" t="s">
        <v>1211</v>
      </c>
      <c r="B2168" s="3" t="s">
        <v>1817</v>
      </c>
      <c r="C2168" s="4">
        <f t="shared" ca="1" si="92"/>
        <v>45910</v>
      </c>
      <c r="D2168" s="4">
        <f ca="1">TODAY()-114</f>
        <v>45923</v>
      </c>
      <c r="E2168" s="3" t="s">
        <v>1029</v>
      </c>
      <c r="F2168" s="43" t="b">
        <v>1</v>
      </c>
      <c r="G2168" s="43" t="b">
        <v>1</v>
      </c>
      <c r="H2168" s="44">
        <v>2470</v>
      </c>
    </row>
    <row r="2169" spans="1:8" x14ac:dyDescent="0.3">
      <c r="A2169" s="42" t="s">
        <v>1652</v>
      </c>
      <c r="B2169" s="3" t="s">
        <v>1752</v>
      </c>
      <c r="C2169" s="4">
        <f t="shared" ca="1" si="92"/>
        <v>45910</v>
      </c>
      <c r="D2169" s="42"/>
      <c r="E2169" s="3" t="s">
        <v>1101</v>
      </c>
      <c r="F2169" s="43" t="b">
        <v>0</v>
      </c>
      <c r="G2169" s="43" t="b">
        <v>0</v>
      </c>
      <c r="H2169" s="44">
        <v>560</v>
      </c>
    </row>
    <row r="2170" spans="1:8" x14ac:dyDescent="0.3">
      <c r="A2170" s="42" t="s">
        <v>1522</v>
      </c>
      <c r="B2170" s="3" t="s">
        <v>1523</v>
      </c>
      <c r="C2170" s="4">
        <f t="shared" ca="1" si="92"/>
        <v>45910</v>
      </c>
      <c r="D2170" s="4">
        <f ca="1">TODAY()-104</f>
        <v>45933</v>
      </c>
      <c r="E2170" s="3" t="s">
        <v>1029</v>
      </c>
      <c r="F2170" s="43" t="b">
        <v>1</v>
      </c>
      <c r="G2170" s="43" t="b">
        <v>1</v>
      </c>
      <c r="H2170" s="44">
        <v>2180</v>
      </c>
    </row>
    <row r="2171" spans="1:8" x14ac:dyDescent="0.3">
      <c r="A2171" s="42" t="s">
        <v>1620</v>
      </c>
      <c r="B2171" s="3" t="s">
        <v>1621</v>
      </c>
      <c r="C2171" s="4">
        <f t="shared" ca="1" si="92"/>
        <v>45910</v>
      </c>
      <c r="D2171" s="4">
        <f ca="1">TODAY()-114</f>
        <v>45923</v>
      </c>
      <c r="E2171" s="3" t="s">
        <v>1032</v>
      </c>
      <c r="F2171" s="43" t="b">
        <v>1</v>
      </c>
      <c r="G2171" s="43" t="b">
        <v>0</v>
      </c>
      <c r="H2171" s="44">
        <v>120</v>
      </c>
    </row>
    <row r="2172" spans="1:8" x14ac:dyDescent="0.3">
      <c r="A2172" s="42" t="s">
        <v>1819</v>
      </c>
      <c r="B2172" s="3" t="s">
        <v>1820</v>
      </c>
      <c r="C2172" s="4">
        <f t="shared" ca="1" si="92"/>
        <v>45910</v>
      </c>
      <c r="D2172" s="42"/>
      <c r="E2172" s="3" t="s">
        <v>1108</v>
      </c>
      <c r="F2172" s="43" t="b">
        <v>0</v>
      </c>
      <c r="G2172" s="43" t="b">
        <v>0</v>
      </c>
      <c r="H2172" s="44">
        <v>800</v>
      </c>
    </row>
    <row r="2173" spans="1:8" x14ac:dyDescent="0.3">
      <c r="A2173" s="42" t="s">
        <v>1908</v>
      </c>
      <c r="B2173" s="3" t="s">
        <v>1909</v>
      </c>
      <c r="C2173" s="4">
        <f t="shared" ca="1" si="92"/>
        <v>45910</v>
      </c>
      <c r="D2173" s="4">
        <f ca="1">TODAY()-113</f>
        <v>45924</v>
      </c>
      <c r="E2173" s="3" t="s">
        <v>1032</v>
      </c>
      <c r="F2173" s="43" t="b">
        <v>1</v>
      </c>
      <c r="G2173" s="43" t="b">
        <v>0</v>
      </c>
      <c r="H2173" s="44">
        <v>1030</v>
      </c>
    </row>
    <row r="2174" spans="1:8" x14ac:dyDescent="0.3">
      <c r="A2174" s="42" t="s">
        <v>1280</v>
      </c>
      <c r="B2174" s="3" t="s">
        <v>1977</v>
      </c>
      <c r="C2174" s="4">
        <f t="shared" ca="1" si="92"/>
        <v>45910</v>
      </c>
      <c r="D2174" s="42"/>
      <c r="E2174" s="3" t="s">
        <v>1077</v>
      </c>
      <c r="F2174" s="43" t="b">
        <v>0</v>
      </c>
      <c r="G2174" s="43" t="b">
        <v>0</v>
      </c>
      <c r="H2174" s="44">
        <v>1080</v>
      </c>
    </row>
    <row r="2175" spans="1:8" x14ac:dyDescent="0.3">
      <c r="A2175" s="42" t="s">
        <v>1872</v>
      </c>
      <c r="B2175" s="3" t="s">
        <v>1996</v>
      </c>
      <c r="C2175" s="4">
        <f t="shared" ca="1" si="92"/>
        <v>45910</v>
      </c>
      <c r="D2175" s="4">
        <f ca="1">TODAY()-101</f>
        <v>45936</v>
      </c>
      <c r="E2175" s="3" t="s">
        <v>1029</v>
      </c>
      <c r="F2175" s="43" t="b">
        <v>1</v>
      </c>
      <c r="G2175" s="43" t="b">
        <v>1</v>
      </c>
      <c r="H2175" s="44">
        <v>1300</v>
      </c>
    </row>
    <row r="2176" spans="1:8" x14ac:dyDescent="0.3">
      <c r="A2176" s="42" t="s">
        <v>1711</v>
      </c>
      <c r="B2176" s="3" t="s">
        <v>1712</v>
      </c>
      <c r="C2176" s="4">
        <f t="shared" ca="1" si="92"/>
        <v>45910</v>
      </c>
      <c r="D2176" s="4">
        <f ca="1">TODAY()-107</f>
        <v>45930</v>
      </c>
      <c r="E2176" s="3" t="s">
        <v>1032</v>
      </c>
      <c r="F2176" s="43" t="b">
        <v>1</v>
      </c>
      <c r="G2176" s="43" t="b">
        <v>0</v>
      </c>
      <c r="H2176" s="44">
        <v>970</v>
      </c>
    </row>
    <row r="2177" spans="1:8" x14ac:dyDescent="0.3">
      <c r="A2177" s="42" t="s">
        <v>1350</v>
      </c>
      <c r="B2177" s="3" t="s">
        <v>1351</v>
      </c>
      <c r="C2177" s="4">
        <f t="shared" ca="1" si="92"/>
        <v>45910</v>
      </c>
      <c r="D2177" s="4">
        <f ca="1">TODAY()-101</f>
        <v>45936</v>
      </c>
      <c r="E2177" s="3" t="s">
        <v>1029</v>
      </c>
      <c r="F2177" s="43" t="b">
        <v>1</v>
      </c>
      <c r="G2177" s="43" t="b">
        <v>1</v>
      </c>
      <c r="H2177" s="44">
        <v>1030</v>
      </c>
    </row>
    <row r="2178" spans="1:8" x14ac:dyDescent="0.3">
      <c r="A2178" s="42" t="s">
        <v>1306</v>
      </c>
      <c r="B2178" s="3" t="s">
        <v>1307</v>
      </c>
      <c r="C2178" s="4">
        <f t="shared" ca="1" si="92"/>
        <v>45910</v>
      </c>
      <c r="D2178" s="4">
        <f ca="1">TODAY()-102</f>
        <v>45935</v>
      </c>
      <c r="E2178" s="3" t="s">
        <v>1032</v>
      </c>
      <c r="F2178" s="43" t="b">
        <v>1</v>
      </c>
      <c r="G2178" s="43" t="b">
        <v>0</v>
      </c>
      <c r="H2178" s="44">
        <v>1420</v>
      </c>
    </row>
    <row r="2179" spans="1:8" x14ac:dyDescent="0.3">
      <c r="A2179" s="42" t="s">
        <v>1955</v>
      </c>
      <c r="B2179" s="3" t="s">
        <v>1275</v>
      </c>
      <c r="C2179" s="4">
        <f t="shared" ca="1" si="92"/>
        <v>45910</v>
      </c>
      <c r="D2179" s="4">
        <f t="shared" ref="D2179:D2180" ca="1" si="96">TODAY()-112</f>
        <v>45925</v>
      </c>
      <c r="E2179" s="3" t="s">
        <v>1029</v>
      </c>
      <c r="F2179" s="43" t="b">
        <v>1</v>
      </c>
      <c r="G2179" s="43" t="b">
        <v>1</v>
      </c>
      <c r="H2179" s="44">
        <v>1900</v>
      </c>
    </row>
    <row r="2180" spans="1:8" x14ac:dyDescent="0.3">
      <c r="A2180" s="42" t="s">
        <v>1791</v>
      </c>
      <c r="B2180" s="3" t="s">
        <v>1863</v>
      </c>
      <c r="C2180" s="4">
        <f t="shared" ca="1" si="92"/>
        <v>45910</v>
      </c>
      <c r="D2180" s="4">
        <f t="shared" ca="1" si="96"/>
        <v>45925</v>
      </c>
      <c r="E2180" s="3" t="s">
        <v>1029</v>
      </c>
      <c r="F2180" s="43" t="b">
        <v>1</v>
      </c>
      <c r="G2180" s="43" t="b">
        <v>1</v>
      </c>
      <c r="H2180" s="44">
        <v>2180</v>
      </c>
    </row>
    <row r="2181" spans="1:8" x14ac:dyDescent="0.3">
      <c r="A2181" s="42" t="s">
        <v>1171</v>
      </c>
      <c r="B2181" s="3" t="s">
        <v>1587</v>
      </c>
      <c r="C2181" s="4">
        <f t="shared" ca="1" si="92"/>
        <v>45910</v>
      </c>
      <c r="D2181" s="42"/>
      <c r="E2181" s="3" t="s">
        <v>1070</v>
      </c>
      <c r="F2181" s="43" t="b">
        <v>0</v>
      </c>
      <c r="G2181" s="43" t="b">
        <v>0</v>
      </c>
      <c r="H2181" s="44">
        <v>400</v>
      </c>
    </row>
    <row r="2182" spans="1:8" x14ac:dyDescent="0.3">
      <c r="A2182" s="42" t="s">
        <v>1932</v>
      </c>
      <c r="B2182" s="3" t="s">
        <v>1933</v>
      </c>
      <c r="C2182" s="4">
        <f t="shared" ca="1" si="92"/>
        <v>45910</v>
      </c>
      <c r="D2182" s="4">
        <f ca="1">TODAY()-98</f>
        <v>45939</v>
      </c>
      <c r="E2182" s="3" t="s">
        <v>1029</v>
      </c>
      <c r="F2182" s="43" t="b">
        <v>1</v>
      </c>
      <c r="G2182" s="43" t="b">
        <v>1</v>
      </c>
      <c r="H2182" s="44">
        <v>510</v>
      </c>
    </row>
    <row r="2183" spans="1:8" x14ac:dyDescent="0.3">
      <c r="A2183" s="42" t="s">
        <v>1932</v>
      </c>
      <c r="B2183" s="3" t="s">
        <v>1187</v>
      </c>
      <c r="C2183" s="4">
        <f t="shared" ca="1" si="92"/>
        <v>45910</v>
      </c>
      <c r="D2183" s="4">
        <f ca="1">TODAY()-111</f>
        <v>45926</v>
      </c>
      <c r="E2183" s="3" t="s">
        <v>1029</v>
      </c>
      <c r="F2183" s="43" t="b">
        <v>1</v>
      </c>
      <c r="G2183" s="43" t="b">
        <v>1</v>
      </c>
      <c r="H2183" s="44">
        <v>660</v>
      </c>
    </row>
    <row r="2184" spans="1:8" x14ac:dyDescent="0.3">
      <c r="A2184" s="42" t="s">
        <v>1151</v>
      </c>
      <c r="B2184" s="3" t="s">
        <v>1831</v>
      </c>
      <c r="C2184" s="4">
        <f t="shared" ca="1" si="92"/>
        <v>45910</v>
      </c>
      <c r="D2184" s="4">
        <f ca="1">TODAY()-106</f>
        <v>45931</v>
      </c>
      <c r="E2184" s="3" t="s">
        <v>1032</v>
      </c>
      <c r="F2184" s="43" t="b">
        <v>1</v>
      </c>
      <c r="G2184" s="43" t="b">
        <v>0</v>
      </c>
      <c r="H2184" s="44">
        <v>890</v>
      </c>
    </row>
    <row r="2185" spans="1:8" x14ac:dyDescent="0.3">
      <c r="A2185" s="42" t="s">
        <v>1233</v>
      </c>
      <c r="B2185" s="3" t="s">
        <v>1952</v>
      </c>
      <c r="C2185" s="4">
        <f t="shared" ca="1" si="92"/>
        <v>45910</v>
      </c>
      <c r="D2185" s="4">
        <f ca="1">TODAY()-112</f>
        <v>45925</v>
      </c>
      <c r="E2185" s="3" t="s">
        <v>1029</v>
      </c>
      <c r="F2185" s="43" t="b">
        <v>1</v>
      </c>
      <c r="G2185" s="43" t="b">
        <v>1</v>
      </c>
      <c r="H2185" s="44">
        <v>660</v>
      </c>
    </row>
    <row r="2186" spans="1:8" x14ac:dyDescent="0.3">
      <c r="A2186" s="42" t="s">
        <v>1860</v>
      </c>
      <c r="B2186" s="3" t="s">
        <v>1861</v>
      </c>
      <c r="C2186" s="4">
        <f t="shared" ca="1" si="92"/>
        <v>45910</v>
      </c>
      <c r="D2186" s="4">
        <f ca="1">TODAY()-115</f>
        <v>45922</v>
      </c>
      <c r="E2186" s="3" t="s">
        <v>1032</v>
      </c>
      <c r="F2186" s="43" t="b">
        <v>1</v>
      </c>
      <c r="G2186" s="43" t="b">
        <v>0</v>
      </c>
      <c r="H2186" s="44">
        <v>1000</v>
      </c>
    </row>
    <row r="2187" spans="1:8" x14ac:dyDescent="0.3">
      <c r="A2187" s="42" t="s">
        <v>1357</v>
      </c>
      <c r="B2187" s="3" t="s">
        <v>1358</v>
      </c>
      <c r="C2187" s="4">
        <f t="shared" ca="1" si="92"/>
        <v>45910</v>
      </c>
      <c r="D2187" s="4">
        <f ca="1">TODAY()-108</f>
        <v>45929</v>
      </c>
      <c r="E2187" s="3" t="s">
        <v>1032</v>
      </c>
      <c r="F2187" s="43" t="b">
        <v>1</v>
      </c>
      <c r="G2187" s="43" t="b">
        <v>0</v>
      </c>
      <c r="H2187" s="44">
        <v>1680</v>
      </c>
    </row>
    <row r="2188" spans="1:8" x14ac:dyDescent="0.3">
      <c r="A2188" s="42" t="s">
        <v>1262</v>
      </c>
      <c r="B2188" s="3" t="s">
        <v>1573</v>
      </c>
      <c r="C2188" s="4">
        <f t="shared" ca="1" si="92"/>
        <v>45910</v>
      </c>
      <c r="D2188" s="4">
        <f ca="1">TODAY()-107</f>
        <v>45930</v>
      </c>
      <c r="E2188" s="3" t="s">
        <v>1029</v>
      </c>
      <c r="F2188" s="43" t="b">
        <v>1</v>
      </c>
      <c r="G2188" s="43" t="b">
        <v>1</v>
      </c>
      <c r="H2188" s="44">
        <v>1120</v>
      </c>
    </row>
    <row r="2189" spans="1:8" x14ac:dyDescent="0.3">
      <c r="A2189" s="42" t="s">
        <v>1109</v>
      </c>
      <c r="B2189" s="3" t="s">
        <v>1110</v>
      </c>
      <c r="C2189" s="4">
        <f t="shared" ca="1" si="92"/>
        <v>45910</v>
      </c>
      <c r="D2189" s="4">
        <f ca="1">TODAY()-101</f>
        <v>45936</v>
      </c>
      <c r="E2189" s="3" t="s">
        <v>1029</v>
      </c>
      <c r="F2189" s="43" t="b">
        <v>1</v>
      </c>
      <c r="G2189" s="43" t="b">
        <v>1</v>
      </c>
      <c r="H2189" s="44">
        <v>260</v>
      </c>
    </row>
    <row r="2190" spans="1:8" x14ac:dyDescent="0.3">
      <c r="A2190" s="42" t="s">
        <v>1352</v>
      </c>
      <c r="B2190" s="3" t="s">
        <v>1353</v>
      </c>
      <c r="C2190" s="4">
        <f t="shared" ca="1" si="92"/>
        <v>45910</v>
      </c>
      <c r="D2190" s="4">
        <f ca="1">TODAY()-113</f>
        <v>45924</v>
      </c>
      <c r="E2190" s="3" t="s">
        <v>1029</v>
      </c>
      <c r="F2190" s="43" t="b">
        <v>1</v>
      </c>
      <c r="G2190" s="43" t="b">
        <v>1</v>
      </c>
      <c r="H2190" s="44">
        <v>1170</v>
      </c>
    </row>
    <row r="2191" spans="1:8" x14ac:dyDescent="0.3">
      <c r="A2191" s="42" t="s">
        <v>1233</v>
      </c>
      <c r="B2191" s="3" t="s">
        <v>1234</v>
      </c>
      <c r="C2191" s="4">
        <f t="shared" ca="1" si="92"/>
        <v>45910</v>
      </c>
      <c r="D2191" s="4">
        <f ca="1">TODAY()-109</f>
        <v>45928</v>
      </c>
      <c r="E2191" s="3" t="s">
        <v>1029</v>
      </c>
      <c r="F2191" s="43" t="b">
        <v>1</v>
      </c>
      <c r="G2191" s="43" t="b">
        <v>1</v>
      </c>
      <c r="H2191" s="44">
        <v>1820</v>
      </c>
    </row>
    <row r="2192" spans="1:8" x14ac:dyDescent="0.3">
      <c r="A2192" s="42" t="s">
        <v>1603</v>
      </c>
      <c r="B2192" s="3" t="s">
        <v>1666</v>
      </c>
      <c r="C2192" s="4">
        <f t="shared" ca="1" si="92"/>
        <v>45910</v>
      </c>
      <c r="D2192" s="4">
        <f ca="1">TODAY()-105</f>
        <v>45932</v>
      </c>
      <c r="E2192" s="3" t="s">
        <v>1029</v>
      </c>
      <c r="F2192" s="43" t="b">
        <v>1</v>
      </c>
      <c r="G2192" s="43" t="b">
        <v>1</v>
      </c>
      <c r="H2192" s="44">
        <v>240</v>
      </c>
    </row>
    <row r="2193" spans="1:8" x14ac:dyDescent="0.3">
      <c r="A2193" s="42" t="s">
        <v>1937</v>
      </c>
      <c r="B2193" s="3" t="s">
        <v>1938</v>
      </c>
      <c r="C2193" s="4">
        <f t="shared" ca="1" si="92"/>
        <v>45910</v>
      </c>
      <c r="D2193" s="42"/>
      <c r="E2193" s="3" t="s">
        <v>1108</v>
      </c>
      <c r="F2193" s="43" t="b">
        <v>0</v>
      </c>
      <c r="G2193" s="43" t="b">
        <v>0</v>
      </c>
      <c r="H2193" s="44">
        <v>2500</v>
      </c>
    </row>
    <row r="2194" spans="1:8" x14ac:dyDescent="0.3">
      <c r="A2194" s="42" t="s">
        <v>1229</v>
      </c>
      <c r="B2194" s="3" t="s">
        <v>1757</v>
      </c>
      <c r="C2194" s="4">
        <f t="shared" ca="1" si="92"/>
        <v>45910</v>
      </c>
      <c r="D2194" s="4">
        <f ca="1">TODAY()-108</f>
        <v>45929</v>
      </c>
      <c r="E2194" s="3" t="s">
        <v>1029</v>
      </c>
      <c r="F2194" s="43" t="b">
        <v>1</v>
      </c>
      <c r="G2194" s="43" t="b">
        <v>1</v>
      </c>
      <c r="H2194" s="44">
        <v>2200</v>
      </c>
    </row>
    <row r="2195" spans="1:8" x14ac:dyDescent="0.3">
      <c r="A2195" s="42" t="s">
        <v>1624</v>
      </c>
      <c r="B2195" s="3" t="s">
        <v>1849</v>
      </c>
      <c r="C2195" s="4">
        <f t="shared" ca="1" si="92"/>
        <v>45910</v>
      </c>
      <c r="D2195" s="4">
        <f t="shared" ref="D2195:D2196" ca="1" si="97">TODAY()-114</f>
        <v>45923</v>
      </c>
      <c r="E2195" s="3" t="s">
        <v>1032</v>
      </c>
      <c r="F2195" s="43" t="b">
        <v>1</v>
      </c>
      <c r="G2195" s="43" t="b">
        <v>0</v>
      </c>
      <c r="H2195" s="44">
        <v>1250</v>
      </c>
    </row>
    <row r="2196" spans="1:8" x14ac:dyDescent="0.3">
      <c r="A2196" s="42" t="s">
        <v>1054</v>
      </c>
      <c r="B2196" s="3" t="s">
        <v>1381</v>
      </c>
      <c r="C2196" s="4">
        <f t="shared" ca="1" si="92"/>
        <v>45910</v>
      </c>
      <c r="D2196" s="4">
        <f t="shared" ca="1" si="97"/>
        <v>45923</v>
      </c>
      <c r="E2196" s="3" t="s">
        <v>1029</v>
      </c>
      <c r="F2196" s="43" t="b">
        <v>1</v>
      </c>
      <c r="G2196" s="43" t="b">
        <v>1</v>
      </c>
      <c r="H2196" s="44">
        <v>1240</v>
      </c>
    </row>
    <row r="2197" spans="1:8" x14ac:dyDescent="0.3">
      <c r="A2197" s="42" t="s">
        <v>1932</v>
      </c>
      <c r="B2197" s="3" t="s">
        <v>1187</v>
      </c>
      <c r="C2197" s="4">
        <f t="shared" ca="1" si="92"/>
        <v>45910</v>
      </c>
      <c r="D2197" s="4">
        <f ca="1">TODAY()-106</f>
        <v>45931</v>
      </c>
      <c r="E2197" s="3" t="s">
        <v>1029</v>
      </c>
      <c r="F2197" s="43" t="b">
        <v>1</v>
      </c>
      <c r="G2197" s="43" t="b">
        <v>1</v>
      </c>
      <c r="H2197" s="44">
        <v>660</v>
      </c>
    </row>
    <row r="2198" spans="1:8" x14ac:dyDescent="0.3">
      <c r="A2198" s="42" t="s">
        <v>1519</v>
      </c>
      <c r="B2198" s="3" t="s">
        <v>1520</v>
      </c>
      <c r="C2198" s="4">
        <f t="shared" ca="1" si="92"/>
        <v>45910</v>
      </c>
      <c r="D2198" s="42"/>
      <c r="E2198" s="3" t="s">
        <v>1103</v>
      </c>
      <c r="F2198" s="43" t="b">
        <v>0</v>
      </c>
      <c r="G2198" s="43" t="b">
        <v>0</v>
      </c>
      <c r="H2198" s="44">
        <v>1030</v>
      </c>
    </row>
    <row r="2199" spans="1:8" x14ac:dyDescent="0.3">
      <c r="A2199" s="42" t="s">
        <v>1852</v>
      </c>
      <c r="B2199" s="3" t="s">
        <v>1853</v>
      </c>
      <c r="C2199" s="4">
        <f t="shared" ca="1" si="92"/>
        <v>45910</v>
      </c>
      <c r="D2199" s="4">
        <f ca="1">TODAY()-107</f>
        <v>45930</v>
      </c>
      <c r="E2199" s="3" t="s">
        <v>1032</v>
      </c>
      <c r="F2199" s="43" t="b">
        <v>1</v>
      </c>
      <c r="G2199" s="43" t="b">
        <v>0</v>
      </c>
      <c r="H2199" s="44">
        <v>1450</v>
      </c>
    </row>
    <row r="2200" spans="1:8" x14ac:dyDescent="0.3">
      <c r="A2200" s="42" t="s">
        <v>1143</v>
      </c>
      <c r="B2200" s="3" t="s">
        <v>1144</v>
      </c>
      <c r="C2200" s="4">
        <f t="shared" ca="1" si="92"/>
        <v>45910</v>
      </c>
      <c r="D2200" s="4">
        <f ca="1">TODAY()-100</f>
        <v>45937</v>
      </c>
      <c r="E2200" s="3" t="s">
        <v>1029</v>
      </c>
      <c r="F2200" s="43" t="b">
        <v>1</v>
      </c>
      <c r="G2200" s="43" t="b">
        <v>1</v>
      </c>
      <c r="H2200" s="44">
        <v>560</v>
      </c>
    </row>
    <row r="2201" spans="1:8" x14ac:dyDescent="0.3">
      <c r="A2201" s="42" t="s">
        <v>1593</v>
      </c>
      <c r="B2201" s="3" t="s">
        <v>1293</v>
      </c>
      <c r="C2201" s="4">
        <f t="shared" ca="1" si="92"/>
        <v>45910</v>
      </c>
      <c r="D2201" s="42"/>
      <c r="E2201" s="3" t="s">
        <v>1108</v>
      </c>
      <c r="F2201" s="43" t="b">
        <v>0</v>
      </c>
      <c r="G2201" s="43" t="b">
        <v>0</v>
      </c>
      <c r="H2201" s="44">
        <v>430</v>
      </c>
    </row>
    <row r="2202" spans="1:8" x14ac:dyDescent="0.3">
      <c r="A2202" s="42" t="s">
        <v>1702</v>
      </c>
      <c r="B2202" s="3" t="s">
        <v>1201</v>
      </c>
      <c r="C2202" s="4">
        <f t="shared" ca="1" si="92"/>
        <v>45910</v>
      </c>
      <c r="D2202" s="4">
        <f ca="1">TODAY()-106</f>
        <v>45931</v>
      </c>
      <c r="E2202" s="3" t="s">
        <v>1029</v>
      </c>
      <c r="F2202" s="43" t="b">
        <v>1</v>
      </c>
      <c r="G2202" s="43" t="b">
        <v>1</v>
      </c>
      <c r="H2202" s="44">
        <v>2790</v>
      </c>
    </row>
    <row r="2203" spans="1:8" x14ac:dyDescent="0.3">
      <c r="A2203" s="42" t="s">
        <v>1620</v>
      </c>
      <c r="B2203" s="3" t="s">
        <v>1621</v>
      </c>
      <c r="C2203" s="4">
        <f t="shared" ref="C2203:C2335" ca="1" si="98">TODAY()-96</f>
        <v>45941</v>
      </c>
      <c r="D2203" s="4">
        <f ca="1">TODAY()-78</f>
        <v>45959</v>
      </c>
      <c r="E2203" s="3" t="s">
        <v>1032</v>
      </c>
      <c r="F2203" s="43" t="b">
        <v>1</v>
      </c>
      <c r="G2203" s="43" t="b">
        <v>0</v>
      </c>
      <c r="H2203" s="44">
        <v>120</v>
      </c>
    </row>
    <row r="2204" spans="1:8" x14ac:dyDescent="0.3">
      <c r="A2204" s="42" t="s">
        <v>1472</v>
      </c>
      <c r="B2204" s="3" t="s">
        <v>1974</v>
      </c>
      <c r="C2204" s="4">
        <f t="shared" ca="1" si="98"/>
        <v>45941</v>
      </c>
      <c r="D2204" s="42"/>
      <c r="E2204" s="3" t="s">
        <v>1037</v>
      </c>
      <c r="F2204" s="43" t="b">
        <v>0</v>
      </c>
      <c r="G2204" s="43" t="b">
        <v>0</v>
      </c>
      <c r="H2204" s="44">
        <v>130</v>
      </c>
    </row>
    <row r="2205" spans="1:8" x14ac:dyDescent="0.3">
      <c r="A2205" s="42" t="s">
        <v>1543</v>
      </c>
      <c r="B2205" s="3" t="s">
        <v>1948</v>
      </c>
      <c r="C2205" s="4">
        <f t="shared" ca="1" si="98"/>
        <v>45941</v>
      </c>
      <c r="D2205" s="4">
        <f ca="1">TODAY()-84</f>
        <v>45953</v>
      </c>
      <c r="E2205" s="3" t="s">
        <v>1029</v>
      </c>
      <c r="F2205" s="43" t="b">
        <v>1</v>
      </c>
      <c r="G2205" s="43" t="b">
        <v>1</v>
      </c>
      <c r="H2205" s="44">
        <v>1460</v>
      </c>
    </row>
    <row r="2206" spans="1:8" x14ac:dyDescent="0.3">
      <c r="A2206" s="42" t="s">
        <v>1033</v>
      </c>
      <c r="B2206" s="3" t="s">
        <v>1457</v>
      </c>
      <c r="C2206" s="4">
        <f t="shared" ca="1" si="98"/>
        <v>45941</v>
      </c>
      <c r="D2206" s="4">
        <f ca="1">TODAY()-86</f>
        <v>45951</v>
      </c>
      <c r="E2206" s="3" t="s">
        <v>1032</v>
      </c>
      <c r="F2206" s="43" t="b">
        <v>1</v>
      </c>
      <c r="G2206" s="43" t="b">
        <v>0</v>
      </c>
      <c r="H2206" s="44">
        <v>550</v>
      </c>
    </row>
    <row r="2207" spans="1:8" x14ac:dyDescent="0.3">
      <c r="A2207" s="42" t="s">
        <v>1735</v>
      </c>
      <c r="B2207" s="3" t="s">
        <v>1736</v>
      </c>
      <c r="C2207" s="4">
        <f t="shared" ca="1" si="98"/>
        <v>45941</v>
      </c>
      <c r="D2207" s="4">
        <f ca="1">TODAY()-70</f>
        <v>45967</v>
      </c>
      <c r="E2207" s="3" t="s">
        <v>1032</v>
      </c>
      <c r="F2207" s="43" t="b">
        <v>1</v>
      </c>
      <c r="G2207" s="43" t="b">
        <v>0</v>
      </c>
      <c r="H2207" s="44">
        <v>1300</v>
      </c>
    </row>
    <row r="2208" spans="1:8" x14ac:dyDescent="0.3">
      <c r="A2208" s="42" t="s">
        <v>1296</v>
      </c>
      <c r="B2208" s="3" t="s">
        <v>1297</v>
      </c>
      <c r="C2208" s="4">
        <f t="shared" ca="1" si="98"/>
        <v>45941</v>
      </c>
      <c r="D2208" s="4">
        <f ca="1">TODAY()-74</f>
        <v>45963</v>
      </c>
      <c r="E2208" s="3" t="s">
        <v>1029</v>
      </c>
      <c r="F2208" s="43" t="b">
        <v>1</v>
      </c>
      <c r="G2208" s="43" t="b">
        <v>1</v>
      </c>
      <c r="H2208" s="44">
        <v>530</v>
      </c>
    </row>
    <row r="2209" spans="1:8" x14ac:dyDescent="0.3">
      <c r="A2209" s="42" t="s">
        <v>1286</v>
      </c>
      <c r="B2209" s="3" t="s">
        <v>1287</v>
      </c>
      <c r="C2209" s="4">
        <f t="shared" ca="1" si="98"/>
        <v>45941</v>
      </c>
      <c r="D2209" s="4">
        <f ca="1">TODAY()-77</f>
        <v>45960</v>
      </c>
      <c r="E2209" s="3" t="s">
        <v>1032</v>
      </c>
      <c r="F2209" s="43" t="b">
        <v>1</v>
      </c>
      <c r="G2209" s="43" t="b">
        <v>0</v>
      </c>
      <c r="H2209" s="44">
        <v>2280</v>
      </c>
    </row>
    <row r="2210" spans="1:8" x14ac:dyDescent="0.3">
      <c r="A2210" s="42" t="s">
        <v>1553</v>
      </c>
      <c r="B2210" s="3" t="s">
        <v>1554</v>
      </c>
      <c r="C2210" s="4">
        <f t="shared" ca="1" si="98"/>
        <v>45941</v>
      </c>
      <c r="D2210" s="4">
        <f ca="1">TODAY()-86</f>
        <v>45951</v>
      </c>
      <c r="E2210" s="3" t="s">
        <v>1029</v>
      </c>
      <c r="F2210" s="43" t="b">
        <v>1</v>
      </c>
      <c r="G2210" s="43" t="b">
        <v>1</v>
      </c>
      <c r="H2210" s="44">
        <v>120</v>
      </c>
    </row>
    <row r="2211" spans="1:8" x14ac:dyDescent="0.3">
      <c r="A2211" s="42" t="s">
        <v>1551</v>
      </c>
      <c r="B2211" s="3" t="s">
        <v>1144</v>
      </c>
      <c r="C2211" s="4">
        <f t="shared" ca="1" si="98"/>
        <v>45941</v>
      </c>
      <c r="D2211" s="42"/>
      <c r="E2211" s="3" t="s">
        <v>1077</v>
      </c>
      <c r="F2211" s="43" t="b">
        <v>0</v>
      </c>
      <c r="G2211" s="43" t="b">
        <v>0</v>
      </c>
      <c r="H2211" s="44">
        <v>1860</v>
      </c>
    </row>
    <row r="2212" spans="1:8" x14ac:dyDescent="0.3">
      <c r="A2212" s="42" t="s">
        <v>1474</v>
      </c>
      <c r="B2212" s="3" t="s">
        <v>1475</v>
      </c>
      <c r="C2212" s="4">
        <f t="shared" ca="1" si="98"/>
        <v>45941</v>
      </c>
      <c r="D2212" s="4">
        <f ca="1">TODAY()-79</f>
        <v>45958</v>
      </c>
      <c r="E2212" s="3" t="s">
        <v>1029</v>
      </c>
      <c r="F2212" s="43" t="b">
        <v>1</v>
      </c>
      <c r="G2212" s="43" t="b">
        <v>1</v>
      </c>
      <c r="H2212" s="44">
        <v>630</v>
      </c>
    </row>
    <row r="2213" spans="1:8" x14ac:dyDescent="0.3">
      <c r="A2213" s="42" t="s">
        <v>1113</v>
      </c>
      <c r="B2213" s="3" t="s">
        <v>1114</v>
      </c>
      <c r="C2213" s="4">
        <f t="shared" ca="1" si="98"/>
        <v>45941</v>
      </c>
      <c r="D2213" s="4">
        <f ca="1">TODAY()-77</f>
        <v>45960</v>
      </c>
      <c r="E2213" s="3" t="s">
        <v>1029</v>
      </c>
      <c r="F2213" s="43" t="b">
        <v>1</v>
      </c>
      <c r="G2213" s="43" t="b">
        <v>1</v>
      </c>
      <c r="H2213" s="44">
        <v>390</v>
      </c>
    </row>
    <row r="2214" spans="1:8" x14ac:dyDescent="0.3">
      <c r="A2214" s="42" t="s">
        <v>1442</v>
      </c>
      <c r="B2214" s="3" t="s">
        <v>1810</v>
      </c>
      <c r="C2214" s="4">
        <f t="shared" ca="1" si="98"/>
        <v>45941</v>
      </c>
      <c r="D2214" s="4">
        <f ca="1">TODAY()-67</f>
        <v>45970</v>
      </c>
      <c r="E2214" s="3" t="s">
        <v>1029</v>
      </c>
      <c r="F2214" s="43" t="b">
        <v>1</v>
      </c>
      <c r="G2214" s="43" t="b">
        <v>1</v>
      </c>
      <c r="H2214" s="44">
        <v>1930</v>
      </c>
    </row>
    <row r="2215" spans="1:8" x14ac:dyDescent="0.3">
      <c r="A2215" s="42" t="s">
        <v>1825</v>
      </c>
      <c r="B2215" s="3" t="s">
        <v>1826</v>
      </c>
      <c r="C2215" s="4">
        <f t="shared" ca="1" si="98"/>
        <v>45941</v>
      </c>
      <c r="D2215" s="4">
        <f ca="1">TODAY()-82</f>
        <v>45955</v>
      </c>
      <c r="E2215" s="3" t="s">
        <v>1032</v>
      </c>
      <c r="F2215" s="43" t="b">
        <v>1</v>
      </c>
      <c r="G2215" s="43" t="b">
        <v>0</v>
      </c>
      <c r="H2215" s="44">
        <v>1780</v>
      </c>
    </row>
    <row r="2216" spans="1:8" x14ac:dyDescent="0.3">
      <c r="A2216" s="42" t="s">
        <v>1758</v>
      </c>
      <c r="B2216" s="3" t="s">
        <v>1275</v>
      </c>
      <c r="C2216" s="4">
        <f t="shared" ca="1" si="98"/>
        <v>45941</v>
      </c>
      <c r="D2216" s="42"/>
      <c r="E2216" s="3" t="s">
        <v>1103</v>
      </c>
      <c r="F2216" s="43" t="b">
        <v>0</v>
      </c>
      <c r="G2216" s="43" t="b">
        <v>0</v>
      </c>
      <c r="H2216" s="44">
        <v>370</v>
      </c>
    </row>
    <row r="2217" spans="1:8" x14ac:dyDescent="0.3">
      <c r="A2217" s="42" t="s">
        <v>1314</v>
      </c>
      <c r="B2217" s="3" t="s">
        <v>1733</v>
      </c>
      <c r="C2217" s="4">
        <f t="shared" ca="1" si="98"/>
        <v>45941</v>
      </c>
      <c r="D2217" s="4">
        <f ca="1">TODAY()-68</f>
        <v>45969</v>
      </c>
      <c r="E2217" s="3" t="s">
        <v>1029</v>
      </c>
      <c r="F2217" s="43" t="b">
        <v>1</v>
      </c>
      <c r="G2217" s="43" t="b">
        <v>1</v>
      </c>
      <c r="H2217" s="44">
        <v>730</v>
      </c>
    </row>
    <row r="2218" spans="1:8" x14ac:dyDescent="0.3">
      <c r="A2218" s="42" t="s">
        <v>1583</v>
      </c>
      <c r="B2218" s="3" t="s">
        <v>1584</v>
      </c>
      <c r="C2218" s="4">
        <f t="shared" ca="1" si="98"/>
        <v>45941</v>
      </c>
      <c r="D2218" s="4">
        <f ca="1">TODAY()-71</f>
        <v>45966</v>
      </c>
      <c r="E2218" s="3" t="s">
        <v>1032</v>
      </c>
      <c r="F2218" s="43" t="b">
        <v>1</v>
      </c>
      <c r="G2218" s="43" t="b">
        <v>0</v>
      </c>
      <c r="H2218" s="44">
        <v>1750</v>
      </c>
    </row>
    <row r="2219" spans="1:8" x14ac:dyDescent="0.3">
      <c r="A2219" s="42" t="s">
        <v>1830</v>
      </c>
      <c r="B2219" s="3" t="s">
        <v>1990</v>
      </c>
      <c r="C2219" s="4">
        <f t="shared" ca="1" si="98"/>
        <v>45941</v>
      </c>
      <c r="D2219" s="42"/>
      <c r="E2219" s="3" t="s">
        <v>1037</v>
      </c>
      <c r="F2219" s="43" t="b">
        <v>0</v>
      </c>
      <c r="G2219" s="43" t="b">
        <v>0</v>
      </c>
      <c r="H2219" s="44">
        <v>2310</v>
      </c>
    </row>
    <row r="2220" spans="1:8" x14ac:dyDescent="0.3">
      <c r="A2220" s="42" t="s">
        <v>1993</v>
      </c>
      <c r="B2220" s="3" t="s">
        <v>1994</v>
      </c>
      <c r="C2220" s="4">
        <f t="shared" ca="1" si="98"/>
        <v>45941</v>
      </c>
      <c r="D2220" s="42"/>
      <c r="E2220" s="3" t="s">
        <v>1101</v>
      </c>
      <c r="F2220" s="43" t="b">
        <v>0</v>
      </c>
      <c r="G2220" s="43" t="b">
        <v>0</v>
      </c>
      <c r="H2220" s="44">
        <v>1080</v>
      </c>
    </row>
    <row r="2221" spans="1:8" x14ac:dyDescent="0.3">
      <c r="A2221" s="42" t="s">
        <v>1652</v>
      </c>
      <c r="B2221" s="3" t="s">
        <v>1752</v>
      </c>
      <c r="C2221" s="4">
        <f t="shared" ca="1" si="98"/>
        <v>45941</v>
      </c>
      <c r="D2221" s="42"/>
      <c r="E2221" s="3" t="s">
        <v>1101</v>
      </c>
      <c r="F2221" s="43" t="b">
        <v>0</v>
      </c>
      <c r="G2221" s="43" t="b">
        <v>0</v>
      </c>
      <c r="H2221" s="44">
        <v>560</v>
      </c>
    </row>
    <row r="2222" spans="1:8" x14ac:dyDescent="0.3">
      <c r="A2222" s="42" t="s">
        <v>1947</v>
      </c>
      <c r="B2222" s="3" t="s">
        <v>1991</v>
      </c>
      <c r="C2222" s="4">
        <f t="shared" ca="1" si="98"/>
        <v>45941</v>
      </c>
      <c r="D2222" s="42"/>
      <c r="E2222" s="3" t="s">
        <v>1037</v>
      </c>
      <c r="F2222" s="43" t="b">
        <v>0</v>
      </c>
      <c r="G2222" s="43" t="b">
        <v>0</v>
      </c>
      <c r="H2222" s="44">
        <v>270</v>
      </c>
    </row>
    <row r="2223" spans="1:8" x14ac:dyDescent="0.3">
      <c r="A2223" s="42" t="s">
        <v>1385</v>
      </c>
      <c r="B2223" s="3" t="s">
        <v>1386</v>
      </c>
      <c r="C2223" s="4">
        <f t="shared" ca="1" si="98"/>
        <v>45941</v>
      </c>
      <c r="D2223" s="4">
        <f ca="1">TODAY()-75</f>
        <v>45962</v>
      </c>
      <c r="E2223" s="3" t="s">
        <v>1032</v>
      </c>
      <c r="F2223" s="43" t="b">
        <v>1</v>
      </c>
      <c r="G2223" s="43" t="b">
        <v>0</v>
      </c>
      <c r="H2223" s="44">
        <v>1700</v>
      </c>
    </row>
    <row r="2224" spans="1:8" x14ac:dyDescent="0.3">
      <c r="A2224" s="42" t="s">
        <v>1970</v>
      </c>
      <c r="B2224" s="3" t="s">
        <v>1971</v>
      </c>
      <c r="C2224" s="4">
        <f t="shared" ca="1" si="98"/>
        <v>45941</v>
      </c>
      <c r="D2224" s="4">
        <f ca="1">TODAY()-70</f>
        <v>45967</v>
      </c>
      <c r="E2224" s="3" t="s">
        <v>1029</v>
      </c>
      <c r="F2224" s="43" t="b">
        <v>1</v>
      </c>
      <c r="G2224" s="43" t="b">
        <v>1</v>
      </c>
      <c r="H2224" s="44">
        <v>1450</v>
      </c>
    </row>
    <row r="2225" spans="1:8" x14ac:dyDescent="0.3">
      <c r="A2225" s="42" t="s">
        <v>1151</v>
      </c>
      <c r="B2225" s="3" t="s">
        <v>1152</v>
      </c>
      <c r="C2225" s="4">
        <f t="shared" ca="1" si="98"/>
        <v>45941</v>
      </c>
      <c r="D2225" s="4">
        <f ca="1">TODAY()-69</f>
        <v>45968</v>
      </c>
      <c r="E2225" s="3" t="s">
        <v>1032</v>
      </c>
      <c r="F2225" s="43" t="b">
        <v>1</v>
      </c>
      <c r="G2225" s="43" t="b">
        <v>0</v>
      </c>
      <c r="H2225" s="44">
        <v>2260</v>
      </c>
    </row>
    <row r="2226" spans="1:8" x14ac:dyDescent="0.3">
      <c r="A2226" s="42" t="s">
        <v>1797</v>
      </c>
      <c r="B2226" s="3" t="s">
        <v>1798</v>
      </c>
      <c r="C2226" s="4">
        <f t="shared" ca="1" si="98"/>
        <v>45941</v>
      </c>
      <c r="D2226" s="4">
        <f t="shared" ref="D2226:D2227" ca="1" si="99">TODAY()-76</f>
        <v>45961</v>
      </c>
      <c r="E2226" s="3" t="s">
        <v>1029</v>
      </c>
      <c r="F2226" s="43" t="b">
        <v>1</v>
      </c>
      <c r="G2226" s="43" t="b">
        <v>1</v>
      </c>
      <c r="H2226" s="44">
        <v>1640</v>
      </c>
    </row>
    <row r="2227" spans="1:8" x14ac:dyDescent="0.3">
      <c r="A2227" s="42" t="s">
        <v>1529</v>
      </c>
      <c r="B2227" s="45" t="s">
        <v>1981</v>
      </c>
      <c r="C2227" s="4">
        <f t="shared" ca="1" si="98"/>
        <v>45941</v>
      </c>
      <c r="D2227" s="4">
        <f t="shared" ca="1" si="99"/>
        <v>45961</v>
      </c>
      <c r="E2227" s="3" t="s">
        <v>1032</v>
      </c>
      <c r="F2227" s="43" t="b">
        <v>1</v>
      </c>
      <c r="G2227" s="43" t="b">
        <v>0</v>
      </c>
      <c r="H2227" s="44">
        <v>950</v>
      </c>
    </row>
    <row r="2228" spans="1:8" x14ac:dyDescent="0.3">
      <c r="A2228" s="42" t="s">
        <v>1462</v>
      </c>
      <c r="B2228" s="3" t="s">
        <v>1251</v>
      </c>
      <c r="C2228" s="4">
        <f t="shared" ca="1" si="98"/>
        <v>45941</v>
      </c>
      <c r="D2228" s="42"/>
      <c r="E2228" s="3" t="s">
        <v>1108</v>
      </c>
      <c r="F2228" s="43" t="b">
        <v>0</v>
      </c>
      <c r="G2228" s="43" t="b">
        <v>0</v>
      </c>
      <c r="H2228" s="44">
        <v>1800</v>
      </c>
    </row>
    <row r="2229" spans="1:8" x14ac:dyDescent="0.3">
      <c r="A2229" s="42" t="s">
        <v>1649</v>
      </c>
      <c r="B2229" s="3" t="s">
        <v>1880</v>
      </c>
      <c r="C2229" s="4">
        <f t="shared" ca="1" si="98"/>
        <v>45941</v>
      </c>
      <c r="D2229" s="4">
        <f ca="1">TODAY()-70</f>
        <v>45967</v>
      </c>
      <c r="E2229" s="3" t="s">
        <v>1029</v>
      </c>
      <c r="F2229" s="43" t="b">
        <v>1</v>
      </c>
      <c r="G2229" s="43" t="b">
        <v>1</v>
      </c>
      <c r="H2229" s="44">
        <v>1860</v>
      </c>
    </row>
    <row r="2230" spans="1:8" x14ac:dyDescent="0.3">
      <c r="A2230" s="42" t="s">
        <v>1198</v>
      </c>
      <c r="B2230" s="3" t="s">
        <v>1199</v>
      </c>
      <c r="C2230" s="4">
        <f t="shared" ca="1" si="98"/>
        <v>45941</v>
      </c>
      <c r="D2230" s="4">
        <f ca="1">TODAY()-80</f>
        <v>45957</v>
      </c>
      <c r="E2230" s="3" t="s">
        <v>1029</v>
      </c>
      <c r="F2230" s="43" t="b">
        <v>1</v>
      </c>
      <c r="G2230" s="43" t="b">
        <v>1</v>
      </c>
      <c r="H2230" s="44">
        <v>190</v>
      </c>
    </row>
    <row r="2231" spans="1:8" x14ac:dyDescent="0.3">
      <c r="A2231" s="42" t="s">
        <v>1254</v>
      </c>
      <c r="B2231" s="3" t="s">
        <v>1255</v>
      </c>
      <c r="C2231" s="4">
        <f t="shared" ca="1" si="98"/>
        <v>45941</v>
      </c>
      <c r="D2231" s="4">
        <f ca="1">TODAY()-75</f>
        <v>45962</v>
      </c>
      <c r="E2231" s="3" t="s">
        <v>1029</v>
      </c>
      <c r="F2231" s="43" t="b">
        <v>1</v>
      </c>
      <c r="G2231" s="43" t="b">
        <v>1</v>
      </c>
      <c r="H2231" s="44">
        <v>1210</v>
      </c>
    </row>
    <row r="2232" spans="1:8" x14ac:dyDescent="0.3">
      <c r="A2232" s="42" t="s">
        <v>1601</v>
      </c>
      <c r="B2232" s="3" t="s">
        <v>1602</v>
      </c>
      <c r="C2232" s="4">
        <f t="shared" ca="1" si="98"/>
        <v>45941</v>
      </c>
      <c r="D2232" s="42"/>
      <c r="E2232" s="3" t="s">
        <v>1108</v>
      </c>
      <c r="F2232" s="43" t="b">
        <v>0</v>
      </c>
      <c r="G2232" s="43" t="b">
        <v>0</v>
      </c>
      <c r="H2232" s="44">
        <v>2340</v>
      </c>
    </row>
    <row r="2233" spans="1:8" x14ac:dyDescent="0.3">
      <c r="A2233" s="42" t="s">
        <v>1281</v>
      </c>
      <c r="B2233" s="3" t="s">
        <v>1114</v>
      </c>
      <c r="C2233" s="4">
        <f t="shared" ca="1" si="98"/>
        <v>45941</v>
      </c>
      <c r="D2233" s="4">
        <f ca="1">TODAY()-84</f>
        <v>45953</v>
      </c>
      <c r="E2233" s="3" t="s">
        <v>1029</v>
      </c>
      <c r="F2233" s="43" t="b">
        <v>1</v>
      </c>
      <c r="G2233" s="43" t="b">
        <v>1</v>
      </c>
      <c r="H2233" s="44">
        <v>4710</v>
      </c>
    </row>
    <row r="2234" spans="1:8" x14ac:dyDescent="0.3">
      <c r="A2234" s="42" t="s">
        <v>1125</v>
      </c>
      <c r="B2234" s="3" t="s">
        <v>1634</v>
      </c>
      <c r="C2234" s="4">
        <f t="shared" ca="1" si="98"/>
        <v>45941</v>
      </c>
      <c r="D2234" s="4">
        <f ca="1">TODAY()-80</f>
        <v>45957</v>
      </c>
      <c r="E2234" s="3" t="s">
        <v>1032</v>
      </c>
      <c r="F2234" s="43" t="b">
        <v>1</v>
      </c>
      <c r="G2234" s="43" t="b">
        <v>0</v>
      </c>
      <c r="H2234" s="44">
        <v>2490</v>
      </c>
    </row>
    <row r="2235" spans="1:8" x14ac:dyDescent="0.3">
      <c r="A2235" s="42" t="s">
        <v>1767</v>
      </c>
      <c r="B2235" s="3" t="s">
        <v>1768</v>
      </c>
      <c r="C2235" s="4">
        <f t="shared" ca="1" si="98"/>
        <v>45941</v>
      </c>
      <c r="D2235" s="4">
        <f ca="1">TODAY()-75</f>
        <v>45962</v>
      </c>
      <c r="E2235" s="3" t="s">
        <v>1029</v>
      </c>
      <c r="F2235" s="43" t="b">
        <v>1</v>
      </c>
      <c r="G2235" s="43" t="b">
        <v>1</v>
      </c>
      <c r="H2235" s="44">
        <v>110</v>
      </c>
    </row>
    <row r="2236" spans="1:8" x14ac:dyDescent="0.3">
      <c r="A2236" s="42" t="s">
        <v>1727</v>
      </c>
      <c r="B2236" s="3" t="s">
        <v>1728</v>
      </c>
      <c r="C2236" s="4">
        <f t="shared" ca="1" si="98"/>
        <v>45941</v>
      </c>
      <c r="D2236" s="4">
        <f ca="1">TODAY()-67</f>
        <v>45970</v>
      </c>
      <c r="E2236" s="3" t="s">
        <v>1029</v>
      </c>
      <c r="F2236" s="43" t="b">
        <v>1</v>
      </c>
      <c r="G2236" s="43" t="b">
        <v>1</v>
      </c>
      <c r="H2236" s="44">
        <v>1000</v>
      </c>
    </row>
    <row r="2237" spans="1:8" x14ac:dyDescent="0.3">
      <c r="A2237" s="42" t="s">
        <v>1896</v>
      </c>
      <c r="B2237" s="3" t="s">
        <v>1897</v>
      </c>
      <c r="C2237" s="4">
        <f t="shared" ca="1" si="98"/>
        <v>45941</v>
      </c>
      <c r="D2237" s="42"/>
      <c r="E2237" s="3" t="s">
        <v>1108</v>
      </c>
      <c r="F2237" s="43" t="b">
        <v>0</v>
      </c>
      <c r="G2237" s="43" t="b">
        <v>0</v>
      </c>
      <c r="H2237" s="44">
        <v>1040</v>
      </c>
    </row>
    <row r="2238" spans="1:8" x14ac:dyDescent="0.3">
      <c r="A2238" s="42" t="s">
        <v>1763</v>
      </c>
      <c r="B2238" s="3" t="s">
        <v>1764</v>
      </c>
      <c r="C2238" s="4">
        <f t="shared" ca="1" si="98"/>
        <v>45941</v>
      </c>
      <c r="D2238" s="4">
        <f ca="1">TODAY()-75</f>
        <v>45962</v>
      </c>
      <c r="E2238" s="3" t="s">
        <v>1029</v>
      </c>
      <c r="F2238" s="43" t="b">
        <v>1</v>
      </c>
      <c r="G2238" s="43" t="b">
        <v>1</v>
      </c>
      <c r="H2238" s="44">
        <v>2130</v>
      </c>
    </row>
    <row r="2239" spans="1:8" x14ac:dyDescent="0.3">
      <c r="A2239" s="42" t="s">
        <v>1845</v>
      </c>
      <c r="B2239" s="3" t="s">
        <v>1846</v>
      </c>
      <c r="C2239" s="4">
        <f t="shared" ca="1" si="98"/>
        <v>45941</v>
      </c>
      <c r="D2239" s="4">
        <f ca="1">TODAY()-78</f>
        <v>45959</v>
      </c>
      <c r="E2239" s="3" t="s">
        <v>1032</v>
      </c>
      <c r="F2239" s="43" t="b">
        <v>1</v>
      </c>
      <c r="G2239" s="43" t="b">
        <v>0</v>
      </c>
      <c r="H2239" s="44">
        <v>1300</v>
      </c>
    </row>
    <row r="2240" spans="1:8" x14ac:dyDescent="0.3">
      <c r="A2240" s="42" t="s">
        <v>1822</v>
      </c>
      <c r="B2240" s="3" t="s">
        <v>1823</v>
      </c>
      <c r="C2240" s="4">
        <f t="shared" ca="1" si="98"/>
        <v>45941</v>
      </c>
      <c r="D2240" s="4">
        <f ca="1">TODAY()-66</f>
        <v>45971</v>
      </c>
      <c r="E2240" s="3" t="s">
        <v>1029</v>
      </c>
      <c r="F2240" s="43" t="b">
        <v>1</v>
      </c>
      <c r="G2240" s="43" t="b">
        <v>1</v>
      </c>
      <c r="H2240" s="44">
        <v>1020</v>
      </c>
    </row>
    <row r="2241" spans="1:8" x14ac:dyDescent="0.3">
      <c r="A2241" s="42" t="s">
        <v>1081</v>
      </c>
      <c r="B2241" s="3" t="s">
        <v>1082</v>
      </c>
      <c r="C2241" s="4">
        <f t="shared" ca="1" si="98"/>
        <v>45941</v>
      </c>
      <c r="D2241" s="4">
        <f ca="1">TODAY()-80</f>
        <v>45957</v>
      </c>
      <c r="E2241" s="3" t="s">
        <v>1029</v>
      </c>
      <c r="F2241" s="43" t="b">
        <v>1</v>
      </c>
      <c r="G2241" s="43" t="b">
        <v>1</v>
      </c>
      <c r="H2241" s="44">
        <v>2430</v>
      </c>
    </row>
    <row r="2242" spans="1:8" x14ac:dyDescent="0.3">
      <c r="A2242" s="42" t="s">
        <v>1694</v>
      </c>
      <c r="B2242" s="3" t="s">
        <v>1608</v>
      </c>
      <c r="C2242" s="4">
        <f t="shared" ca="1" si="98"/>
        <v>45941</v>
      </c>
      <c r="D2242" s="4">
        <f ca="1">TODAY()-84</f>
        <v>45953</v>
      </c>
      <c r="E2242" s="3" t="s">
        <v>1032</v>
      </c>
      <c r="F2242" s="43" t="b">
        <v>1</v>
      </c>
      <c r="G2242" s="43" t="b">
        <v>0</v>
      </c>
      <c r="H2242" s="44">
        <v>1470</v>
      </c>
    </row>
    <row r="2243" spans="1:8" x14ac:dyDescent="0.3">
      <c r="A2243" s="42" t="s">
        <v>1314</v>
      </c>
      <c r="B2243" s="3" t="s">
        <v>1220</v>
      </c>
      <c r="C2243" s="4">
        <f t="shared" ca="1" si="98"/>
        <v>45941</v>
      </c>
      <c r="D2243" s="4">
        <f ca="1">TODAY()-73</f>
        <v>45964</v>
      </c>
      <c r="E2243" s="3" t="s">
        <v>1029</v>
      </c>
      <c r="F2243" s="43" t="b">
        <v>1</v>
      </c>
      <c r="G2243" s="43" t="b">
        <v>1</v>
      </c>
      <c r="H2243" s="44">
        <v>450</v>
      </c>
    </row>
    <row r="2244" spans="1:8" x14ac:dyDescent="0.3">
      <c r="A2244" s="42" t="s">
        <v>1030</v>
      </c>
      <c r="B2244" s="3" t="s">
        <v>1378</v>
      </c>
      <c r="C2244" s="4">
        <f t="shared" ca="1" si="98"/>
        <v>45941</v>
      </c>
      <c r="D2244" s="4">
        <f ca="1">TODAY()-82</f>
        <v>45955</v>
      </c>
      <c r="E2244" s="3" t="s">
        <v>1029</v>
      </c>
      <c r="F2244" s="43" t="b">
        <v>1</v>
      </c>
      <c r="G2244" s="43" t="b">
        <v>1</v>
      </c>
      <c r="H2244" s="44">
        <v>1260</v>
      </c>
    </row>
    <row r="2245" spans="1:8" x14ac:dyDescent="0.3">
      <c r="A2245" s="42" t="s">
        <v>1385</v>
      </c>
      <c r="B2245" s="3" t="s">
        <v>1386</v>
      </c>
      <c r="C2245" s="4">
        <f t="shared" ca="1" si="98"/>
        <v>45941</v>
      </c>
      <c r="D2245" s="4">
        <f ca="1">TODAY()-83</f>
        <v>45954</v>
      </c>
      <c r="E2245" s="3" t="s">
        <v>1032</v>
      </c>
      <c r="F2245" s="43" t="b">
        <v>1</v>
      </c>
      <c r="G2245" s="43" t="b">
        <v>0</v>
      </c>
      <c r="H2245" s="44">
        <v>1700</v>
      </c>
    </row>
    <row r="2246" spans="1:8" x14ac:dyDescent="0.3">
      <c r="A2246" s="42" t="s">
        <v>1474</v>
      </c>
      <c r="B2246" s="3" t="s">
        <v>1555</v>
      </c>
      <c r="C2246" s="4">
        <f t="shared" ca="1" si="98"/>
        <v>45941</v>
      </c>
      <c r="D2246" s="4">
        <f ca="1">TODAY()-86</f>
        <v>45951</v>
      </c>
      <c r="E2246" s="3" t="s">
        <v>1029</v>
      </c>
      <c r="F2246" s="43" t="b">
        <v>1</v>
      </c>
      <c r="G2246" s="43" t="b">
        <v>1</v>
      </c>
      <c r="H2246" s="44">
        <v>340</v>
      </c>
    </row>
    <row r="2247" spans="1:8" x14ac:dyDescent="0.3">
      <c r="A2247" s="42" t="s">
        <v>1184</v>
      </c>
      <c r="B2247" s="3" t="s">
        <v>1185</v>
      </c>
      <c r="C2247" s="4">
        <f t="shared" ca="1" si="98"/>
        <v>45941</v>
      </c>
      <c r="D2247" s="4">
        <f ca="1">TODAY()-84</f>
        <v>45953</v>
      </c>
      <c r="E2247" s="3" t="s">
        <v>1029</v>
      </c>
      <c r="F2247" s="43" t="b">
        <v>1</v>
      </c>
      <c r="G2247" s="43" t="b">
        <v>1</v>
      </c>
      <c r="H2247" s="44">
        <v>340</v>
      </c>
    </row>
    <row r="2248" spans="1:8" x14ac:dyDescent="0.3">
      <c r="A2248" s="42" t="s">
        <v>1435</v>
      </c>
      <c r="B2248" s="3" t="s">
        <v>1436</v>
      </c>
      <c r="C2248" s="4">
        <f t="shared" ca="1" si="98"/>
        <v>45941</v>
      </c>
      <c r="D2248" s="42"/>
      <c r="E2248" s="3" t="s">
        <v>1108</v>
      </c>
      <c r="F2248" s="43" t="b">
        <v>0</v>
      </c>
      <c r="G2248" s="43" t="b">
        <v>0</v>
      </c>
      <c r="H2248" s="44">
        <v>190</v>
      </c>
    </row>
    <row r="2249" spans="1:8" x14ac:dyDescent="0.3">
      <c r="A2249" s="42" t="s">
        <v>1052</v>
      </c>
      <c r="B2249" s="3" t="s">
        <v>1136</v>
      </c>
      <c r="C2249" s="4">
        <f t="shared" ca="1" si="98"/>
        <v>45941</v>
      </c>
      <c r="D2249" s="4">
        <f ca="1">TODAY()-84</f>
        <v>45953</v>
      </c>
      <c r="E2249" s="3" t="s">
        <v>1029</v>
      </c>
      <c r="F2249" s="43" t="b">
        <v>1</v>
      </c>
      <c r="G2249" s="43" t="b">
        <v>1</v>
      </c>
      <c r="H2249" s="44">
        <v>140</v>
      </c>
    </row>
    <row r="2250" spans="1:8" x14ac:dyDescent="0.3">
      <c r="A2250" s="42" t="s">
        <v>1551</v>
      </c>
      <c r="B2250" s="3" t="s">
        <v>1144</v>
      </c>
      <c r="C2250" s="4">
        <f t="shared" ca="1" si="98"/>
        <v>45941</v>
      </c>
      <c r="D2250" s="42"/>
      <c r="E2250" s="3" t="s">
        <v>1077</v>
      </c>
      <c r="F2250" s="43" t="b">
        <v>0</v>
      </c>
      <c r="G2250" s="43" t="b">
        <v>0</v>
      </c>
      <c r="H2250" s="44">
        <v>1860</v>
      </c>
    </row>
    <row r="2251" spans="1:8" x14ac:dyDescent="0.3">
      <c r="A2251" s="42" t="s">
        <v>1599</v>
      </c>
      <c r="B2251" s="3" t="s">
        <v>1136</v>
      </c>
      <c r="C2251" s="4">
        <f t="shared" ca="1" si="98"/>
        <v>45941</v>
      </c>
      <c r="D2251" s="4">
        <f ca="1">TODAY()-68</f>
        <v>45969</v>
      </c>
      <c r="E2251" s="3" t="s">
        <v>1029</v>
      </c>
      <c r="F2251" s="43" t="b">
        <v>1</v>
      </c>
      <c r="G2251" s="43" t="b">
        <v>1</v>
      </c>
      <c r="H2251" s="44">
        <v>20000</v>
      </c>
    </row>
    <row r="2252" spans="1:8" x14ac:dyDescent="0.3">
      <c r="A2252" s="42" t="s">
        <v>1209</v>
      </c>
      <c r="B2252" s="3" t="s">
        <v>1210</v>
      </c>
      <c r="C2252" s="4">
        <f t="shared" ca="1" si="98"/>
        <v>45941</v>
      </c>
      <c r="D2252" s="4">
        <f ca="1">TODAY()-84</f>
        <v>45953</v>
      </c>
      <c r="E2252" s="3" t="s">
        <v>1029</v>
      </c>
      <c r="F2252" s="43" t="b">
        <v>1</v>
      </c>
      <c r="G2252" s="43" t="b">
        <v>1</v>
      </c>
      <c r="H2252" s="44">
        <v>150</v>
      </c>
    </row>
    <row r="2253" spans="1:8" x14ac:dyDescent="0.3">
      <c r="A2253" s="42" t="s">
        <v>1281</v>
      </c>
      <c r="B2253" s="3" t="s">
        <v>1282</v>
      </c>
      <c r="C2253" s="4">
        <f t="shared" ca="1" si="98"/>
        <v>45941</v>
      </c>
      <c r="D2253" s="4">
        <f ca="1">TODAY()-79</f>
        <v>45958</v>
      </c>
      <c r="E2253" s="3" t="s">
        <v>1029</v>
      </c>
      <c r="F2253" s="43" t="b">
        <v>1</v>
      </c>
      <c r="G2253" s="43" t="b">
        <v>1</v>
      </c>
      <c r="H2253" s="44">
        <v>2350</v>
      </c>
    </row>
    <row r="2254" spans="1:8" x14ac:dyDescent="0.3">
      <c r="A2254" s="42" t="s">
        <v>1129</v>
      </c>
      <c r="B2254" s="3" t="s">
        <v>1130</v>
      </c>
      <c r="C2254" s="4">
        <f t="shared" ca="1" si="98"/>
        <v>45941</v>
      </c>
      <c r="D2254" s="4">
        <f ca="1">TODAY()-78</f>
        <v>45959</v>
      </c>
      <c r="E2254" s="3" t="s">
        <v>1029</v>
      </c>
      <c r="F2254" s="43" t="b">
        <v>1</v>
      </c>
      <c r="G2254" s="43" t="b">
        <v>1</v>
      </c>
      <c r="H2254" s="44">
        <v>1540</v>
      </c>
    </row>
    <row r="2255" spans="1:8" x14ac:dyDescent="0.3">
      <c r="A2255" s="42" t="s">
        <v>1231</v>
      </c>
      <c r="B2255" s="3" t="s">
        <v>1232</v>
      </c>
      <c r="C2255" s="4">
        <f t="shared" ca="1" si="98"/>
        <v>45941</v>
      </c>
      <c r="D2255" s="4">
        <f ca="1">TODAY()-72</f>
        <v>45965</v>
      </c>
      <c r="E2255" s="3" t="s">
        <v>1029</v>
      </c>
      <c r="F2255" s="43" t="b">
        <v>1</v>
      </c>
      <c r="G2255" s="43" t="b">
        <v>1</v>
      </c>
      <c r="H2255" s="44">
        <v>230</v>
      </c>
    </row>
    <row r="2256" spans="1:8" x14ac:dyDescent="0.3">
      <c r="A2256" s="42" t="s">
        <v>1558</v>
      </c>
      <c r="B2256" s="3" t="s">
        <v>1924</v>
      </c>
      <c r="C2256" s="4">
        <f t="shared" ca="1" si="98"/>
        <v>45941</v>
      </c>
      <c r="D2256" s="4">
        <f ca="1">TODAY()-79</f>
        <v>45958</v>
      </c>
      <c r="E2256" s="3" t="s">
        <v>1029</v>
      </c>
      <c r="F2256" s="43" t="b">
        <v>1</v>
      </c>
      <c r="G2256" s="43" t="b">
        <v>1</v>
      </c>
      <c r="H2256" s="44">
        <v>350</v>
      </c>
    </row>
    <row r="2257" spans="1:8" x14ac:dyDescent="0.3">
      <c r="A2257" s="42" t="s">
        <v>1708</v>
      </c>
      <c r="B2257" s="3" t="s">
        <v>1709</v>
      </c>
      <c r="C2257" s="4">
        <f t="shared" ca="1" si="98"/>
        <v>45941</v>
      </c>
      <c r="D2257" s="4">
        <f ca="1">TODAY()-71</f>
        <v>45966</v>
      </c>
      <c r="E2257" s="3" t="s">
        <v>1029</v>
      </c>
      <c r="F2257" s="43" t="b">
        <v>1</v>
      </c>
      <c r="G2257" s="43" t="b">
        <v>1</v>
      </c>
      <c r="H2257" s="44">
        <v>1910</v>
      </c>
    </row>
    <row r="2258" spans="1:8" x14ac:dyDescent="0.3">
      <c r="A2258" s="42" t="s">
        <v>1685</v>
      </c>
      <c r="B2258" s="3" t="s">
        <v>1995</v>
      </c>
      <c r="C2258" s="4">
        <f t="shared" ca="1" si="98"/>
        <v>45941</v>
      </c>
      <c r="D2258" s="4">
        <f ca="1">TODAY()-66</f>
        <v>45971</v>
      </c>
      <c r="E2258" s="3" t="s">
        <v>1032</v>
      </c>
      <c r="F2258" s="43" t="b">
        <v>1</v>
      </c>
      <c r="G2258" s="43" t="b">
        <v>0</v>
      </c>
      <c r="H2258" s="44">
        <v>650</v>
      </c>
    </row>
    <row r="2259" spans="1:8" x14ac:dyDescent="0.3">
      <c r="A2259" s="42" t="s">
        <v>1244</v>
      </c>
      <c r="B2259" s="3" t="s">
        <v>1222</v>
      </c>
      <c r="C2259" s="4">
        <f t="shared" ca="1" si="98"/>
        <v>45941</v>
      </c>
      <c r="D2259" s="42"/>
      <c r="E2259" s="3" t="s">
        <v>1037</v>
      </c>
      <c r="F2259" s="43" t="b">
        <v>0</v>
      </c>
      <c r="G2259" s="43" t="b">
        <v>0</v>
      </c>
      <c r="H2259" s="44">
        <v>1250</v>
      </c>
    </row>
    <row r="2260" spans="1:8" x14ac:dyDescent="0.3">
      <c r="A2260" s="42" t="s">
        <v>1708</v>
      </c>
      <c r="B2260" s="3" t="s">
        <v>1715</v>
      </c>
      <c r="C2260" s="4">
        <f t="shared" ca="1" si="98"/>
        <v>45941</v>
      </c>
      <c r="D2260" s="42"/>
      <c r="E2260" s="3" t="s">
        <v>1108</v>
      </c>
      <c r="F2260" s="43" t="b">
        <v>0</v>
      </c>
      <c r="G2260" s="43" t="b">
        <v>0</v>
      </c>
      <c r="H2260" s="44">
        <v>720</v>
      </c>
    </row>
    <row r="2261" spans="1:8" x14ac:dyDescent="0.3">
      <c r="A2261" s="42" t="s">
        <v>1048</v>
      </c>
      <c r="B2261" s="3" t="s">
        <v>1049</v>
      </c>
      <c r="C2261" s="4">
        <f t="shared" ca="1" si="98"/>
        <v>45941</v>
      </c>
      <c r="D2261" s="42"/>
      <c r="E2261" s="3" t="s">
        <v>1037</v>
      </c>
      <c r="F2261" s="43" t="b">
        <v>0</v>
      </c>
      <c r="G2261" s="43" t="b">
        <v>0</v>
      </c>
      <c r="H2261" s="44">
        <v>2500</v>
      </c>
    </row>
    <row r="2262" spans="1:8" x14ac:dyDescent="0.3">
      <c r="A2262" s="42" t="s">
        <v>1159</v>
      </c>
      <c r="B2262" s="3" t="s">
        <v>1160</v>
      </c>
      <c r="C2262" s="4">
        <f t="shared" ca="1" si="98"/>
        <v>45941</v>
      </c>
      <c r="D2262" s="4">
        <f ca="1">TODAY()-83</f>
        <v>45954</v>
      </c>
      <c r="E2262" s="3" t="s">
        <v>1032</v>
      </c>
      <c r="F2262" s="43" t="b">
        <v>1</v>
      </c>
      <c r="G2262" s="43" t="b">
        <v>0</v>
      </c>
      <c r="H2262" s="44">
        <v>2060</v>
      </c>
    </row>
    <row r="2263" spans="1:8" x14ac:dyDescent="0.3">
      <c r="A2263" s="42" t="s">
        <v>1249</v>
      </c>
      <c r="B2263" s="3" t="s">
        <v>1769</v>
      </c>
      <c r="C2263" s="4">
        <f t="shared" ca="1" si="98"/>
        <v>45941</v>
      </c>
      <c r="D2263" s="4">
        <f ca="1">TODAY()-76</f>
        <v>45961</v>
      </c>
      <c r="E2263" s="3" t="s">
        <v>1029</v>
      </c>
      <c r="F2263" s="43" t="b">
        <v>1</v>
      </c>
      <c r="G2263" s="43" t="b">
        <v>1</v>
      </c>
      <c r="H2263" s="44">
        <v>370</v>
      </c>
    </row>
    <row r="2264" spans="1:8" x14ac:dyDescent="0.3">
      <c r="A2264" s="42" t="s">
        <v>1708</v>
      </c>
      <c r="B2264" s="3" t="s">
        <v>1709</v>
      </c>
      <c r="C2264" s="4">
        <f t="shared" ca="1" si="98"/>
        <v>45941</v>
      </c>
      <c r="D2264" s="4">
        <f t="shared" ref="D2264:D2265" ca="1" si="100">TODAY()-74</f>
        <v>45963</v>
      </c>
      <c r="E2264" s="3" t="s">
        <v>1029</v>
      </c>
      <c r="F2264" s="43" t="b">
        <v>1</v>
      </c>
      <c r="G2264" s="43" t="b">
        <v>1</v>
      </c>
      <c r="H2264" s="44">
        <v>1910</v>
      </c>
    </row>
    <row r="2265" spans="1:8" x14ac:dyDescent="0.3">
      <c r="A2265" s="42" t="s">
        <v>1054</v>
      </c>
      <c r="B2265" s="3" t="s">
        <v>1381</v>
      </c>
      <c r="C2265" s="4">
        <f t="shared" ca="1" si="98"/>
        <v>45941</v>
      </c>
      <c r="D2265" s="4">
        <f t="shared" ca="1" si="100"/>
        <v>45963</v>
      </c>
      <c r="E2265" s="3" t="s">
        <v>1029</v>
      </c>
      <c r="F2265" s="43" t="b">
        <v>1</v>
      </c>
      <c r="G2265" s="43" t="b">
        <v>1</v>
      </c>
      <c r="H2265" s="44">
        <v>1240</v>
      </c>
    </row>
    <row r="2266" spans="1:8" x14ac:dyDescent="0.3">
      <c r="A2266" s="42" t="s">
        <v>1415</v>
      </c>
      <c r="B2266" s="3" t="s">
        <v>1416</v>
      </c>
      <c r="C2266" s="4">
        <f t="shared" ca="1" si="98"/>
        <v>45941</v>
      </c>
      <c r="D2266" s="4">
        <f ca="1">TODAY()-70</f>
        <v>45967</v>
      </c>
      <c r="E2266" s="3" t="s">
        <v>1029</v>
      </c>
      <c r="F2266" s="43" t="b">
        <v>1</v>
      </c>
      <c r="G2266" s="43" t="b">
        <v>1</v>
      </c>
      <c r="H2266" s="44">
        <v>580</v>
      </c>
    </row>
    <row r="2267" spans="1:8" x14ac:dyDescent="0.3">
      <c r="A2267" s="42" t="s">
        <v>1237</v>
      </c>
      <c r="B2267" s="3" t="s">
        <v>1201</v>
      </c>
      <c r="C2267" s="4">
        <f t="shared" ca="1" si="98"/>
        <v>45941</v>
      </c>
      <c r="D2267" s="4">
        <f ca="1">TODAY()-66</f>
        <v>45971</v>
      </c>
      <c r="E2267" s="3" t="s">
        <v>1032</v>
      </c>
      <c r="F2267" s="43" t="b">
        <v>1</v>
      </c>
      <c r="G2267" s="43" t="b">
        <v>0</v>
      </c>
      <c r="H2267" s="44">
        <v>510</v>
      </c>
    </row>
    <row r="2268" spans="1:8" x14ac:dyDescent="0.3">
      <c r="A2268" s="42" t="s">
        <v>1620</v>
      </c>
      <c r="B2268" s="3" t="s">
        <v>1807</v>
      </c>
      <c r="C2268" s="4">
        <f t="shared" ca="1" si="98"/>
        <v>45941</v>
      </c>
      <c r="D2268" s="4">
        <f ca="1">TODAY()-77</f>
        <v>45960</v>
      </c>
      <c r="E2268" s="3" t="s">
        <v>1029</v>
      </c>
      <c r="F2268" s="43" t="b">
        <v>1</v>
      </c>
      <c r="G2268" s="43" t="b">
        <v>1</v>
      </c>
      <c r="H2268" s="44">
        <v>1000</v>
      </c>
    </row>
    <row r="2269" spans="1:8" x14ac:dyDescent="0.3">
      <c r="A2269" s="42" t="s">
        <v>1157</v>
      </c>
      <c r="B2269" s="3" t="s">
        <v>1158</v>
      </c>
      <c r="C2269" s="4">
        <f t="shared" ca="1" si="98"/>
        <v>45941</v>
      </c>
      <c r="D2269" s="4">
        <f ca="1">TODAY()-86</f>
        <v>45951</v>
      </c>
      <c r="E2269" s="3" t="s">
        <v>1029</v>
      </c>
      <c r="F2269" s="43" t="b">
        <v>1</v>
      </c>
      <c r="G2269" s="43" t="b">
        <v>1</v>
      </c>
      <c r="H2269" s="44">
        <v>360</v>
      </c>
    </row>
    <row r="2270" spans="1:8" x14ac:dyDescent="0.3">
      <c r="A2270" s="42" t="s">
        <v>1137</v>
      </c>
      <c r="B2270" s="3" t="s">
        <v>1882</v>
      </c>
      <c r="C2270" s="4">
        <f t="shared" ca="1" si="98"/>
        <v>45941</v>
      </c>
      <c r="D2270" s="42"/>
      <c r="E2270" s="3" t="s">
        <v>1108</v>
      </c>
      <c r="F2270" s="43" t="b">
        <v>0</v>
      </c>
      <c r="G2270" s="43" t="b">
        <v>0</v>
      </c>
      <c r="H2270" s="44">
        <v>1390</v>
      </c>
    </row>
    <row r="2271" spans="1:8" x14ac:dyDescent="0.3">
      <c r="A2271" s="42" t="s">
        <v>1405</v>
      </c>
      <c r="B2271" s="3" t="s">
        <v>1406</v>
      </c>
      <c r="C2271" s="4">
        <f t="shared" ca="1" si="98"/>
        <v>45941</v>
      </c>
      <c r="D2271" s="4">
        <f ca="1">TODAY()-67</f>
        <v>45970</v>
      </c>
      <c r="E2271" s="3" t="s">
        <v>1029</v>
      </c>
      <c r="F2271" s="43" t="b">
        <v>1</v>
      </c>
      <c r="G2271" s="43" t="b">
        <v>1</v>
      </c>
      <c r="H2271" s="44">
        <v>340</v>
      </c>
    </row>
    <row r="2272" spans="1:8" x14ac:dyDescent="0.3">
      <c r="A2272" s="42" t="s">
        <v>1448</v>
      </c>
      <c r="B2272" s="3" t="s">
        <v>1838</v>
      </c>
      <c r="C2272" s="4">
        <f t="shared" ca="1" si="98"/>
        <v>45941</v>
      </c>
      <c r="D2272" s="4">
        <f ca="1">TODAY()-85</f>
        <v>45952</v>
      </c>
      <c r="E2272" s="3" t="s">
        <v>1029</v>
      </c>
      <c r="F2272" s="43" t="b">
        <v>1</v>
      </c>
      <c r="G2272" s="43" t="b">
        <v>1</v>
      </c>
      <c r="H2272" s="44">
        <v>1700</v>
      </c>
    </row>
    <row r="2273" spans="1:8" x14ac:dyDescent="0.3">
      <c r="A2273" s="42" t="s">
        <v>1302</v>
      </c>
      <c r="B2273" s="3" t="s">
        <v>1575</v>
      </c>
      <c r="C2273" s="4">
        <f t="shared" ca="1" si="98"/>
        <v>45941</v>
      </c>
      <c r="D2273" s="42"/>
      <c r="E2273" s="3" t="s">
        <v>1077</v>
      </c>
      <c r="F2273" s="43" t="b">
        <v>0</v>
      </c>
      <c r="G2273" s="43" t="b">
        <v>0</v>
      </c>
      <c r="H2273" s="44">
        <v>650</v>
      </c>
    </row>
    <row r="2274" spans="1:8" x14ac:dyDescent="0.3">
      <c r="A2274" s="42" t="s">
        <v>1281</v>
      </c>
      <c r="B2274" s="3" t="s">
        <v>1114</v>
      </c>
      <c r="C2274" s="4">
        <f t="shared" ca="1" si="98"/>
        <v>45941</v>
      </c>
      <c r="D2274" s="4">
        <f ca="1">TODAY()-71</f>
        <v>45966</v>
      </c>
      <c r="E2274" s="3" t="s">
        <v>1029</v>
      </c>
      <c r="F2274" s="43" t="b">
        <v>1</v>
      </c>
      <c r="G2274" s="43" t="b">
        <v>1</v>
      </c>
      <c r="H2274" s="44">
        <v>4710</v>
      </c>
    </row>
    <row r="2275" spans="1:8" x14ac:dyDescent="0.3">
      <c r="A2275" s="42" t="s">
        <v>1694</v>
      </c>
      <c r="B2275" s="3" t="s">
        <v>1923</v>
      </c>
      <c r="C2275" s="4">
        <f t="shared" ca="1" si="98"/>
        <v>45941</v>
      </c>
      <c r="D2275" s="4">
        <f t="shared" ref="D2275:D2276" ca="1" si="101">TODAY()-83</f>
        <v>45954</v>
      </c>
      <c r="E2275" s="3" t="s">
        <v>1029</v>
      </c>
      <c r="F2275" s="43" t="b">
        <v>1</v>
      </c>
      <c r="G2275" s="43" t="b">
        <v>1</v>
      </c>
      <c r="H2275" s="44">
        <v>720</v>
      </c>
    </row>
    <row r="2276" spans="1:8" x14ac:dyDescent="0.3">
      <c r="A2276" s="42" t="s">
        <v>1522</v>
      </c>
      <c r="B2276" s="3" t="s">
        <v>1201</v>
      </c>
      <c r="C2276" s="4">
        <f t="shared" ca="1" si="98"/>
        <v>45941</v>
      </c>
      <c r="D2276" s="4">
        <f t="shared" ca="1" si="101"/>
        <v>45954</v>
      </c>
      <c r="E2276" s="3" t="s">
        <v>1029</v>
      </c>
      <c r="F2276" s="43" t="b">
        <v>1</v>
      </c>
      <c r="G2276" s="43" t="b">
        <v>1</v>
      </c>
      <c r="H2276" s="44">
        <v>20000</v>
      </c>
    </row>
    <row r="2277" spans="1:8" x14ac:dyDescent="0.3">
      <c r="A2277" s="42" t="s">
        <v>1649</v>
      </c>
      <c r="B2277" s="3" t="s">
        <v>1880</v>
      </c>
      <c r="C2277" s="4">
        <f t="shared" ca="1" si="98"/>
        <v>45941</v>
      </c>
      <c r="D2277" s="4">
        <f ca="1">TODAY()-73</f>
        <v>45964</v>
      </c>
      <c r="E2277" s="3" t="s">
        <v>1029</v>
      </c>
      <c r="F2277" s="43" t="b">
        <v>1</v>
      </c>
      <c r="G2277" s="43" t="b">
        <v>1</v>
      </c>
      <c r="H2277" s="44">
        <v>1860</v>
      </c>
    </row>
    <row r="2278" spans="1:8" x14ac:dyDescent="0.3">
      <c r="A2278" s="42" t="s">
        <v>1320</v>
      </c>
      <c r="B2278" s="3" t="s">
        <v>1321</v>
      </c>
      <c r="C2278" s="4">
        <f t="shared" ca="1" si="98"/>
        <v>45941</v>
      </c>
      <c r="D2278" s="4">
        <f ca="1">TODAY()-77</f>
        <v>45960</v>
      </c>
      <c r="E2278" s="3" t="s">
        <v>1029</v>
      </c>
      <c r="F2278" s="43" t="b">
        <v>1</v>
      </c>
      <c r="G2278" s="43" t="b">
        <v>1</v>
      </c>
      <c r="H2278" s="44">
        <v>1080</v>
      </c>
    </row>
    <row r="2279" spans="1:8" x14ac:dyDescent="0.3">
      <c r="A2279" s="42" t="s">
        <v>1288</v>
      </c>
      <c r="B2279" s="3" t="s">
        <v>1289</v>
      </c>
      <c r="C2279" s="4">
        <f t="shared" ca="1" si="98"/>
        <v>45941</v>
      </c>
      <c r="D2279" s="4">
        <f ca="1">TODAY()-75</f>
        <v>45962</v>
      </c>
      <c r="E2279" s="3" t="s">
        <v>1032</v>
      </c>
      <c r="F2279" s="43" t="b">
        <v>1</v>
      </c>
      <c r="G2279" s="43" t="b">
        <v>0</v>
      </c>
      <c r="H2279" s="44">
        <v>220</v>
      </c>
    </row>
    <row r="2280" spans="1:8" x14ac:dyDescent="0.3">
      <c r="A2280" s="42" t="s">
        <v>1233</v>
      </c>
      <c r="B2280" s="3" t="s">
        <v>1952</v>
      </c>
      <c r="C2280" s="4">
        <f t="shared" ca="1" si="98"/>
        <v>45941</v>
      </c>
      <c r="D2280" s="4">
        <f ca="1">TODAY()-71</f>
        <v>45966</v>
      </c>
      <c r="E2280" s="3" t="s">
        <v>1029</v>
      </c>
      <c r="F2280" s="43" t="b">
        <v>1</v>
      </c>
      <c r="G2280" s="43" t="b">
        <v>1</v>
      </c>
      <c r="H2280" s="44">
        <v>660</v>
      </c>
    </row>
    <row r="2281" spans="1:8" x14ac:dyDescent="0.3">
      <c r="A2281" s="42" t="s">
        <v>1225</v>
      </c>
      <c r="B2281" s="3" t="s">
        <v>1226</v>
      </c>
      <c r="C2281" s="4">
        <f t="shared" ca="1" si="98"/>
        <v>45941</v>
      </c>
      <c r="D2281" s="4">
        <f ca="1">TODAY()-69</f>
        <v>45968</v>
      </c>
      <c r="E2281" s="3" t="s">
        <v>1029</v>
      </c>
      <c r="F2281" s="43" t="b">
        <v>1</v>
      </c>
      <c r="G2281" s="43" t="b">
        <v>1</v>
      </c>
      <c r="H2281" s="44">
        <v>1230</v>
      </c>
    </row>
    <row r="2282" spans="1:8" x14ac:dyDescent="0.3">
      <c r="A2282" s="42" t="s">
        <v>1556</v>
      </c>
      <c r="B2282" s="3" t="s">
        <v>1557</v>
      </c>
      <c r="C2282" s="4">
        <f t="shared" ca="1" si="98"/>
        <v>45941</v>
      </c>
      <c r="D2282" s="4">
        <f ca="1">TODAY()-85</f>
        <v>45952</v>
      </c>
      <c r="E2282" s="3" t="s">
        <v>1032</v>
      </c>
      <c r="F2282" s="43" t="b">
        <v>1</v>
      </c>
      <c r="G2282" s="43" t="b">
        <v>0</v>
      </c>
      <c r="H2282" s="44">
        <v>1220</v>
      </c>
    </row>
    <row r="2283" spans="1:8" x14ac:dyDescent="0.3">
      <c r="A2283" s="42" t="s">
        <v>1551</v>
      </c>
      <c r="B2283" s="3" t="s">
        <v>1144</v>
      </c>
      <c r="C2283" s="4">
        <f t="shared" ca="1" si="98"/>
        <v>45941</v>
      </c>
      <c r="D2283" s="42"/>
      <c r="E2283" s="3" t="s">
        <v>1077</v>
      </c>
      <c r="F2283" s="43" t="b">
        <v>0</v>
      </c>
      <c r="G2283" s="43" t="b">
        <v>0</v>
      </c>
      <c r="H2283" s="44">
        <v>1860</v>
      </c>
    </row>
    <row r="2284" spans="1:8" x14ac:dyDescent="0.3">
      <c r="A2284" s="42" t="s">
        <v>1842</v>
      </c>
      <c r="B2284" s="3" t="s">
        <v>1843</v>
      </c>
      <c r="C2284" s="4">
        <f t="shared" ca="1" si="98"/>
        <v>45941</v>
      </c>
      <c r="D2284" s="4">
        <f ca="1">TODAY()-71</f>
        <v>45966</v>
      </c>
      <c r="E2284" s="3" t="s">
        <v>1029</v>
      </c>
      <c r="F2284" s="43" t="b">
        <v>1</v>
      </c>
      <c r="G2284" s="43" t="b">
        <v>1</v>
      </c>
      <c r="H2284" s="44">
        <v>370</v>
      </c>
    </row>
    <row r="2285" spans="1:8" x14ac:dyDescent="0.3">
      <c r="A2285" s="42" t="s">
        <v>1695</v>
      </c>
      <c r="B2285" s="3" t="s">
        <v>1696</v>
      </c>
      <c r="C2285" s="4">
        <f t="shared" ca="1" si="98"/>
        <v>45941</v>
      </c>
      <c r="D2285" s="4">
        <f ca="1">TODAY()-80</f>
        <v>45957</v>
      </c>
      <c r="E2285" s="3" t="s">
        <v>1029</v>
      </c>
      <c r="F2285" s="43" t="b">
        <v>1</v>
      </c>
      <c r="G2285" s="43" t="b">
        <v>1</v>
      </c>
      <c r="H2285" s="44">
        <v>130</v>
      </c>
    </row>
    <row r="2286" spans="1:8" x14ac:dyDescent="0.3">
      <c r="A2286" s="42" t="s">
        <v>1571</v>
      </c>
      <c r="B2286" s="3" t="s">
        <v>1841</v>
      </c>
      <c r="C2286" s="4">
        <f t="shared" ca="1" si="98"/>
        <v>45941</v>
      </c>
      <c r="D2286" s="4">
        <f ca="1">TODAY()-69</f>
        <v>45968</v>
      </c>
      <c r="E2286" s="3" t="s">
        <v>1032</v>
      </c>
      <c r="F2286" s="43" t="b">
        <v>1</v>
      </c>
      <c r="G2286" s="43" t="b">
        <v>0</v>
      </c>
      <c r="H2286" s="44">
        <v>2190</v>
      </c>
    </row>
    <row r="2287" spans="1:8" x14ac:dyDescent="0.3">
      <c r="A2287" s="42" t="s">
        <v>1458</v>
      </c>
      <c r="B2287" s="3" t="s">
        <v>1610</v>
      </c>
      <c r="C2287" s="4">
        <f t="shared" ca="1" si="98"/>
        <v>45941</v>
      </c>
      <c r="D2287" s="4">
        <f ca="1">TODAY()-67</f>
        <v>45970</v>
      </c>
      <c r="E2287" s="3" t="s">
        <v>1029</v>
      </c>
      <c r="F2287" s="43" t="b">
        <v>1</v>
      </c>
      <c r="G2287" s="43" t="b">
        <v>1</v>
      </c>
      <c r="H2287" s="44">
        <v>2340</v>
      </c>
    </row>
    <row r="2288" spans="1:8" x14ac:dyDescent="0.3">
      <c r="A2288" s="42" t="s">
        <v>1964</v>
      </c>
      <c r="B2288" s="3" t="s">
        <v>1965</v>
      </c>
      <c r="C2288" s="4">
        <f t="shared" ca="1" si="98"/>
        <v>45941</v>
      </c>
      <c r="D2288" s="4">
        <f ca="1">TODAY()-79</f>
        <v>45958</v>
      </c>
      <c r="E2288" s="3" t="s">
        <v>1032</v>
      </c>
      <c r="F2288" s="43" t="b">
        <v>1</v>
      </c>
      <c r="G2288" s="43" t="b">
        <v>0</v>
      </c>
      <c r="H2288" s="44">
        <v>1470</v>
      </c>
    </row>
    <row r="2289" spans="1:8" x14ac:dyDescent="0.3">
      <c r="A2289" s="42" t="s">
        <v>1847</v>
      </c>
      <c r="B2289" s="3" t="s">
        <v>1848</v>
      </c>
      <c r="C2289" s="4">
        <f t="shared" ca="1" si="98"/>
        <v>45941</v>
      </c>
      <c r="D2289" s="4">
        <f ca="1">TODAY()-70</f>
        <v>45967</v>
      </c>
      <c r="E2289" s="3" t="s">
        <v>1029</v>
      </c>
      <c r="F2289" s="43" t="b">
        <v>1</v>
      </c>
      <c r="G2289" s="43" t="b">
        <v>1</v>
      </c>
      <c r="H2289" s="44">
        <v>470</v>
      </c>
    </row>
    <row r="2290" spans="1:8" x14ac:dyDescent="0.3">
      <c r="A2290" s="42" t="s">
        <v>1669</v>
      </c>
      <c r="B2290" s="3" t="s">
        <v>1670</v>
      </c>
      <c r="C2290" s="4">
        <f t="shared" ca="1" si="98"/>
        <v>45941</v>
      </c>
      <c r="D2290" s="4">
        <f ca="1">TODAY()-71</f>
        <v>45966</v>
      </c>
      <c r="E2290" s="3" t="s">
        <v>1029</v>
      </c>
      <c r="F2290" s="43" t="b">
        <v>1</v>
      </c>
      <c r="G2290" s="43" t="b">
        <v>1</v>
      </c>
      <c r="H2290" s="44">
        <v>2200</v>
      </c>
    </row>
    <row r="2291" spans="1:8" x14ac:dyDescent="0.3">
      <c r="A2291" s="42" t="s">
        <v>1066</v>
      </c>
      <c r="B2291" s="3" t="s">
        <v>1384</v>
      </c>
      <c r="C2291" s="4">
        <f t="shared" ca="1" si="98"/>
        <v>45941</v>
      </c>
      <c r="D2291" s="42"/>
      <c r="E2291" s="3" t="s">
        <v>1108</v>
      </c>
      <c r="F2291" s="43" t="b">
        <v>0</v>
      </c>
      <c r="G2291" s="43" t="b">
        <v>0</v>
      </c>
      <c r="H2291" s="44">
        <v>1970</v>
      </c>
    </row>
    <row r="2292" spans="1:8" x14ac:dyDescent="0.3">
      <c r="A2292" s="42" t="s">
        <v>1328</v>
      </c>
      <c r="B2292" s="3" t="s">
        <v>1329</v>
      </c>
      <c r="C2292" s="4">
        <f t="shared" ca="1" si="98"/>
        <v>45941</v>
      </c>
      <c r="D2292" s="4">
        <f ca="1">TODAY()-77</f>
        <v>45960</v>
      </c>
      <c r="E2292" s="3" t="s">
        <v>1029</v>
      </c>
      <c r="F2292" s="43" t="b">
        <v>1</v>
      </c>
      <c r="G2292" s="43" t="b">
        <v>1</v>
      </c>
      <c r="H2292" s="44">
        <v>1940</v>
      </c>
    </row>
    <row r="2293" spans="1:8" x14ac:dyDescent="0.3">
      <c r="A2293" s="42" t="s">
        <v>1918</v>
      </c>
      <c r="B2293" s="3" t="s">
        <v>1919</v>
      </c>
      <c r="C2293" s="4">
        <f t="shared" ca="1" si="98"/>
        <v>45941</v>
      </c>
      <c r="D2293" s="4">
        <f ca="1">TODAY()-67</f>
        <v>45970</v>
      </c>
      <c r="E2293" s="3" t="s">
        <v>1032</v>
      </c>
      <c r="F2293" s="43" t="b">
        <v>1</v>
      </c>
      <c r="G2293" s="43" t="b">
        <v>0</v>
      </c>
      <c r="H2293" s="44">
        <v>1820</v>
      </c>
    </row>
    <row r="2294" spans="1:8" x14ac:dyDescent="0.3">
      <c r="A2294" s="42" t="s">
        <v>1262</v>
      </c>
      <c r="B2294" s="3" t="s">
        <v>1201</v>
      </c>
      <c r="C2294" s="4">
        <f t="shared" ca="1" si="98"/>
        <v>45941</v>
      </c>
      <c r="D2294" s="42"/>
      <c r="E2294" s="3" t="s">
        <v>1108</v>
      </c>
      <c r="F2294" s="43" t="b">
        <v>0</v>
      </c>
      <c r="G2294" s="43" t="b">
        <v>0</v>
      </c>
      <c r="H2294" s="44">
        <v>240</v>
      </c>
    </row>
    <row r="2295" spans="1:8" x14ac:dyDescent="0.3">
      <c r="A2295" s="42" t="s">
        <v>1115</v>
      </c>
      <c r="B2295" s="3" t="s">
        <v>1116</v>
      </c>
      <c r="C2295" s="4">
        <f t="shared" ca="1" si="98"/>
        <v>45941</v>
      </c>
      <c r="D2295" s="4">
        <f ca="1">TODAY()-81</f>
        <v>45956</v>
      </c>
      <c r="E2295" s="3" t="s">
        <v>1032</v>
      </c>
      <c r="F2295" s="43" t="b">
        <v>1</v>
      </c>
      <c r="G2295" s="43" t="b">
        <v>0</v>
      </c>
      <c r="H2295" s="44">
        <v>780</v>
      </c>
    </row>
    <row r="2296" spans="1:8" x14ac:dyDescent="0.3">
      <c r="A2296" s="42" t="s">
        <v>1594</v>
      </c>
      <c r="B2296" s="3" t="s">
        <v>1976</v>
      </c>
      <c r="C2296" s="4">
        <f t="shared" ca="1" si="98"/>
        <v>45941</v>
      </c>
      <c r="D2296" s="4">
        <f ca="1">TODAY()-73</f>
        <v>45964</v>
      </c>
      <c r="E2296" s="3" t="s">
        <v>1032</v>
      </c>
      <c r="F2296" s="43" t="b">
        <v>1</v>
      </c>
      <c r="G2296" s="43" t="b">
        <v>0</v>
      </c>
      <c r="H2296" s="44">
        <v>1850</v>
      </c>
    </row>
    <row r="2297" spans="1:8" x14ac:dyDescent="0.3">
      <c r="A2297" s="42" t="s">
        <v>1957</v>
      </c>
      <c r="B2297" s="3" t="s">
        <v>1367</v>
      </c>
      <c r="C2297" s="4">
        <f t="shared" ca="1" si="98"/>
        <v>45941</v>
      </c>
      <c r="D2297" s="4">
        <f ca="1">TODAY()-72</f>
        <v>45965</v>
      </c>
      <c r="E2297" s="3" t="s">
        <v>1029</v>
      </c>
      <c r="F2297" s="43" t="b">
        <v>1</v>
      </c>
      <c r="G2297" s="43" t="b">
        <v>1</v>
      </c>
      <c r="H2297" s="44">
        <v>950</v>
      </c>
    </row>
    <row r="2298" spans="1:8" x14ac:dyDescent="0.3">
      <c r="A2298" s="42" t="s">
        <v>1354</v>
      </c>
      <c r="B2298" s="3" t="s">
        <v>1537</v>
      </c>
      <c r="C2298" s="4">
        <f t="shared" ca="1" si="98"/>
        <v>45941</v>
      </c>
      <c r="D2298" s="4">
        <f ca="1">TODAY()-82</f>
        <v>45955</v>
      </c>
      <c r="E2298" s="3" t="s">
        <v>1029</v>
      </c>
      <c r="F2298" s="43" t="b">
        <v>1</v>
      </c>
      <c r="G2298" s="43" t="b">
        <v>1</v>
      </c>
      <c r="H2298" s="44">
        <v>680</v>
      </c>
    </row>
    <row r="2299" spans="1:8" x14ac:dyDescent="0.3">
      <c r="A2299" s="42" t="s">
        <v>1177</v>
      </c>
      <c r="B2299" s="3" t="s">
        <v>1546</v>
      </c>
      <c r="C2299" s="4">
        <f t="shared" ca="1" si="98"/>
        <v>45941</v>
      </c>
      <c r="D2299" s="4">
        <f ca="1">TODAY()-81</f>
        <v>45956</v>
      </c>
      <c r="E2299" s="3" t="s">
        <v>1029</v>
      </c>
      <c r="F2299" s="43" t="b">
        <v>1</v>
      </c>
      <c r="G2299" s="43" t="b">
        <v>1</v>
      </c>
      <c r="H2299" s="44">
        <v>1310</v>
      </c>
    </row>
    <row r="2300" spans="1:8" x14ac:dyDescent="0.3">
      <c r="A2300" s="42" t="s">
        <v>1856</v>
      </c>
      <c r="B2300" s="3" t="s">
        <v>1857</v>
      </c>
      <c r="C2300" s="4">
        <f t="shared" ca="1" si="98"/>
        <v>45941</v>
      </c>
      <c r="D2300" s="42"/>
      <c r="E2300" s="3" t="s">
        <v>1103</v>
      </c>
      <c r="F2300" s="43" t="b">
        <v>0</v>
      </c>
      <c r="G2300" s="43" t="b">
        <v>0</v>
      </c>
      <c r="H2300" s="44">
        <v>730</v>
      </c>
    </row>
    <row r="2301" spans="1:8" x14ac:dyDescent="0.3">
      <c r="A2301" s="42" t="s">
        <v>1830</v>
      </c>
      <c r="B2301" s="3" t="s">
        <v>1990</v>
      </c>
      <c r="C2301" s="4">
        <f t="shared" ca="1" si="98"/>
        <v>45941</v>
      </c>
      <c r="D2301" s="42"/>
      <c r="E2301" s="3" t="s">
        <v>1037</v>
      </c>
      <c r="F2301" s="43" t="b">
        <v>0</v>
      </c>
      <c r="G2301" s="43" t="b">
        <v>0</v>
      </c>
      <c r="H2301" s="44">
        <v>2310</v>
      </c>
    </row>
    <row r="2302" spans="1:8" x14ac:dyDescent="0.3">
      <c r="A2302" s="42" t="s">
        <v>1411</v>
      </c>
      <c r="B2302" s="3" t="s">
        <v>1412</v>
      </c>
      <c r="C2302" s="4">
        <f t="shared" ca="1" si="98"/>
        <v>45941</v>
      </c>
      <c r="D2302" s="4">
        <f ca="1">TODAY()-82</f>
        <v>45955</v>
      </c>
      <c r="E2302" s="3" t="s">
        <v>1029</v>
      </c>
      <c r="F2302" s="43" t="b">
        <v>1</v>
      </c>
      <c r="G2302" s="43" t="b">
        <v>1</v>
      </c>
      <c r="H2302" s="44">
        <v>980</v>
      </c>
    </row>
    <row r="2303" spans="1:8" x14ac:dyDescent="0.3">
      <c r="A2303" s="42" t="s">
        <v>1328</v>
      </c>
      <c r="B2303" s="3" t="s">
        <v>1785</v>
      </c>
      <c r="C2303" s="4">
        <f t="shared" ca="1" si="98"/>
        <v>45941</v>
      </c>
      <c r="D2303" s="4">
        <f ca="1">TODAY()-81</f>
        <v>45956</v>
      </c>
      <c r="E2303" s="3" t="s">
        <v>1029</v>
      </c>
      <c r="F2303" s="43" t="b">
        <v>1</v>
      </c>
      <c r="G2303" s="43" t="b">
        <v>1</v>
      </c>
      <c r="H2303" s="44">
        <v>2970</v>
      </c>
    </row>
    <row r="2304" spans="1:8" x14ac:dyDescent="0.3">
      <c r="A2304" s="42" t="s">
        <v>1800</v>
      </c>
      <c r="B2304" s="3" t="s">
        <v>1275</v>
      </c>
      <c r="C2304" s="4">
        <f t="shared" ca="1" si="98"/>
        <v>45941</v>
      </c>
      <c r="D2304" s="4">
        <f ca="1">TODAY()-86</f>
        <v>45951</v>
      </c>
      <c r="E2304" s="3" t="s">
        <v>1029</v>
      </c>
      <c r="F2304" s="43" t="b">
        <v>1</v>
      </c>
      <c r="G2304" s="43" t="b">
        <v>1</v>
      </c>
      <c r="H2304" s="44">
        <v>1290</v>
      </c>
    </row>
    <row r="2305" spans="1:8" x14ac:dyDescent="0.3">
      <c r="A2305" s="42" t="s">
        <v>1581</v>
      </c>
      <c r="B2305" s="3" t="s">
        <v>1582</v>
      </c>
      <c r="C2305" s="4">
        <f t="shared" ca="1" si="98"/>
        <v>45941</v>
      </c>
      <c r="D2305" s="4">
        <f ca="1">TODAY()-83</f>
        <v>45954</v>
      </c>
      <c r="E2305" s="3" t="s">
        <v>1032</v>
      </c>
      <c r="F2305" s="43" t="b">
        <v>1</v>
      </c>
      <c r="G2305" s="43" t="b">
        <v>0</v>
      </c>
      <c r="H2305" s="44">
        <v>820</v>
      </c>
    </row>
    <row r="2306" spans="1:8" x14ac:dyDescent="0.3">
      <c r="A2306" s="42" t="s">
        <v>1223</v>
      </c>
      <c r="B2306" s="3" t="s">
        <v>1224</v>
      </c>
      <c r="C2306" s="4">
        <f t="shared" ca="1" si="98"/>
        <v>45941</v>
      </c>
      <c r="D2306" s="4">
        <f ca="1">TODAY()-82</f>
        <v>45955</v>
      </c>
      <c r="E2306" s="3" t="s">
        <v>1029</v>
      </c>
      <c r="F2306" s="43" t="b">
        <v>1</v>
      </c>
      <c r="G2306" s="43" t="b">
        <v>1</v>
      </c>
      <c r="H2306" s="44">
        <v>670</v>
      </c>
    </row>
    <row r="2307" spans="1:8" x14ac:dyDescent="0.3">
      <c r="A2307" s="42" t="s">
        <v>1419</v>
      </c>
      <c r="B2307" s="3" t="s">
        <v>1907</v>
      </c>
      <c r="C2307" s="4">
        <f t="shared" ca="1" si="98"/>
        <v>45941</v>
      </c>
      <c r="D2307" s="42"/>
      <c r="E2307" s="3" t="s">
        <v>1108</v>
      </c>
      <c r="F2307" s="43" t="b">
        <v>0</v>
      </c>
      <c r="G2307" s="43" t="b">
        <v>0</v>
      </c>
      <c r="H2307" s="44">
        <v>1180</v>
      </c>
    </row>
    <row r="2308" spans="1:8" x14ac:dyDescent="0.3">
      <c r="A2308" s="42" t="s">
        <v>1188</v>
      </c>
      <c r="B2308" s="3" t="s">
        <v>1275</v>
      </c>
      <c r="C2308" s="4">
        <f t="shared" ca="1" si="98"/>
        <v>45941</v>
      </c>
      <c r="D2308" s="4">
        <f ca="1">TODAY()-74</f>
        <v>45963</v>
      </c>
      <c r="E2308" s="3" t="s">
        <v>1029</v>
      </c>
      <c r="F2308" s="43" t="b">
        <v>1</v>
      </c>
      <c r="G2308" s="43" t="b">
        <v>1</v>
      </c>
      <c r="H2308" s="44">
        <v>20000</v>
      </c>
    </row>
    <row r="2309" spans="1:8" x14ac:dyDescent="0.3">
      <c r="A2309" s="42" t="s">
        <v>1109</v>
      </c>
      <c r="B2309" s="3" t="s">
        <v>1201</v>
      </c>
      <c r="C2309" s="4">
        <f t="shared" ca="1" si="98"/>
        <v>45941</v>
      </c>
      <c r="D2309" s="4">
        <f ca="1">TODAY()-79</f>
        <v>45958</v>
      </c>
      <c r="E2309" s="3" t="s">
        <v>1029</v>
      </c>
      <c r="F2309" s="43" t="b">
        <v>1</v>
      </c>
      <c r="G2309" s="43" t="b">
        <v>1</v>
      </c>
      <c r="H2309" s="44">
        <v>5710</v>
      </c>
    </row>
    <row r="2310" spans="1:8" x14ac:dyDescent="0.3">
      <c r="A2310" s="42" t="s">
        <v>1581</v>
      </c>
      <c r="B2310" s="3" t="s">
        <v>1888</v>
      </c>
      <c r="C2310" s="4">
        <f t="shared" ca="1" si="98"/>
        <v>45941</v>
      </c>
      <c r="D2310" s="4">
        <f t="shared" ref="D2310:D2311" ca="1" si="102">TODAY()-85</f>
        <v>45952</v>
      </c>
      <c r="E2310" s="3" t="s">
        <v>1029</v>
      </c>
      <c r="F2310" s="43" t="b">
        <v>1</v>
      </c>
      <c r="G2310" s="43" t="b">
        <v>1</v>
      </c>
      <c r="H2310" s="44">
        <v>1880</v>
      </c>
    </row>
    <row r="2311" spans="1:8" x14ac:dyDescent="0.3">
      <c r="A2311" s="42" t="s">
        <v>1027</v>
      </c>
      <c r="B2311" s="3" t="s">
        <v>1251</v>
      </c>
      <c r="C2311" s="4">
        <f t="shared" ca="1" si="98"/>
        <v>45941</v>
      </c>
      <c r="D2311" s="4">
        <f t="shared" ca="1" si="102"/>
        <v>45952</v>
      </c>
      <c r="E2311" s="3" t="s">
        <v>1032</v>
      </c>
      <c r="F2311" s="43" t="b">
        <v>1</v>
      </c>
      <c r="G2311" s="43" t="b">
        <v>0</v>
      </c>
      <c r="H2311" s="44">
        <v>210</v>
      </c>
    </row>
    <row r="2312" spans="1:8" x14ac:dyDescent="0.3">
      <c r="A2312" s="42" t="s">
        <v>1165</v>
      </c>
      <c r="B2312" s="3" t="s">
        <v>1481</v>
      </c>
      <c r="C2312" s="4">
        <f t="shared" ca="1" si="98"/>
        <v>45941</v>
      </c>
      <c r="D2312" s="42"/>
      <c r="E2312" s="3" t="s">
        <v>1108</v>
      </c>
      <c r="F2312" s="43" t="b">
        <v>0</v>
      </c>
      <c r="G2312" s="43" t="b">
        <v>0</v>
      </c>
      <c r="H2312" s="44">
        <v>1300</v>
      </c>
    </row>
    <row r="2313" spans="1:8" x14ac:dyDescent="0.3">
      <c r="A2313" s="42" t="s">
        <v>1618</v>
      </c>
      <c r="B2313" s="3" t="s">
        <v>1619</v>
      </c>
      <c r="C2313" s="4">
        <f t="shared" ca="1" si="98"/>
        <v>45941</v>
      </c>
      <c r="D2313" s="4">
        <f ca="1">TODAY()-85</f>
        <v>45952</v>
      </c>
      <c r="E2313" s="3" t="s">
        <v>1029</v>
      </c>
      <c r="F2313" s="43" t="b">
        <v>1</v>
      </c>
      <c r="G2313" s="43" t="b">
        <v>1</v>
      </c>
      <c r="H2313" s="44">
        <v>1210</v>
      </c>
    </row>
    <row r="2314" spans="1:8" x14ac:dyDescent="0.3">
      <c r="A2314" s="42" t="s">
        <v>1387</v>
      </c>
      <c r="B2314" s="3" t="s">
        <v>1388</v>
      </c>
      <c r="C2314" s="4">
        <f t="shared" ca="1" si="98"/>
        <v>45941</v>
      </c>
      <c r="D2314" s="4">
        <f ca="1">TODAY()-81</f>
        <v>45956</v>
      </c>
      <c r="E2314" s="3" t="s">
        <v>1032</v>
      </c>
      <c r="F2314" s="43" t="b">
        <v>1</v>
      </c>
      <c r="G2314" s="43" t="b">
        <v>0</v>
      </c>
      <c r="H2314" s="44">
        <v>2270</v>
      </c>
    </row>
    <row r="2315" spans="1:8" x14ac:dyDescent="0.3">
      <c r="A2315" s="42" t="s">
        <v>1149</v>
      </c>
      <c r="B2315" s="3" t="s">
        <v>1907</v>
      </c>
      <c r="C2315" s="4">
        <f t="shared" ca="1" si="98"/>
        <v>45941</v>
      </c>
      <c r="D2315" s="4">
        <f ca="1">TODAY()-71</f>
        <v>45966</v>
      </c>
      <c r="E2315" s="3" t="s">
        <v>1032</v>
      </c>
      <c r="F2315" s="43" t="b">
        <v>1</v>
      </c>
      <c r="G2315" s="43" t="b">
        <v>0</v>
      </c>
      <c r="H2315" s="44">
        <v>2290</v>
      </c>
    </row>
    <row r="2316" spans="1:8" x14ac:dyDescent="0.3">
      <c r="A2316" s="42" t="s">
        <v>1746</v>
      </c>
      <c r="B2316" s="3" t="s">
        <v>1747</v>
      </c>
      <c r="C2316" s="4">
        <f t="shared" ca="1" si="98"/>
        <v>45941</v>
      </c>
      <c r="D2316" s="4">
        <f ca="1">TODAY()-77</f>
        <v>45960</v>
      </c>
      <c r="E2316" s="3" t="s">
        <v>1029</v>
      </c>
      <c r="F2316" s="43" t="b">
        <v>1</v>
      </c>
      <c r="G2316" s="43" t="b">
        <v>1</v>
      </c>
      <c r="H2316" s="44">
        <v>1680</v>
      </c>
    </row>
    <row r="2317" spans="1:8" x14ac:dyDescent="0.3">
      <c r="A2317" s="42" t="s">
        <v>1278</v>
      </c>
      <c r="B2317" s="3" t="s">
        <v>1279</v>
      </c>
      <c r="C2317" s="4">
        <f t="shared" ca="1" si="98"/>
        <v>45941</v>
      </c>
      <c r="D2317" s="42"/>
      <c r="E2317" s="3" t="s">
        <v>1103</v>
      </c>
      <c r="F2317" s="43" t="b">
        <v>0</v>
      </c>
      <c r="G2317" s="43" t="b">
        <v>0</v>
      </c>
      <c r="H2317" s="44">
        <v>2070</v>
      </c>
    </row>
    <row r="2318" spans="1:8" x14ac:dyDescent="0.3">
      <c r="A2318" s="42" t="s">
        <v>1394</v>
      </c>
      <c r="B2318" s="3" t="s">
        <v>1829</v>
      </c>
      <c r="C2318" s="4">
        <f t="shared" ca="1" si="98"/>
        <v>45941</v>
      </c>
      <c r="D2318" s="4">
        <f ca="1">TODAY()-73</f>
        <v>45964</v>
      </c>
      <c r="E2318" s="3" t="s">
        <v>1032</v>
      </c>
      <c r="F2318" s="43" t="b">
        <v>1</v>
      </c>
      <c r="G2318" s="43" t="b">
        <v>0</v>
      </c>
      <c r="H2318" s="44">
        <v>970</v>
      </c>
    </row>
    <row r="2319" spans="1:8" x14ac:dyDescent="0.3">
      <c r="A2319" s="42" t="s">
        <v>1155</v>
      </c>
      <c r="B2319" s="3" t="s">
        <v>1156</v>
      </c>
      <c r="C2319" s="4">
        <f t="shared" ca="1" si="98"/>
        <v>45941</v>
      </c>
      <c r="D2319" s="4">
        <f ca="1">TODAY()-76</f>
        <v>45961</v>
      </c>
      <c r="E2319" s="3" t="s">
        <v>1029</v>
      </c>
      <c r="F2319" s="43" t="b">
        <v>1</v>
      </c>
      <c r="G2319" s="43" t="b">
        <v>1</v>
      </c>
      <c r="H2319" s="44">
        <v>1200</v>
      </c>
    </row>
    <row r="2320" spans="1:8" x14ac:dyDescent="0.3">
      <c r="A2320" s="42" t="s">
        <v>1315</v>
      </c>
      <c r="B2320" s="3" t="s">
        <v>1316</v>
      </c>
      <c r="C2320" s="4">
        <f t="shared" ca="1" si="98"/>
        <v>45941</v>
      </c>
      <c r="D2320" s="4">
        <f ca="1">TODAY()-86</f>
        <v>45951</v>
      </c>
      <c r="E2320" s="3" t="s">
        <v>1029</v>
      </c>
      <c r="F2320" s="43" t="b">
        <v>1</v>
      </c>
      <c r="G2320" s="43" t="b">
        <v>1</v>
      </c>
      <c r="H2320" s="44">
        <v>1910</v>
      </c>
    </row>
    <row r="2321" spans="1:8" x14ac:dyDescent="0.3">
      <c r="A2321" s="42" t="s">
        <v>1075</v>
      </c>
      <c r="B2321" s="3" t="s">
        <v>1076</v>
      </c>
      <c r="C2321" s="4">
        <f t="shared" ca="1" si="98"/>
        <v>45941</v>
      </c>
      <c r="D2321" s="42"/>
      <c r="E2321" s="3" t="s">
        <v>1077</v>
      </c>
      <c r="F2321" s="43" t="b">
        <v>0</v>
      </c>
      <c r="G2321" s="43" t="b">
        <v>0</v>
      </c>
      <c r="H2321" s="44">
        <v>740</v>
      </c>
    </row>
    <row r="2322" spans="1:8" x14ac:dyDescent="0.3">
      <c r="A2322" s="42" t="s">
        <v>1594</v>
      </c>
      <c r="B2322" s="3" t="s">
        <v>1275</v>
      </c>
      <c r="C2322" s="4">
        <f t="shared" ca="1" si="98"/>
        <v>45941</v>
      </c>
      <c r="D2322" s="4">
        <f ca="1">TODAY()-82</f>
        <v>45955</v>
      </c>
      <c r="E2322" s="3" t="s">
        <v>1029</v>
      </c>
      <c r="F2322" s="43" t="b">
        <v>1</v>
      </c>
      <c r="G2322" s="43" t="b">
        <v>1</v>
      </c>
      <c r="H2322" s="44">
        <v>4920</v>
      </c>
    </row>
    <row r="2323" spans="1:8" x14ac:dyDescent="0.3">
      <c r="A2323" s="42" t="s">
        <v>1165</v>
      </c>
      <c r="B2323" s="3" t="s">
        <v>1481</v>
      </c>
      <c r="C2323" s="4">
        <f t="shared" ca="1" si="98"/>
        <v>45941</v>
      </c>
      <c r="D2323" s="42"/>
      <c r="E2323" s="3" t="s">
        <v>1108</v>
      </c>
      <c r="F2323" s="43" t="b">
        <v>0</v>
      </c>
      <c r="G2323" s="43" t="b">
        <v>0</v>
      </c>
      <c r="H2323" s="44">
        <v>1300</v>
      </c>
    </row>
    <row r="2324" spans="1:8" x14ac:dyDescent="0.3">
      <c r="A2324" s="42" t="s">
        <v>1739</v>
      </c>
      <c r="B2324" s="3" t="s">
        <v>1740</v>
      </c>
      <c r="C2324" s="4">
        <f t="shared" ca="1" si="98"/>
        <v>45941</v>
      </c>
      <c r="D2324" s="4">
        <f ca="1">TODAY()-67</f>
        <v>45970</v>
      </c>
      <c r="E2324" s="3" t="s">
        <v>1029</v>
      </c>
      <c r="F2324" s="43" t="b">
        <v>1</v>
      </c>
      <c r="G2324" s="43" t="b">
        <v>1</v>
      </c>
      <c r="H2324" s="44">
        <v>2310</v>
      </c>
    </row>
    <row r="2325" spans="1:8" x14ac:dyDescent="0.3">
      <c r="A2325" s="42" t="s">
        <v>1389</v>
      </c>
      <c r="B2325" s="3" t="s">
        <v>1614</v>
      </c>
      <c r="C2325" s="4">
        <f t="shared" ca="1" si="98"/>
        <v>45941</v>
      </c>
      <c r="D2325" s="4">
        <f ca="1">TODAY()-83</f>
        <v>45954</v>
      </c>
      <c r="E2325" s="3" t="s">
        <v>1029</v>
      </c>
      <c r="F2325" s="43" t="b">
        <v>1</v>
      </c>
      <c r="G2325" s="43" t="b">
        <v>1</v>
      </c>
      <c r="H2325" s="44">
        <v>1900</v>
      </c>
    </row>
    <row r="2326" spans="1:8" x14ac:dyDescent="0.3">
      <c r="A2326" s="42" t="s">
        <v>1899</v>
      </c>
      <c r="B2326" s="3" t="s">
        <v>1900</v>
      </c>
      <c r="C2326" s="4">
        <f t="shared" ca="1" si="98"/>
        <v>45941</v>
      </c>
      <c r="D2326" s="4">
        <f ca="1">TODAY()-74</f>
        <v>45963</v>
      </c>
      <c r="E2326" s="3" t="s">
        <v>1029</v>
      </c>
      <c r="F2326" s="43" t="b">
        <v>1</v>
      </c>
      <c r="G2326" s="43" t="b">
        <v>1</v>
      </c>
      <c r="H2326" s="44">
        <v>410</v>
      </c>
    </row>
    <row r="2327" spans="1:8" x14ac:dyDescent="0.3">
      <c r="A2327" s="42" t="s">
        <v>1925</v>
      </c>
      <c r="B2327" s="3" t="s">
        <v>1926</v>
      </c>
      <c r="C2327" s="4">
        <f t="shared" ca="1" si="98"/>
        <v>45941</v>
      </c>
      <c r="D2327" s="4">
        <f ca="1">TODAY()-70</f>
        <v>45967</v>
      </c>
      <c r="E2327" s="3" t="s">
        <v>1032</v>
      </c>
      <c r="F2327" s="43" t="b">
        <v>1</v>
      </c>
      <c r="G2327" s="43" t="b">
        <v>0</v>
      </c>
      <c r="H2327" s="44">
        <v>2440</v>
      </c>
    </row>
    <row r="2328" spans="1:8" x14ac:dyDescent="0.3">
      <c r="A2328" s="42" t="s">
        <v>1106</v>
      </c>
      <c r="B2328" s="3" t="s">
        <v>1107</v>
      </c>
      <c r="C2328" s="4">
        <f t="shared" ca="1" si="98"/>
        <v>45941</v>
      </c>
      <c r="D2328" s="42"/>
      <c r="E2328" s="3" t="s">
        <v>1108</v>
      </c>
      <c r="F2328" s="43" t="b">
        <v>0</v>
      </c>
      <c r="G2328" s="43" t="b">
        <v>0</v>
      </c>
      <c r="H2328" s="44">
        <v>1870</v>
      </c>
    </row>
    <row r="2329" spans="1:8" x14ac:dyDescent="0.3">
      <c r="A2329" s="42" t="s">
        <v>1899</v>
      </c>
      <c r="B2329" s="3" t="s">
        <v>1146</v>
      </c>
      <c r="C2329" s="4">
        <f t="shared" ca="1" si="98"/>
        <v>45941</v>
      </c>
      <c r="D2329" s="42"/>
      <c r="E2329" s="3" t="s">
        <v>1103</v>
      </c>
      <c r="F2329" s="43" t="b">
        <v>0</v>
      </c>
      <c r="G2329" s="43" t="b">
        <v>0</v>
      </c>
      <c r="H2329" s="44">
        <v>1620</v>
      </c>
    </row>
    <row r="2330" spans="1:8" x14ac:dyDescent="0.3">
      <c r="A2330" s="42" t="s">
        <v>1635</v>
      </c>
      <c r="B2330" s="3" t="s">
        <v>1636</v>
      </c>
      <c r="C2330" s="4">
        <f t="shared" ca="1" si="98"/>
        <v>45941</v>
      </c>
      <c r="D2330" s="4">
        <f ca="1">TODAY()-70</f>
        <v>45967</v>
      </c>
      <c r="E2330" s="3" t="s">
        <v>1029</v>
      </c>
      <c r="F2330" s="43" t="b">
        <v>1</v>
      </c>
      <c r="G2330" s="43" t="b">
        <v>1</v>
      </c>
      <c r="H2330" s="44">
        <v>1280</v>
      </c>
    </row>
    <row r="2331" spans="1:8" x14ac:dyDescent="0.3">
      <c r="A2331" s="42" t="s">
        <v>1374</v>
      </c>
      <c r="B2331" s="3" t="s">
        <v>1959</v>
      </c>
      <c r="C2331" s="4">
        <f t="shared" ca="1" si="98"/>
        <v>45941</v>
      </c>
      <c r="D2331" s="4">
        <f ca="1">TODAY()-71</f>
        <v>45966</v>
      </c>
      <c r="E2331" s="3" t="s">
        <v>1029</v>
      </c>
      <c r="F2331" s="43" t="b">
        <v>1</v>
      </c>
      <c r="G2331" s="43" t="b">
        <v>1</v>
      </c>
      <c r="H2331" s="44">
        <v>240</v>
      </c>
    </row>
    <row r="2332" spans="1:8" x14ac:dyDescent="0.3">
      <c r="A2332" s="42" t="s">
        <v>1085</v>
      </c>
      <c r="B2332" s="3" t="s">
        <v>1992</v>
      </c>
      <c r="C2332" s="4">
        <f t="shared" ca="1" si="98"/>
        <v>45941</v>
      </c>
      <c r="D2332" s="4">
        <f ca="1">TODAY()-79</f>
        <v>45958</v>
      </c>
      <c r="E2332" s="3" t="s">
        <v>1029</v>
      </c>
      <c r="F2332" s="43" t="b">
        <v>1</v>
      </c>
      <c r="G2332" s="43" t="b">
        <v>1</v>
      </c>
      <c r="H2332" s="44">
        <v>2030</v>
      </c>
    </row>
    <row r="2333" spans="1:8" x14ac:dyDescent="0.3">
      <c r="A2333" s="42" t="s">
        <v>1056</v>
      </c>
      <c r="B2333" s="3" t="s">
        <v>1540</v>
      </c>
      <c r="C2333" s="4">
        <f t="shared" ca="1" si="98"/>
        <v>45941</v>
      </c>
      <c r="D2333" s="42"/>
      <c r="E2333" s="3" t="s">
        <v>1108</v>
      </c>
      <c r="F2333" s="43" t="b">
        <v>0</v>
      </c>
      <c r="G2333" s="43" t="b">
        <v>0</v>
      </c>
      <c r="H2333" s="44">
        <v>620</v>
      </c>
    </row>
    <row r="2334" spans="1:8" x14ac:dyDescent="0.3">
      <c r="A2334" s="42" t="s">
        <v>1073</v>
      </c>
      <c r="B2334" s="3" t="s">
        <v>1074</v>
      </c>
      <c r="C2334" s="4">
        <f t="shared" ca="1" si="98"/>
        <v>45941</v>
      </c>
      <c r="D2334" s="4">
        <f ca="1">TODAY()-75</f>
        <v>45962</v>
      </c>
      <c r="E2334" s="3" t="s">
        <v>1032</v>
      </c>
      <c r="F2334" s="43" t="b">
        <v>1</v>
      </c>
      <c r="G2334" s="43" t="b">
        <v>0</v>
      </c>
      <c r="H2334" s="44">
        <v>1320</v>
      </c>
    </row>
    <row r="2335" spans="1:8" x14ac:dyDescent="0.3">
      <c r="A2335" s="42" t="s">
        <v>1315</v>
      </c>
      <c r="B2335" s="3" t="s">
        <v>1588</v>
      </c>
      <c r="C2335" s="4">
        <f t="shared" ca="1" si="98"/>
        <v>45941</v>
      </c>
      <c r="D2335" s="4">
        <f ca="1">TODAY()-86</f>
        <v>45951</v>
      </c>
      <c r="E2335" s="3" t="s">
        <v>1032</v>
      </c>
      <c r="F2335" s="43" t="b">
        <v>1</v>
      </c>
      <c r="G2335" s="43" t="b">
        <v>0</v>
      </c>
      <c r="H2335" s="44">
        <v>1680</v>
      </c>
    </row>
    <row r="2336" spans="1:8" x14ac:dyDescent="0.3">
      <c r="A2336" s="42" t="s">
        <v>1626</v>
      </c>
      <c r="B2336" s="3" t="s">
        <v>1874</v>
      </c>
      <c r="C2336" s="4">
        <f t="shared" ref="C2336:C2471" ca="1" si="103">TODAY()-65</f>
        <v>45972</v>
      </c>
      <c r="D2336" s="4">
        <f ca="1">TODAY()-41</f>
        <v>45996</v>
      </c>
      <c r="E2336" s="3" t="s">
        <v>1029</v>
      </c>
      <c r="F2336" s="43" t="b">
        <v>1</v>
      </c>
      <c r="G2336" s="43" t="b">
        <v>1</v>
      </c>
      <c r="H2336" s="44">
        <v>1660</v>
      </c>
    </row>
    <row r="2337" spans="1:8" x14ac:dyDescent="0.3">
      <c r="A2337" s="42" t="s">
        <v>1033</v>
      </c>
      <c r="B2337" s="3" t="s">
        <v>1034</v>
      </c>
      <c r="C2337" s="4">
        <f t="shared" ca="1" si="103"/>
        <v>45972</v>
      </c>
      <c r="D2337" s="4">
        <f ca="1">TODAY()-36</f>
        <v>46001</v>
      </c>
      <c r="E2337" s="3" t="s">
        <v>1029</v>
      </c>
      <c r="F2337" s="43" t="b">
        <v>1</v>
      </c>
      <c r="G2337" s="43" t="b">
        <v>1</v>
      </c>
      <c r="H2337" s="44">
        <v>2110</v>
      </c>
    </row>
    <row r="2338" spans="1:8" x14ac:dyDescent="0.3">
      <c r="A2338" s="42" t="s">
        <v>1292</v>
      </c>
      <c r="B2338" s="3" t="s">
        <v>1293</v>
      </c>
      <c r="C2338" s="4">
        <f t="shared" ca="1" si="103"/>
        <v>45972</v>
      </c>
      <c r="D2338" s="4">
        <f ca="1">TODAY()-46</f>
        <v>45991</v>
      </c>
      <c r="E2338" s="3" t="s">
        <v>1029</v>
      </c>
      <c r="F2338" s="43" t="b">
        <v>1</v>
      </c>
      <c r="G2338" s="43" t="b">
        <v>1</v>
      </c>
      <c r="H2338" s="44">
        <v>930</v>
      </c>
    </row>
    <row r="2339" spans="1:8" x14ac:dyDescent="0.3">
      <c r="A2339" s="42" t="s">
        <v>1173</v>
      </c>
      <c r="B2339" s="3" t="s">
        <v>1174</v>
      </c>
      <c r="C2339" s="4">
        <f t="shared" ca="1" si="103"/>
        <v>45972</v>
      </c>
      <c r="D2339" s="4">
        <f ca="1">TODAY()-45</f>
        <v>45992</v>
      </c>
      <c r="E2339" s="3" t="s">
        <v>1032</v>
      </c>
      <c r="F2339" s="43" t="b">
        <v>1</v>
      </c>
      <c r="G2339" s="43" t="b">
        <v>0</v>
      </c>
      <c r="H2339" s="44">
        <v>640</v>
      </c>
    </row>
    <row r="2340" spans="1:8" x14ac:dyDescent="0.3">
      <c r="A2340" s="42" t="s">
        <v>1957</v>
      </c>
      <c r="B2340" s="3" t="s">
        <v>1958</v>
      </c>
      <c r="C2340" s="4">
        <f t="shared" ca="1" si="103"/>
        <v>45972</v>
      </c>
      <c r="D2340" s="42"/>
      <c r="E2340" s="3" t="s">
        <v>1101</v>
      </c>
      <c r="F2340" s="43" t="b">
        <v>0</v>
      </c>
      <c r="G2340" s="43" t="b">
        <v>0</v>
      </c>
      <c r="H2340" s="44">
        <v>1260</v>
      </c>
    </row>
    <row r="2341" spans="1:8" x14ac:dyDescent="0.3">
      <c r="A2341" s="42" t="s">
        <v>1816</v>
      </c>
      <c r="B2341" s="3" t="s">
        <v>1989</v>
      </c>
      <c r="C2341" s="4">
        <f t="shared" ca="1" si="103"/>
        <v>45972</v>
      </c>
      <c r="D2341" s="4">
        <f t="shared" ref="D2341:D2342" ca="1" si="104">TODAY()-47</f>
        <v>45990</v>
      </c>
      <c r="E2341" s="3" t="s">
        <v>1029</v>
      </c>
      <c r="F2341" s="43" t="b">
        <v>1</v>
      </c>
      <c r="G2341" s="43" t="b">
        <v>1</v>
      </c>
      <c r="H2341" s="44">
        <v>390</v>
      </c>
    </row>
    <row r="2342" spans="1:8" x14ac:dyDescent="0.3">
      <c r="A2342" s="42" t="s">
        <v>1405</v>
      </c>
      <c r="B2342" s="3" t="s">
        <v>1406</v>
      </c>
      <c r="C2342" s="4">
        <f t="shared" ca="1" si="103"/>
        <v>45972</v>
      </c>
      <c r="D2342" s="4">
        <f t="shared" ca="1" si="104"/>
        <v>45990</v>
      </c>
      <c r="E2342" s="3" t="s">
        <v>1029</v>
      </c>
      <c r="F2342" s="43" t="b">
        <v>1</v>
      </c>
      <c r="G2342" s="43" t="b">
        <v>1</v>
      </c>
      <c r="H2342" s="44">
        <v>340</v>
      </c>
    </row>
    <row r="2343" spans="1:8" x14ac:dyDescent="0.3">
      <c r="A2343" s="42" t="s">
        <v>1387</v>
      </c>
      <c r="B2343" s="3" t="s">
        <v>1486</v>
      </c>
      <c r="C2343" s="4">
        <f t="shared" ca="1" si="103"/>
        <v>45972</v>
      </c>
      <c r="D2343" s="42"/>
      <c r="E2343" s="3" t="s">
        <v>1108</v>
      </c>
      <c r="F2343" s="43" t="b">
        <v>0</v>
      </c>
      <c r="G2343" s="43" t="b">
        <v>0</v>
      </c>
      <c r="H2343" s="44">
        <v>2480</v>
      </c>
    </row>
    <row r="2344" spans="1:8" x14ac:dyDescent="0.3">
      <c r="A2344" s="42" t="s">
        <v>1499</v>
      </c>
      <c r="B2344" s="3" t="s">
        <v>1500</v>
      </c>
      <c r="C2344" s="4">
        <f t="shared" ca="1" si="103"/>
        <v>45972</v>
      </c>
      <c r="D2344" s="42"/>
      <c r="E2344" s="3" t="s">
        <v>1037</v>
      </c>
      <c r="F2344" s="43" t="b">
        <v>0</v>
      </c>
      <c r="G2344" s="43" t="b">
        <v>0</v>
      </c>
      <c r="H2344" s="44">
        <v>840</v>
      </c>
    </row>
    <row r="2345" spans="1:8" x14ac:dyDescent="0.3">
      <c r="A2345" s="42" t="s">
        <v>1186</v>
      </c>
      <c r="B2345" s="3" t="s">
        <v>1886</v>
      </c>
      <c r="C2345" s="4">
        <f t="shared" ca="1" si="103"/>
        <v>45972</v>
      </c>
      <c r="D2345" s="42"/>
      <c r="E2345" s="3" t="s">
        <v>1101</v>
      </c>
      <c r="F2345" s="43" t="b">
        <v>0</v>
      </c>
      <c r="G2345" s="43" t="b">
        <v>0</v>
      </c>
      <c r="H2345" s="44">
        <v>250</v>
      </c>
    </row>
    <row r="2346" spans="1:8" x14ac:dyDescent="0.3">
      <c r="A2346" s="42" t="s">
        <v>1125</v>
      </c>
      <c r="B2346" s="3" t="s">
        <v>1634</v>
      </c>
      <c r="C2346" s="4">
        <f t="shared" ca="1" si="103"/>
        <v>45972</v>
      </c>
      <c r="D2346" s="4">
        <f ca="1">TODAY()-36</f>
        <v>46001</v>
      </c>
      <c r="E2346" s="3" t="s">
        <v>1032</v>
      </c>
      <c r="F2346" s="43" t="b">
        <v>1</v>
      </c>
      <c r="G2346" s="43" t="b">
        <v>0</v>
      </c>
      <c r="H2346" s="44">
        <v>2490</v>
      </c>
    </row>
    <row r="2347" spans="1:8" x14ac:dyDescent="0.3">
      <c r="A2347" s="42" t="s">
        <v>1993</v>
      </c>
      <c r="B2347" s="3" t="s">
        <v>1994</v>
      </c>
      <c r="C2347" s="4">
        <f t="shared" ca="1" si="103"/>
        <v>45972</v>
      </c>
      <c r="D2347" s="42"/>
      <c r="E2347" s="3" t="s">
        <v>1101</v>
      </c>
      <c r="F2347" s="43" t="b">
        <v>0</v>
      </c>
      <c r="G2347" s="43" t="b">
        <v>0</v>
      </c>
      <c r="H2347" s="44">
        <v>1080</v>
      </c>
    </row>
    <row r="2348" spans="1:8" x14ac:dyDescent="0.3">
      <c r="A2348" s="42" t="s">
        <v>1872</v>
      </c>
      <c r="B2348" s="3" t="s">
        <v>1996</v>
      </c>
      <c r="C2348" s="4">
        <f t="shared" ca="1" si="103"/>
        <v>45972</v>
      </c>
      <c r="D2348" s="4">
        <f ca="1">TODAY()-50</f>
        <v>45987</v>
      </c>
      <c r="E2348" s="3" t="s">
        <v>1029</v>
      </c>
      <c r="F2348" s="43" t="b">
        <v>1</v>
      </c>
      <c r="G2348" s="43" t="b">
        <v>1</v>
      </c>
      <c r="H2348" s="44">
        <v>1300</v>
      </c>
    </row>
    <row r="2349" spans="1:8" x14ac:dyDescent="0.3">
      <c r="A2349" s="42" t="s">
        <v>1237</v>
      </c>
      <c r="B2349" s="3" t="s">
        <v>1854</v>
      </c>
      <c r="C2349" s="4">
        <f t="shared" ca="1" si="103"/>
        <v>45972</v>
      </c>
      <c r="D2349" s="4">
        <f ca="1">TODAY()-44</f>
        <v>45993</v>
      </c>
      <c r="E2349" s="3" t="s">
        <v>1032</v>
      </c>
      <c r="F2349" s="43" t="b">
        <v>1</v>
      </c>
      <c r="G2349" s="43" t="b">
        <v>0</v>
      </c>
      <c r="H2349" s="44">
        <v>1940</v>
      </c>
    </row>
    <row r="2350" spans="1:8" x14ac:dyDescent="0.3">
      <c r="A2350" s="42" t="s">
        <v>1109</v>
      </c>
      <c r="B2350" s="3" t="s">
        <v>1110</v>
      </c>
      <c r="C2350" s="4">
        <f t="shared" ca="1" si="103"/>
        <v>45972</v>
      </c>
      <c r="D2350" s="4">
        <f ca="1">TODAY()-55</f>
        <v>45982</v>
      </c>
      <c r="E2350" s="3" t="s">
        <v>1029</v>
      </c>
      <c r="F2350" s="43" t="b">
        <v>1</v>
      </c>
      <c r="G2350" s="43" t="b">
        <v>1</v>
      </c>
      <c r="H2350" s="44">
        <v>260</v>
      </c>
    </row>
    <row r="2351" spans="1:8" x14ac:dyDescent="0.3">
      <c r="A2351" s="42" t="s">
        <v>1595</v>
      </c>
      <c r="B2351" s="3" t="s">
        <v>1596</v>
      </c>
      <c r="C2351" s="4">
        <f t="shared" ca="1" si="103"/>
        <v>45972</v>
      </c>
      <c r="D2351" s="4">
        <f ca="1">TODAY()-43</f>
        <v>45994</v>
      </c>
      <c r="E2351" s="3" t="s">
        <v>1029</v>
      </c>
      <c r="F2351" s="43" t="b">
        <v>1</v>
      </c>
      <c r="G2351" s="43" t="b">
        <v>1</v>
      </c>
      <c r="H2351" s="44">
        <v>2400</v>
      </c>
    </row>
    <row r="2352" spans="1:8" x14ac:dyDescent="0.3">
      <c r="A2352" s="42" t="s">
        <v>1058</v>
      </c>
      <c r="B2352" s="3" t="s">
        <v>1059</v>
      </c>
      <c r="C2352" s="4">
        <f t="shared" ca="1" si="103"/>
        <v>45972</v>
      </c>
      <c r="D2352" s="4">
        <f ca="1">TODAY()-54</f>
        <v>45983</v>
      </c>
      <c r="E2352" s="3" t="s">
        <v>1029</v>
      </c>
      <c r="F2352" s="43" t="b">
        <v>1</v>
      </c>
      <c r="G2352" s="43" t="b">
        <v>1</v>
      </c>
      <c r="H2352" s="44">
        <v>800</v>
      </c>
    </row>
    <row r="2353" spans="1:8" x14ac:dyDescent="0.3">
      <c r="A2353" s="42" t="s">
        <v>1800</v>
      </c>
      <c r="B2353" s="3" t="s">
        <v>1275</v>
      </c>
      <c r="C2353" s="4">
        <f t="shared" ca="1" si="103"/>
        <v>45972</v>
      </c>
      <c r="D2353" s="4">
        <f ca="1">TODAY()-50</f>
        <v>45987</v>
      </c>
      <c r="E2353" s="3" t="s">
        <v>1029</v>
      </c>
      <c r="F2353" s="43" t="b">
        <v>1</v>
      </c>
      <c r="G2353" s="43" t="b">
        <v>1</v>
      </c>
      <c r="H2353" s="44">
        <v>1290</v>
      </c>
    </row>
    <row r="2354" spans="1:8" x14ac:dyDescent="0.3">
      <c r="A2354" s="42" t="s">
        <v>1478</v>
      </c>
      <c r="B2354" s="3" t="s">
        <v>1479</v>
      </c>
      <c r="C2354" s="4">
        <f t="shared" ca="1" si="103"/>
        <v>45972</v>
      </c>
      <c r="D2354" s="4">
        <f ca="1">TODAY()-42</f>
        <v>45995</v>
      </c>
      <c r="E2354" s="3" t="s">
        <v>1032</v>
      </c>
      <c r="F2354" s="43" t="b">
        <v>1</v>
      </c>
      <c r="G2354" s="43" t="b">
        <v>0</v>
      </c>
      <c r="H2354" s="44">
        <v>2010</v>
      </c>
    </row>
    <row r="2355" spans="1:8" x14ac:dyDescent="0.3">
      <c r="A2355" s="42" t="s">
        <v>1310</v>
      </c>
      <c r="B2355" s="3" t="s">
        <v>1818</v>
      </c>
      <c r="C2355" s="4">
        <f t="shared" ca="1" si="103"/>
        <v>45972</v>
      </c>
      <c r="D2355" s="4">
        <f ca="1">TODAY()-36</f>
        <v>46001</v>
      </c>
      <c r="E2355" s="3" t="s">
        <v>1029</v>
      </c>
      <c r="F2355" s="43" t="b">
        <v>1</v>
      </c>
      <c r="G2355" s="43" t="b">
        <v>1</v>
      </c>
      <c r="H2355" s="44">
        <v>2140</v>
      </c>
    </row>
    <row r="2356" spans="1:8" x14ac:dyDescent="0.3">
      <c r="A2356" s="42" t="s">
        <v>1722</v>
      </c>
      <c r="B2356" s="3" t="s">
        <v>1114</v>
      </c>
      <c r="C2356" s="4">
        <f t="shared" ca="1" si="103"/>
        <v>45972</v>
      </c>
      <c r="D2356" s="42"/>
      <c r="E2356" s="3" t="s">
        <v>1108</v>
      </c>
      <c r="F2356" s="43" t="b">
        <v>0</v>
      </c>
      <c r="G2356" s="43" t="b">
        <v>0</v>
      </c>
      <c r="H2356" s="44">
        <v>1680</v>
      </c>
    </row>
    <row r="2357" spans="1:8" x14ac:dyDescent="0.3">
      <c r="A2357" s="42" t="s">
        <v>1083</v>
      </c>
      <c r="B2357" s="3" t="s">
        <v>1997</v>
      </c>
      <c r="C2357" s="4">
        <f t="shared" ca="1" si="103"/>
        <v>45972</v>
      </c>
      <c r="D2357" s="4">
        <f t="shared" ref="D2357:D2358" ca="1" si="105">TODAY()-39</f>
        <v>45998</v>
      </c>
      <c r="E2357" s="3" t="s">
        <v>1029</v>
      </c>
      <c r="F2357" s="43" t="b">
        <v>1</v>
      </c>
      <c r="G2357" s="43" t="b">
        <v>1</v>
      </c>
      <c r="H2357" s="44">
        <v>1780</v>
      </c>
    </row>
    <row r="2358" spans="1:8" x14ac:dyDescent="0.3">
      <c r="A2358" s="42" t="s">
        <v>1310</v>
      </c>
      <c r="B2358" s="3" t="s">
        <v>1818</v>
      </c>
      <c r="C2358" s="4">
        <f t="shared" ca="1" si="103"/>
        <v>45972</v>
      </c>
      <c r="D2358" s="4">
        <f t="shared" ca="1" si="105"/>
        <v>45998</v>
      </c>
      <c r="E2358" s="3" t="s">
        <v>1029</v>
      </c>
      <c r="F2358" s="43" t="b">
        <v>1</v>
      </c>
      <c r="G2358" s="43" t="b">
        <v>1</v>
      </c>
      <c r="H2358" s="44">
        <v>2140</v>
      </c>
    </row>
    <row r="2359" spans="1:8" x14ac:dyDescent="0.3">
      <c r="A2359" s="42" t="s">
        <v>1908</v>
      </c>
      <c r="B2359" s="3" t="s">
        <v>1909</v>
      </c>
      <c r="C2359" s="4">
        <f t="shared" ca="1" si="103"/>
        <v>45972</v>
      </c>
      <c r="D2359" s="4">
        <f ca="1">TODAY()-42</f>
        <v>45995</v>
      </c>
      <c r="E2359" s="3" t="s">
        <v>1032</v>
      </c>
      <c r="F2359" s="43" t="b">
        <v>1</v>
      </c>
      <c r="G2359" s="43" t="b">
        <v>0</v>
      </c>
      <c r="H2359" s="44">
        <v>1030</v>
      </c>
    </row>
    <row r="2360" spans="1:8" x14ac:dyDescent="0.3">
      <c r="A2360" s="42" t="s">
        <v>1598</v>
      </c>
      <c r="B2360" s="3" t="s">
        <v>1858</v>
      </c>
      <c r="C2360" s="4">
        <f t="shared" ca="1" si="103"/>
        <v>45972</v>
      </c>
      <c r="D2360" s="42"/>
      <c r="E2360" s="3" t="s">
        <v>1108</v>
      </c>
      <c r="F2360" s="43" t="b">
        <v>0</v>
      </c>
      <c r="G2360" s="43" t="b">
        <v>0</v>
      </c>
      <c r="H2360" s="44">
        <v>1270</v>
      </c>
    </row>
    <row r="2361" spans="1:8" x14ac:dyDescent="0.3">
      <c r="A2361" s="42" t="s">
        <v>1827</v>
      </c>
      <c r="B2361" s="3" t="s">
        <v>1987</v>
      </c>
      <c r="C2361" s="4">
        <f t="shared" ca="1" si="103"/>
        <v>45972</v>
      </c>
      <c r="D2361" s="4">
        <f ca="1">TODAY()-53</f>
        <v>45984</v>
      </c>
      <c r="E2361" s="3" t="s">
        <v>1029</v>
      </c>
      <c r="F2361" s="43" t="b">
        <v>1</v>
      </c>
      <c r="G2361" s="43" t="b">
        <v>1</v>
      </c>
      <c r="H2361" s="44">
        <v>2360</v>
      </c>
    </row>
    <row r="2362" spans="1:8" x14ac:dyDescent="0.3">
      <c r="A2362" s="42" t="s">
        <v>1697</v>
      </c>
      <c r="B2362" s="3" t="s">
        <v>1698</v>
      </c>
      <c r="C2362" s="4">
        <f t="shared" ca="1" si="103"/>
        <v>45972</v>
      </c>
      <c r="D2362" s="4">
        <f ca="1">TODAY()-51</f>
        <v>45986</v>
      </c>
      <c r="E2362" s="3" t="s">
        <v>1029</v>
      </c>
      <c r="F2362" s="43" t="b">
        <v>1</v>
      </c>
      <c r="G2362" s="43" t="b">
        <v>1</v>
      </c>
      <c r="H2362" s="44">
        <v>2160</v>
      </c>
    </row>
    <row r="2363" spans="1:8" x14ac:dyDescent="0.3">
      <c r="A2363" s="42" t="s">
        <v>1472</v>
      </c>
      <c r="B2363" s="3" t="s">
        <v>1974</v>
      </c>
      <c r="C2363" s="4">
        <f t="shared" ca="1" si="103"/>
        <v>45972</v>
      </c>
      <c r="D2363" s="42"/>
      <c r="E2363" s="3" t="s">
        <v>1037</v>
      </c>
      <c r="F2363" s="43" t="b">
        <v>0</v>
      </c>
      <c r="G2363" s="43" t="b">
        <v>0</v>
      </c>
      <c r="H2363" s="44">
        <v>130</v>
      </c>
    </row>
    <row r="2364" spans="1:8" x14ac:dyDescent="0.3">
      <c r="A2364" s="42" t="s">
        <v>1093</v>
      </c>
      <c r="B2364" s="3" t="s">
        <v>1094</v>
      </c>
      <c r="C2364" s="4">
        <f t="shared" ca="1" si="103"/>
        <v>45972</v>
      </c>
      <c r="D2364" s="4">
        <f ca="1">TODAY()-37</f>
        <v>46000</v>
      </c>
      <c r="E2364" s="3" t="s">
        <v>1032</v>
      </c>
      <c r="F2364" s="43" t="b">
        <v>1</v>
      </c>
      <c r="G2364" s="43" t="b">
        <v>0</v>
      </c>
      <c r="H2364" s="44">
        <v>890</v>
      </c>
    </row>
    <row r="2365" spans="1:8" x14ac:dyDescent="0.3">
      <c r="A2365" s="42" t="s">
        <v>1203</v>
      </c>
      <c r="B2365" s="3" t="s">
        <v>1204</v>
      </c>
      <c r="C2365" s="4">
        <f t="shared" ca="1" si="103"/>
        <v>45972</v>
      </c>
      <c r="D2365" s="4">
        <f ca="1">TODAY()-48</f>
        <v>45989</v>
      </c>
      <c r="E2365" s="3" t="s">
        <v>1032</v>
      </c>
      <c r="F2365" s="43" t="b">
        <v>1</v>
      </c>
      <c r="G2365" s="43" t="b">
        <v>0</v>
      </c>
      <c r="H2365" s="44">
        <v>410</v>
      </c>
    </row>
    <row r="2366" spans="1:8" x14ac:dyDescent="0.3">
      <c r="A2366" s="42" t="s">
        <v>1722</v>
      </c>
      <c r="B2366" s="3" t="s">
        <v>1114</v>
      </c>
      <c r="C2366" s="4">
        <f t="shared" ca="1" si="103"/>
        <v>45972</v>
      </c>
      <c r="D2366" s="42"/>
      <c r="E2366" s="3" t="s">
        <v>1108</v>
      </c>
      <c r="F2366" s="43" t="b">
        <v>0</v>
      </c>
      <c r="G2366" s="43" t="b">
        <v>0</v>
      </c>
      <c r="H2366" s="44">
        <v>1680</v>
      </c>
    </row>
    <row r="2367" spans="1:8" x14ac:dyDescent="0.3">
      <c r="A2367" s="42" t="s">
        <v>1708</v>
      </c>
      <c r="B2367" s="3" t="s">
        <v>1709</v>
      </c>
      <c r="C2367" s="4">
        <f t="shared" ca="1" si="103"/>
        <v>45972</v>
      </c>
      <c r="D2367" s="4">
        <f t="shared" ref="D2367:D2368" ca="1" si="106">TODAY()-42</f>
        <v>45995</v>
      </c>
      <c r="E2367" s="3" t="s">
        <v>1029</v>
      </c>
      <c r="F2367" s="43" t="b">
        <v>1</v>
      </c>
      <c r="G2367" s="43" t="b">
        <v>1</v>
      </c>
      <c r="H2367" s="44">
        <v>1910</v>
      </c>
    </row>
    <row r="2368" spans="1:8" x14ac:dyDescent="0.3">
      <c r="A2368" s="42" t="s">
        <v>1242</v>
      </c>
      <c r="B2368" s="3" t="s">
        <v>1243</v>
      </c>
      <c r="C2368" s="4">
        <f t="shared" ca="1" si="103"/>
        <v>45972</v>
      </c>
      <c r="D2368" s="4">
        <f t="shared" ca="1" si="106"/>
        <v>45995</v>
      </c>
      <c r="E2368" s="3" t="s">
        <v>1029</v>
      </c>
      <c r="F2368" s="43" t="b">
        <v>1</v>
      </c>
      <c r="G2368" s="43" t="b">
        <v>1</v>
      </c>
      <c r="H2368" s="44">
        <v>1420</v>
      </c>
    </row>
    <row r="2369" spans="1:8" x14ac:dyDescent="0.3">
      <c r="A2369" s="42" t="s">
        <v>1746</v>
      </c>
      <c r="B2369" s="3" t="s">
        <v>1747</v>
      </c>
      <c r="C2369" s="4">
        <f t="shared" ca="1" si="103"/>
        <v>45972</v>
      </c>
      <c r="D2369" s="4">
        <f ca="1">TODAY()-41</f>
        <v>45996</v>
      </c>
      <c r="E2369" s="3" t="s">
        <v>1029</v>
      </c>
      <c r="F2369" s="43" t="b">
        <v>1</v>
      </c>
      <c r="G2369" s="43" t="b">
        <v>1</v>
      </c>
      <c r="H2369" s="44">
        <v>1680</v>
      </c>
    </row>
    <row r="2370" spans="1:8" x14ac:dyDescent="0.3">
      <c r="A2370" s="42" t="s">
        <v>1671</v>
      </c>
      <c r="B2370" s="3" t="s">
        <v>1222</v>
      </c>
      <c r="C2370" s="4">
        <f t="shared" ca="1" si="103"/>
        <v>45972</v>
      </c>
      <c r="D2370" s="4">
        <f ca="1">TODAY()-38</f>
        <v>45999</v>
      </c>
      <c r="E2370" s="3" t="s">
        <v>1029</v>
      </c>
      <c r="F2370" s="43" t="b">
        <v>1</v>
      </c>
      <c r="G2370" s="43" t="b">
        <v>1</v>
      </c>
      <c r="H2370" s="44">
        <v>1670</v>
      </c>
    </row>
    <row r="2371" spans="1:8" x14ac:dyDescent="0.3">
      <c r="A2371" s="42" t="s">
        <v>1052</v>
      </c>
      <c r="B2371" s="3" t="s">
        <v>1053</v>
      </c>
      <c r="C2371" s="4">
        <f t="shared" ca="1" si="103"/>
        <v>45972</v>
      </c>
      <c r="D2371" s="4">
        <f ca="1">TODAY()-53</f>
        <v>45984</v>
      </c>
      <c r="E2371" s="3" t="s">
        <v>1032</v>
      </c>
      <c r="F2371" s="43" t="b">
        <v>1</v>
      </c>
      <c r="G2371" s="43" t="b">
        <v>0</v>
      </c>
      <c r="H2371" s="44">
        <v>640</v>
      </c>
    </row>
    <row r="2372" spans="1:8" x14ac:dyDescent="0.3">
      <c r="A2372" s="42" t="s">
        <v>1276</v>
      </c>
      <c r="B2372" s="3" t="s">
        <v>1611</v>
      </c>
      <c r="C2372" s="4">
        <f t="shared" ca="1" si="103"/>
        <v>45972</v>
      </c>
      <c r="D2372" s="4">
        <f ca="1">TODAY()-46</f>
        <v>45991</v>
      </c>
      <c r="E2372" s="3" t="s">
        <v>1029</v>
      </c>
      <c r="F2372" s="43" t="b">
        <v>1</v>
      </c>
      <c r="G2372" s="43" t="b">
        <v>1</v>
      </c>
      <c r="H2372" s="44">
        <v>820</v>
      </c>
    </row>
    <row r="2373" spans="1:8" x14ac:dyDescent="0.3">
      <c r="A2373" s="42" t="s">
        <v>1320</v>
      </c>
      <c r="B2373" s="3" t="s">
        <v>1321</v>
      </c>
      <c r="C2373" s="4">
        <f t="shared" ca="1" si="103"/>
        <v>45972</v>
      </c>
      <c r="D2373" s="4">
        <f ca="1">TODAY()-49</f>
        <v>45988</v>
      </c>
      <c r="E2373" s="3" t="s">
        <v>1029</v>
      </c>
      <c r="F2373" s="43" t="b">
        <v>1</v>
      </c>
      <c r="G2373" s="43" t="b">
        <v>1</v>
      </c>
      <c r="H2373" s="44">
        <v>1080</v>
      </c>
    </row>
    <row r="2374" spans="1:8" x14ac:dyDescent="0.3">
      <c r="A2374" s="42" t="s">
        <v>1852</v>
      </c>
      <c r="B2374" s="3" t="s">
        <v>1853</v>
      </c>
      <c r="C2374" s="4">
        <f t="shared" ca="1" si="103"/>
        <v>45972</v>
      </c>
      <c r="D2374" s="4">
        <f ca="1">TODAY()-51</f>
        <v>45986</v>
      </c>
      <c r="E2374" s="3" t="s">
        <v>1032</v>
      </c>
      <c r="F2374" s="43" t="b">
        <v>1</v>
      </c>
      <c r="G2374" s="43" t="b">
        <v>0</v>
      </c>
      <c r="H2374" s="44">
        <v>1450</v>
      </c>
    </row>
    <row r="2375" spans="1:8" x14ac:dyDescent="0.3">
      <c r="A2375" s="42" t="s">
        <v>1294</v>
      </c>
      <c r="B2375" s="3" t="s">
        <v>1295</v>
      </c>
      <c r="C2375" s="4">
        <f t="shared" ca="1" si="103"/>
        <v>45972</v>
      </c>
      <c r="D2375" s="4">
        <f ca="1">TODAY()-52</f>
        <v>45985</v>
      </c>
      <c r="E2375" s="3" t="s">
        <v>1029</v>
      </c>
      <c r="F2375" s="43" t="b">
        <v>1</v>
      </c>
      <c r="G2375" s="43" t="b">
        <v>1</v>
      </c>
      <c r="H2375" s="44">
        <v>2410</v>
      </c>
    </row>
    <row r="2376" spans="1:8" x14ac:dyDescent="0.3">
      <c r="A2376" s="42" t="s">
        <v>1466</v>
      </c>
      <c r="B2376" s="3" t="s">
        <v>1467</v>
      </c>
      <c r="C2376" s="4">
        <f t="shared" ca="1" si="103"/>
        <v>45972</v>
      </c>
      <c r="D2376" s="42"/>
      <c r="E2376" s="3" t="s">
        <v>1037</v>
      </c>
      <c r="F2376" s="43" t="b">
        <v>0</v>
      </c>
      <c r="G2376" s="43" t="b">
        <v>0</v>
      </c>
      <c r="H2376" s="44">
        <v>2400</v>
      </c>
    </row>
    <row r="2377" spans="1:8" x14ac:dyDescent="0.3">
      <c r="A2377" s="42" t="s">
        <v>1632</v>
      </c>
      <c r="B2377" s="3" t="s">
        <v>1774</v>
      </c>
      <c r="C2377" s="4">
        <f t="shared" ca="1" si="103"/>
        <v>45972</v>
      </c>
      <c r="D2377" s="4">
        <f ca="1">TODAY()-46</f>
        <v>45991</v>
      </c>
      <c r="E2377" s="3" t="s">
        <v>1029</v>
      </c>
      <c r="F2377" s="43" t="b">
        <v>1</v>
      </c>
      <c r="G2377" s="43" t="b">
        <v>1</v>
      </c>
      <c r="H2377" s="44">
        <v>2360</v>
      </c>
    </row>
    <row r="2378" spans="1:8" x14ac:dyDescent="0.3">
      <c r="A2378" s="42" t="s">
        <v>1326</v>
      </c>
      <c r="B2378" s="3" t="s">
        <v>1327</v>
      </c>
      <c r="C2378" s="4">
        <f t="shared" ca="1" si="103"/>
        <v>45972</v>
      </c>
      <c r="D2378" s="4">
        <f ca="1">TODAY()-44</f>
        <v>45993</v>
      </c>
      <c r="E2378" s="3" t="s">
        <v>1032</v>
      </c>
      <c r="F2378" s="43" t="b">
        <v>1</v>
      </c>
      <c r="G2378" s="43" t="b">
        <v>0</v>
      </c>
      <c r="H2378" s="44">
        <v>2080</v>
      </c>
    </row>
    <row r="2379" spans="1:8" x14ac:dyDescent="0.3">
      <c r="A2379" s="42" t="s">
        <v>1901</v>
      </c>
      <c r="B2379" s="3" t="s">
        <v>1902</v>
      </c>
      <c r="C2379" s="4">
        <f t="shared" ca="1" si="103"/>
        <v>45972</v>
      </c>
      <c r="D2379" s="42"/>
      <c r="E2379" s="3" t="s">
        <v>1101</v>
      </c>
      <c r="F2379" s="43" t="b">
        <v>0</v>
      </c>
      <c r="G2379" s="43" t="b">
        <v>0</v>
      </c>
      <c r="H2379" s="44">
        <v>550</v>
      </c>
    </row>
    <row r="2380" spans="1:8" x14ac:dyDescent="0.3">
      <c r="A2380" s="42" t="s">
        <v>1225</v>
      </c>
      <c r="B2380" s="3" t="s">
        <v>1274</v>
      </c>
      <c r="C2380" s="4">
        <f t="shared" ca="1" si="103"/>
        <v>45972</v>
      </c>
      <c r="D2380" s="4">
        <f ca="1">TODAY()-38</f>
        <v>45999</v>
      </c>
      <c r="E2380" s="3" t="s">
        <v>1029</v>
      </c>
      <c r="F2380" s="43" t="b">
        <v>1</v>
      </c>
      <c r="G2380" s="43" t="b">
        <v>1</v>
      </c>
      <c r="H2380" s="44">
        <v>670</v>
      </c>
    </row>
    <row r="2381" spans="1:8" x14ac:dyDescent="0.3">
      <c r="A2381" s="42" t="s">
        <v>1127</v>
      </c>
      <c r="B2381" s="3" t="s">
        <v>1890</v>
      </c>
      <c r="C2381" s="4">
        <f t="shared" ca="1" si="103"/>
        <v>45972</v>
      </c>
      <c r="D2381" s="4">
        <f ca="1">TODAY()-46</f>
        <v>45991</v>
      </c>
      <c r="E2381" s="3" t="s">
        <v>1032</v>
      </c>
      <c r="F2381" s="43" t="b">
        <v>1</v>
      </c>
      <c r="G2381" s="43" t="b">
        <v>0</v>
      </c>
      <c r="H2381" s="44">
        <v>2410</v>
      </c>
    </row>
    <row r="2382" spans="1:8" x14ac:dyDescent="0.3">
      <c r="A2382" s="42" t="s">
        <v>1913</v>
      </c>
      <c r="B2382" s="3" t="s">
        <v>1914</v>
      </c>
      <c r="C2382" s="4">
        <f t="shared" ca="1" si="103"/>
        <v>45972</v>
      </c>
      <c r="D2382" s="4">
        <f ca="1">TODAY()-37</f>
        <v>46000</v>
      </c>
      <c r="E2382" s="3" t="s">
        <v>1029</v>
      </c>
      <c r="F2382" s="43" t="b">
        <v>1</v>
      </c>
      <c r="G2382" s="43" t="b">
        <v>1</v>
      </c>
      <c r="H2382" s="44">
        <v>2320</v>
      </c>
    </row>
    <row r="2383" spans="1:8" x14ac:dyDescent="0.3">
      <c r="A2383" s="42" t="s">
        <v>1449</v>
      </c>
      <c r="B2383" s="3" t="s">
        <v>1450</v>
      </c>
      <c r="C2383" s="4">
        <f t="shared" ca="1" si="103"/>
        <v>45972</v>
      </c>
      <c r="D2383" s="42"/>
      <c r="E2383" s="3" t="s">
        <v>1037</v>
      </c>
      <c r="F2383" s="43" t="b">
        <v>0</v>
      </c>
      <c r="G2383" s="43" t="b">
        <v>0</v>
      </c>
      <c r="H2383" s="44">
        <v>1410</v>
      </c>
    </row>
    <row r="2384" spans="1:8" x14ac:dyDescent="0.3">
      <c r="A2384" s="42" t="s">
        <v>1819</v>
      </c>
      <c r="B2384" s="3" t="s">
        <v>1820</v>
      </c>
      <c r="C2384" s="4">
        <f t="shared" ca="1" si="103"/>
        <v>45972</v>
      </c>
      <c r="D2384" s="42"/>
      <c r="E2384" s="3" t="s">
        <v>1108</v>
      </c>
      <c r="F2384" s="43" t="b">
        <v>0</v>
      </c>
      <c r="G2384" s="43" t="b">
        <v>0</v>
      </c>
      <c r="H2384" s="44">
        <v>800</v>
      </c>
    </row>
    <row r="2385" spans="1:8" x14ac:dyDescent="0.3">
      <c r="A2385" s="42" t="s">
        <v>1687</v>
      </c>
      <c r="B2385" s="3" t="s">
        <v>1688</v>
      </c>
      <c r="C2385" s="4">
        <f t="shared" ca="1" si="103"/>
        <v>45972</v>
      </c>
      <c r="D2385" s="4">
        <f ca="1">TODAY()-40</f>
        <v>45997</v>
      </c>
      <c r="E2385" s="3" t="s">
        <v>1029</v>
      </c>
      <c r="F2385" s="43" t="b">
        <v>1</v>
      </c>
      <c r="G2385" s="43" t="b">
        <v>1</v>
      </c>
      <c r="H2385" s="44">
        <v>600</v>
      </c>
    </row>
    <row r="2386" spans="1:8" x14ac:dyDescent="0.3">
      <c r="A2386" s="42" t="s">
        <v>1549</v>
      </c>
      <c r="B2386" s="3" t="s">
        <v>1550</v>
      </c>
      <c r="C2386" s="4">
        <f t="shared" ca="1" si="103"/>
        <v>45972</v>
      </c>
      <c r="D2386" s="4">
        <f ca="1">TODAY()-45</f>
        <v>45992</v>
      </c>
      <c r="E2386" s="3" t="s">
        <v>1032</v>
      </c>
      <c r="F2386" s="43" t="b">
        <v>1</v>
      </c>
      <c r="G2386" s="43" t="b">
        <v>0</v>
      </c>
      <c r="H2386" s="44">
        <v>610</v>
      </c>
    </row>
    <row r="2387" spans="1:8" x14ac:dyDescent="0.3">
      <c r="A2387" s="42" t="s">
        <v>1947</v>
      </c>
      <c r="B2387" s="3" t="s">
        <v>1991</v>
      </c>
      <c r="C2387" s="4">
        <f t="shared" ca="1" si="103"/>
        <v>45972</v>
      </c>
      <c r="D2387" s="42"/>
      <c r="E2387" s="3" t="s">
        <v>1037</v>
      </c>
      <c r="F2387" s="43" t="b">
        <v>0</v>
      </c>
      <c r="G2387" s="43" t="b">
        <v>0</v>
      </c>
      <c r="H2387" s="44">
        <v>270</v>
      </c>
    </row>
    <row r="2388" spans="1:8" x14ac:dyDescent="0.3">
      <c r="A2388" s="42" t="s">
        <v>1827</v>
      </c>
      <c r="B2388" s="3" t="s">
        <v>1828</v>
      </c>
      <c r="C2388" s="4">
        <f t="shared" ca="1" si="103"/>
        <v>45972</v>
      </c>
      <c r="D2388" s="4">
        <f ca="1">TODAY()-53</f>
        <v>45984</v>
      </c>
      <c r="E2388" s="3" t="s">
        <v>1029</v>
      </c>
      <c r="F2388" s="43" t="b">
        <v>1</v>
      </c>
      <c r="G2388" s="43" t="b">
        <v>1</v>
      </c>
      <c r="H2388" s="44">
        <v>660</v>
      </c>
    </row>
    <row r="2389" spans="1:8" x14ac:dyDescent="0.3">
      <c r="A2389" s="42" t="s">
        <v>1901</v>
      </c>
      <c r="B2389" s="3" t="s">
        <v>1902</v>
      </c>
      <c r="C2389" s="4">
        <f t="shared" ca="1" si="103"/>
        <v>45972</v>
      </c>
      <c r="D2389" s="42"/>
      <c r="E2389" s="3" t="s">
        <v>1101</v>
      </c>
      <c r="F2389" s="43" t="b">
        <v>0</v>
      </c>
      <c r="G2389" s="43" t="b">
        <v>0</v>
      </c>
      <c r="H2389" s="44">
        <v>550</v>
      </c>
    </row>
    <row r="2390" spans="1:8" x14ac:dyDescent="0.3">
      <c r="A2390" s="42" t="s">
        <v>1083</v>
      </c>
      <c r="B2390" s="3" t="s">
        <v>1084</v>
      </c>
      <c r="C2390" s="4">
        <f t="shared" ca="1" si="103"/>
        <v>45972</v>
      </c>
      <c r="D2390" s="4">
        <f ca="1">TODAY()-53</f>
        <v>45984</v>
      </c>
      <c r="E2390" s="3" t="s">
        <v>1029</v>
      </c>
      <c r="F2390" s="43" t="b">
        <v>1</v>
      </c>
      <c r="G2390" s="43" t="b">
        <v>1</v>
      </c>
      <c r="H2390" s="44">
        <v>730</v>
      </c>
    </row>
    <row r="2391" spans="1:8" x14ac:dyDescent="0.3">
      <c r="A2391" s="42" t="s">
        <v>1779</v>
      </c>
      <c r="B2391" s="3" t="s">
        <v>1607</v>
      </c>
      <c r="C2391" s="4">
        <f t="shared" ca="1" si="103"/>
        <v>45972</v>
      </c>
      <c r="D2391" s="4">
        <f ca="1">TODAY()-49</f>
        <v>45988</v>
      </c>
      <c r="E2391" s="3" t="s">
        <v>1032</v>
      </c>
      <c r="F2391" s="43" t="b">
        <v>1</v>
      </c>
      <c r="G2391" s="43" t="b">
        <v>0</v>
      </c>
      <c r="H2391" s="44">
        <v>1030</v>
      </c>
    </row>
    <row r="2392" spans="1:8" x14ac:dyDescent="0.3">
      <c r="A2392" s="42" t="s">
        <v>1578</v>
      </c>
      <c r="B2392" s="3" t="s">
        <v>1390</v>
      </c>
      <c r="C2392" s="4">
        <f t="shared" ca="1" si="103"/>
        <v>45972</v>
      </c>
      <c r="D2392" s="4">
        <f ca="1">TODAY()-40</f>
        <v>45997</v>
      </c>
      <c r="E2392" s="3" t="s">
        <v>1029</v>
      </c>
      <c r="F2392" s="43" t="b">
        <v>1</v>
      </c>
      <c r="G2392" s="43" t="b">
        <v>1</v>
      </c>
      <c r="H2392" s="44">
        <v>1240</v>
      </c>
    </row>
    <row r="2393" spans="1:8" x14ac:dyDescent="0.3">
      <c r="A2393" s="42" t="s">
        <v>1229</v>
      </c>
      <c r="B2393" s="3" t="s">
        <v>1230</v>
      </c>
      <c r="C2393" s="4">
        <f t="shared" ca="1" si="103"/>
        <v>45972</v>
      </c>
      <c r="D2393" s="42"/>
      <c r="E2393" s="3" t="s">
        <v>1108</v>
      </c>
      <c r="F2393" s="43" t="b">
        <v>0</v>
      </c>
      <c r="G2393" s="43" t="b">
        <v>0</v>
      </c>
      <c r="H2393" s="44">
        <v>280</v>
      </c>
    </row>
    <row r="2394" spans="1:8" x14ac:dyDescent="0.3">
      <c r="A2394" s="42" t="s">
        <v>1258</v>
      </c>
      <c r="B2394" s="3" t="s">
        <v>1259</v>
      </c>
      <c r="C2394" s="4">
        <f t="shared" ca="1" si="103"/>
        <v>45972</v>
      </c>
      <c r="D2394" s="4">
        <f t="shared" ref="D2394:D2396" ca="1" si="107">TODAY()-50</f>
        <v>45987</v>
      </c>
      <c r="E2394" s="3" t="s">
        <v>1032</v>
      </c>
      <c r="F2394" s="43" t="b">
        <v>1</v>
      </c>
      <c r="G2394" s="43" t="b">
        <v>0</v>
      </c>
      <c r="H2394" s="44">
        <v>1510</v>
      </c>
    </row>
    <row r="2395" spans="1:8" x14ac:dyDescent="0.3">
      <c r="A2395" s="42" t="s">
        <v>1960</v>
      </c>
      <c r="B2395" s="3" t="s">
        <v>1961</v>
      </c>
      <c r="C2395" s="4">
        <f t="shared" ca="1" si="103"/>
        <v>45972</v>
      </c>
      <c r="D2395" s="4">
        <f t="shared" ca="1" si="107"/>
        <v>45987</v>
      </c>
      <c r="E2395" s="3" t="s">
        <v>1032</v>
      </c>
      <c r="F2395" s="43" t="b">
        <v>1</v>
      </c>
      <c r="G2395" s="43" t="b">
        <v>0</v>
      </c>
      <c r="H2395" s="44">
        <v>980</v>
      </c>
    </row>
    <row r="2396" spans="1:8" x14ac:dyDescent="0.3">
      <c r="A2396" s="42" t="s">
        <v>1115</v>
      </c>
      <c r="B2396" s="3" t="s">
        <v>1116</v>
      </c>
      <c r="C2396" s="4">
        <f t="shared" ca="1" si="103"/>
        <v>45972</v>
      </c>
      <c r="D2396" s="4">
        <f t="shared" ca="1" si="107"/>
        <v>45987</v>
      </c>
      <c r="E2396" s="3" t="s">
        <v>1032</v>
      </c>
      <c r="F2396" s="43" t="b">
        <v>1</v>
      </c>
      <c r="G2396" s="43" t="b">
        <v>0</v>
      </c>
      <c r="H2396" s="44">
        <v>780</v>
      </c>
    </row>
    <row r="2397" spans="1:8" x14ac:dyDescent="0.3">
      <c r="A2397" s="42" t="s">
        <v>1578</v>
      </c>
      <c r="B2397" s="3" t="s">
        <v>1390</v>
      </c>
      <c r="C2397" s="4">
        <f t="shared" ca="1" si="103"/>
        <v>45972</v>
      </c>
      <c r="D2397" s="4">
        <f ca="1">TODAY()-41</f>
        <v>45996</v>
      </c>
      <c r="E2397" s="3" t="s">
        <v>1029</v>
      </c>
      <c r="F2397" s="43" t="b">
        <v>1</v>
      </c>
      <c r="G2397" s="43" t="b">
        <v>1</v>
      </c>
      <c r="H2397" s="44">
        <v>1240</v>
      </c>
    </row>
    <row r="2398" spans="1:8" x14ac:dyDescent="0.3">
      <c r="A2398" s="42" t="s">
        <v>1312</v>
      </c>
      <c r="B2398" s="3" t="s">
        <v>1707</v>
      </c>
      <c r="C2398" s="4">
        <f t="shared" ca="1" si="103"/>
        <v>45972</v>
      </c>
      <c r="D2398" s="42"/>
      <c r="E2398" s="3" t="s">
        <v>1101</v>
      </c>
      <c r="F2398" s="43" t="b">
        <v>0</v>
      </c>
      <c r="G2398" s="43" t="b">
        <v>0</v>
      </c>
      <c r="H2398" s="44">
        <v>770</v>
      </c>
    </row>
    <row r="2399" spans="1:8" x14ac:dyDescent="0.3">
      <c r="A2399" s="42" t="s">
        <v>1722</v>
      </c>
      <c r="B2399" s="3" t="s">
        <v>1723</v>
      </c>
      <c r="C2399" s="4">
        <f t="shared" ca="1" si="103"/>
        <v>45972</v>
      </c>
      <c r="D2399" s="4">
        <f ca="1">TODAY()-40</f>
        <v>45997</v>
      </c>
      <c r="E2399" s="3" t="s">
        <v>1032</v>
      </c>
      <c r="F2399" s="43" t="b">
        <v>1</v>
      </c>
      <c r="G2399" s="43" t="b">
        <v>0</v>
      </c>
      <c r="H2399" s="44">
        <v>1550</v>
      </c>
    </row>
    <row r="2400" spans="1:8" x14ac:dyDescent="0.3">
      <c r="A2400" s="42" t="s">
        <v>1884</v>
      </c>
      <c r="B2400" s="3" t="s">
        <v>1885</v>
      </c>
      <c r="C2400" s="4">
        <f t="shared" ca="1" si="103"/>
        <v>45972</v>
      </c>
      <c r="D2400" s="4">
        <f ca="1">TODAY()-53</f>
        <v>45984</v>
      </c>
      <c r="E2400" s="3" t="s">
        <v>1032</v>
      </c>
      <c r="F2400" s="43" t="b">
        <v>1</v>
      </c>
      <c r="G2400" s="43" t="b">
        <v>0</v>
      </c>
      <c r="H2400" s="44">
        <v>380</v>
      </c>
    </row>
    <row r="2401" spans="1:8" x14ac:dyDescent="0.3">
      <c r="A2401" s="42" t="s">
        <v>1455</v>
      </c>
      <c r="B2401" s="3" t="s">
        <v>1456</v>
      </c>
      <c r="C2401" s="4">
        <f t="shared" ca="1" si="103"/>
        <v>45972</v>
      </c>
      <c r="D2401" s="4">
        <f ca="1">TODAY()-39</f>
        <v>45998</v>
      </c>
      <c r="E2401" s="3" t="s">
        <v>1032</v>
      </c>
      <c r="F2401" s="43" t="b">
        <v>1</v>
      </c>
      <c r="G2401" s="43" t="b">
        <v>0</v>
      </c>
      <c r="H2401" s="44">
        <v>470</v>
      </c>
    </row>
    <row r="2402" spans="1:8" x14ac:dyDescent="0.3">
      <c r="A2402" s="42" t="s">
        <v>1808</v>
      </c>
      <c r="B2402" s="3" t="s">
        <v>1809</v>
      </c>
      <c r="C2402" s="4">
        <f t="shared" ca="1" si="103"/>
        <v>45972</v>
      </c>
      <c r="D2402" s="42"/>
      <c r="E2402" s="3" t="s">
        <v>1070</v>
      </c>
      <c r="F2402" s="43" t="b">
        <v>0</v>
      </c>
      <c r="G2402" s="43" t="b">
        <v>0</v>
      </c>
      <c r="H2402" s="44">
        <v>740</v>
      </c>
    </row>
    <row r="2403" spans="1:8" x14ac:dyDescent="0.3">
      <c r="A2403" s="42" t="s">
        <v>1280</v>
      </c>
      <c r="B2403" s="3" t="s">
        <v>1977</v>
      </c>
      <c r="C2403" s="4">
        <f t="shared" ca="1" si="103"/>
        <v>45972</v>
      </c>
      <c r="D2403" s="42"/>
      <c r="E2403" s="3" t="s">
        <v>1077</v>
      </c>
      <c r="F2403" s="43" t="b">
        <v>0</v>
      </c>
      <c r="G2403" s="43" t="b">
        <v>0</v>
      </c>
      <c r="H2403" s="44">
        <v>1080</v>
      </c>
    </row>
    <row r="2404" spans="1:8" x14ac:dyDescent="0.3">
      <c r="A2404" s="42" t="s">
        <v>1782</v>
      </c>
      <c r="B2404" s="3" t="s">
        <v>1920</v>
      </c>
      <c r="C2404" s="4">
        <f t="shared" ca="1" si="103"/>
        <v>45972</v>
      </c>
      <c r="D2404" s="42"/>
      <c r="E2404" s="3" t="s">
        <v>1070</v>
      </c>
      <c r="F2404" s="43" t="b">
        <v>0</v>
      </c>
      <c r="G2404" s="43" t="b">
        <v>0</v>
      </c>
      <c r="H2404" s="44">
        <v>290</v>
      </c>
    </row>
    <row r="2405" spans="1:8" x14ac:dyDescent="0.3">
      <c r="A2405" s="42" t="s">
        <v>1704</v>
      </c>
      <c r="B2405" s="3" t="s">
        <v>1705</v>
      </c>
      <c r="C2405" s="4">
        <f t="shared" ca="1" si="103"/>
        <v>45972</v>
      </c>
      <c r="D2405" s="4">
        <f ca="1">TODAY()-50</f>
        <v>45987</v>
      </c>
      <c r="E2405" s="3" t="s">
        <v>1029</v>
      </c>
      <c r="F2405" s="43" t="b">
        <v>1</v>
      </c>
      <c r="G2405" s="43" t="b">
        <v>1</v>
      </c>
      <c r="H2405" s="44">
        <v>2280</v>
      </c>
    </row>
    <row r="2406" spans="1:8" x14ac:dyDescent="0.3">
      <c r="A2406" s="42" t="s">
        <v>1147</v>
      </c>
      <c r="B2406" s="3" t="s">
        <v>1247</v>
      </c>
      <c r="C2406" s="4">
        <f t="shared" ca="1" si="103"/>
        <v>45972</v>
      </c>
      <c r="D2406" s="4">
        <f ca="1">TODAY()-51</f>
        <v>45986</v>
      </c>
      <c r="E2406" s="3" t="s">
        <v>1029</v>
      </c>
      <c r="F2406" s="43" t="b">
        <v>1</v>
      </c>
      <c r="G2406" s="43" t="b">
        <v>1</v>
      </c>
      <c r="H2406" s="44">
        <v>1530</v>
      </c>
    </row>
    <row r="2407" spans="1:8" x14ac:dyDescent="0.3">
      <c r="A2407" s="42" t="s">
        <v>1167</v>
      </c>
      <c r="B2407" s="3" t="s">
        <v>1168</v>
      </c>
      <c r="C2407" s="4">
        <f t="shared" ca="1" si="103"/>
        <v>45972</v>
      </c>
      <c r="D2407" s="42"/>
      <c r="E2407" s="3" t="s">
        <v>1101</v>
      </c>
      <c r="F2407" s="43" t="b">
        <v>0</v>
      </c>
      <c r="G2407" s="43" t="b">
        <v>0</v>
      </c>
      <c r="H2407" s="44">
        <v>250</v>
      </c>
    </row>
    <row r="2408" spans="1:8" x14ac:dyDescent="0.3">
      <c r="A2408" s="42" t="s">
        <v>1451</v>
      </c>
      <c r="B2408" s="3" t="s">
        <v>1750</v>
      </c>
      <c r="C2408" s="4">
        <f t="shared" ca="1" si="103"/>
        <v>45972</v>
      </c>
      <c r="D2408" s="4">
        <f ca="1">TODAY()-42</f>
        <v>45995</v>
      </c>
      <c r="E2408" s="3" t="s">
        <v>1032</v>
      </c>
      <c r="F2408" s="43" t="b">
        <v>1</v>
      </c>
      <c r="G2408" s="43" t="b">
        <v>0</v>
      </c>
      <c r="H2408" s="44">
        <v>1140</v>
      </c>
    </row>
    <row r="2409" spans="1:8" x14ac:dyDescent="0.3">
      <c r="A2409" s="42" t="s">
        <v>1429</v>
      </c>
      <c r="B2409" s="3" t="s">
        <v>1969</v>
      </c>
      <c r="C2409" s="4">
        <f t="shared" ca="1" si="103"/>
        <v>45972</v>
      </c>
      <c r="D2409" s="4">
        <f ca="1">TODAY()-44</f>
        <v>45993</v>
      </c>
      <c r="E2409" s="3" t="s">
        <v>1032</v>
      </c>
      <c r="F2409" s="43" t="b">
        <v>1</v>
      </c>
      <c r="G2409" s="43" t="b">
        <v>0</v>
      </c>
      <c r="H2409" s="44">
        <v>580</v>
      </c>
    </row>
    <row r="2410" spans="1:8" x14ac:dyDescent="0.3">
      <c r="A2410" s="42" t="s">
        <v>1270</v>
      </c>
      <c r="B2410" s="3" t="s">
        <v>1271</v>
      </c>
      <c r="C2410" s="4">
        <f t="shared" ca="1" si="103"/>
        <v>45972</v>
      </c>
      <c r="D2410" s="42"/>
      <c r="E2410" s="3" t="s">
        <v>1101</v>
      </c>
      <c r="F2410" s="43" t="b">
        <v>0</v>
      </c>
      <c r="G2410" s="43" t="b">
        <v>0</v>
      </c>
      <c r="H2410" s="44">
        <v>1140</v>
      </c>
    </row>
    <row r="2411" spans="1:8" x14ac:dyDescent="0.3">
      <c r="A2411" s="42" t="s">
        <v>1444</v>
      </c>
      <c r="B2411" s="3" t="s">
        <v>1585</v>
      </c>
      <c r="C2411" s="4">
        <f t="shared" ca="1" si="103"/>
        <v>45972</v>
      </c>
      <c r="D2411" s="4">
        <f ca="1">TODAY()-47</f>
        <v>45990</v>
      </c>
      <c r="E2411" s="3" t="s">
        <v>1029</v>
      </c>
      <c r="F2411" s="43" t="b">
        <v>1</v>
      </c>
      <c r="G2411" s="43" t="b">
        <v>1</v>
      </c>
      <c r="H2411" s="44">
        <v>1340</v>
      </c>
    </row>
    <row r="2412" spans="1:8" x14ac:dyDescent="0.3">
      <c r="A2412" s="42" t="s">
        <v>1359</v>
      </c>
      <c r="B2412" s="3" t="s">
        <v>1360</v>
      </c>
      <c r="C2412" s="4">
        <f t="shared" ca="1" si="103"/>
        <v>45972</v>
      </c>
      <c r="D2412" s="4">
        <f ca="1">TODAY()-54</f>
        <v>45983</v>
      </c>
      <c r="E2412" s="3" t="s">
        <v>1032</v>
      </c>
      <c r="F2412" s="43" t="b">
        <v>1</v>
      </c>
      <c r="G2412" s="43" t="b">
        <v>0</v>
      </c>
      <c r="H2412" s="44">
        <v>520</v>
      </c>
    </row>
    <row r="2413" spans="1:8" x14ac:dyDescent="0.3">
      <c r="A2413" s="42" t="s">
        <v>1382</v>
      </c>
      <c r="B2413" s="3" t="s">
        <v>1383</v>
      </c>
      <c r="C2413" s="4">
        <f t="shared" ca="1" si="103"/>
        <v>45972</v>
      </c>
      <c r="D2413" s="4">
        <f ca="1">TODAY()-43</f>
        <v>45994</v>
      </c>
      <c r="E2413" s="3" t="s">
        <v>1032</v>
      </c>
      <c r="F2413" s="43" t="b">
        <v>1</v>
      </c>
      <c r="G2413" s="43" t="b">
        <v>0</v>
      </c>
      <c r="H2413" s="44">
        <v>2350</v>
      </c>
    </row>
    <row r="2414" spans="1:8" x14ac:dyDescent="0.3">
      <c r="A2414" s="42" t="s">
        <v>1694</v>
      </c>
      <c r="B2414" s="3" t="s">
        <v>1923</v>
      </c>
      <c r="C2414" s="4">
        <f t="shared" ca="1" si="103"/>
        <v>45972</v>
      </c>
      <c r="D2414" s="4">
        <f ca="1">TODAY()-40</f>
        <v>45997</v>
      </c>
      <c r="E2414" s="3" t="s">
        <v>1029</v>
      </c>
      <c r="F2414" s="43" t="b">
        <v>1</v>
      </c>
      <c r="G2414" s="43" t="b">
        <v>1</v>
      </c>
      <c r="H2414" s="44">
        <v>720</v>
      </c>
    </row>
    <row r="2415" spans="1:8" x14ac:dyDescent="0.3">
      <c r="A2415" s="42" t="s">
        <v>1654</v>
      </c>
      <c r="B2415" s="3" t="s">
        <v>1921</v>
      </c>
      <c r="C2415" s="4">
        <f t="shared" ca="1" si="103"/>
        <v>45972</v>
      </c>
      <c r="D2415" s="4">
        <f ca="1">TODAY()-54</f>
        <v>45983</v>
      </c>
      <c r="E2415" s="3" t="s">
        <v>1032</v>
      </c>
      <c r="F2415" s="43" t="b">
        <v>1</v>
      </c>
      <c r="G2415" s="43" t="b">
        <v>0</v>
      </c>
      <c r="H2415" s="44">
        <v>1330</v>
      </c>
    </row>
    <row r="2416" spans="1:8" x14ac:dyDescent="0.3">
      <c r="A2416" s="42" t="s">
        <v>1433</v>
      </c>
      <c r="B2416" s="3" t="s">
        <v>1434</v>
      </c>
      <c r="C2416" s="4">
        <f t="shared" ca="1" si="103"/>
        <v>45972</v>
      </c>
      <c r="D2416" s="4">
        <f ca="1">TODAY()-43</f>
        <v>45994</v>
      </c>
      <c r="E2416" s="3" t="s">
        <v>1032</v>
      </c>
      <c r="F2416" s="43" t="b">
        <v>1</v>
      </c>
      <c r="G2416" s="43" t="b">
        <v>0</v>
      </c>
      <c r="H2416" s="44">
        <v>1250</v>
      </c>
    </row>
    <row r="2417" spans="1:8" x14ac:dyDescent="0.3">
      <c r="A2417" s="42" t="s">
        <v>1089</v>
      </c>
      <c r="B2417" s="3" t="s">
        <v>1090</v>
      </c>
      <c r="C2417" s="4">
        <f t="shared" ca="1" si="103"/>
        <v>45972</v>
      </c>
      <c r="D2417" s="4">
        <f ca="1">TODAY()-48</f>
        <v>45989</v>
      </c>
      <c r="E2417" s="3" t="s">
        <v>1032</v>
      </c>
      <c r="F2417" s="43" t="b">
        <v>1</v>
      </c>
      <c r="G2417" s="43" t="b">
        <v>0</v>
      </c>
      <c r="H2417" s="44">
        <v>1740</v>
      </c>
    </row>
    <row r="2418" spans="1:8" x14ac:dyDescent="0.3">
      <c r="A2418" s="42" t="s">
        <v>1899</v>
      </c>
      <c r="B2418" s="3" t="s">
        <v>1146</v>
      </c>
      <c r="C2418" s="4">
        <f t="shared" ca="1" si="103"/>
        <v>45972</v>
      </c>
      <c r="D2418" s="42"/>
      <c r="E2418" s="3" t="s">
        <v>1103</v>
      </c>
      <c r="F2418" s="43" t="b">
        <v>0</v>
      </c>
      <c r="G2418" s="43" t="b">
        <v>0</v>
      </c>
      <c r="H2418" s="44">
        <v>1620</v>
      </c>
    </row>
    <row r="2419" spans="1:8" x14ac:dyDescent="0.3">
      <c r="A2419" s="42" t="s">
        <v>1603</v>
      </c>
      <c r="B2419" s="3" t="s">
        <v>1666</v>
      </c>
      <c r="C2419" s="4">
        <f t="shared" ca="1" si="103"/>
        <v>45972</v>
      </c>
      <c r="D2419" s="4">
        <f ca="1">TODAY()-54</f>
        <v>45983</v>
      </c>
      <c r="E2419" s="3" t="s">
        <v>1029</v>
      </c>
      <c r="F2419" s="43" t="b">
        <v>1</v>
      </c>
      <c r="G2419" s="43" t="b">
        <v>1</v>
      </c>
      <c r="H2419" s="44">
        <v>240</v>
      </c>
    </row>
    <row r="2420" spans="1:8" x14ac:dyDescent="0.3">
      <c r="A2420" s="42" t="s">
        <v>1578</v>
      </c>
      <c r="B2420" s="3" t="s">
        <v>1579</v>
      </c>
      <c r="C2420" s="4">
        <f t="shared" ca="1" si="103"/>
        <v>45972</v>
      </c>
      <c r="D2420" s="4">
        <f ca="1">TODAY()-46</f>
        <v>45991</v>
      </c>
      <c r="E2420" s="3" t="s">
        <v>1032</v>
      </c>
      <c r="F2420" s="43" t="b">
        <v>1</v>
      </c>
      <c r="G2420" s="43" t="b">
        <v>0</v>
      </c>
      <c r="H2420" s="44">
        <v>2440</v>
      </c>
    </row>
    <row r="2421" spans="1:8" x14ac:dyDescent="0.3">
      <c r="A2421" s="42" t="s">
        <v>1115</v>
      </c>
      <c r="B2421" s="3" t="s">
        <v>1988</v>
      </c>
      <c r="C2421" s="4">
        <f t="shared" ca="1" si="103"/>
        <v>45972</v>
      </c>
      <c r="D2421" s="42"/>
      <c r="E2421" s="3" t="s">
        <v>1108</v>
      </c>
      <c r="F2421" s="43" t="b">
        <v>0</v>
      </c>
      <c r="G2421" s="43" t="b">
        <v>0</v>
      </c>
      <c r="H2421" s="44">
        <v>850</v>
      </c>
    </row>
    <row r="2422" spans="1:8" x14ac:dyDescent="0.3">
      <c r="A2422" s="42" t="s">
        <v>1401</v>
      </c>
      <c r="B2422" s="3" t="s">
        <v>1509</v>
      </c>
      <c r="C2422" s="4">
        <f t="shared" ca="1" si="103"/>
        <v>45972</v>
      </c>
      <c r="D2422" s="4">
        <f ca="1">TODAY()-52</f>
        <v>45985</v>
      </c>
      <c r="E2422" s="3" t="s">
        <v>1029</v>
      </c>
      <c r="F2422" s="43" t="b">
        <v>1</v>
      </c>
      <c r="G2422" s="43" t="b">
        <v>1</v>
      </c>
      <c r="H2422" s="44">
        <v>2370</v>
      </c>
    </row>
    <row r="2423" spans="1:8" x14ac:dyDescent="0.3">
      <c r="A2423" s="42" t="s">
        <v>1551</v>
      </c>
      <c r="B2423" s="3" t="s">
        <v>1552</v>
      </c>
      <c r="C2423" s="4">
        <f t="shared" ca="1" si="103"/>
        <v>45972</v>
      </c>
      <c r="D2423" s="4">
        <f ca="1">TODAY()-46</f>
        <v>45991</v>
      </c>
      <c r="E2423" s="3" t="s">
        <v>1029</v>
      </c>
      <c r="F2423" s="43" t="b">
        <v>1</v>
      </c>
      <c r="G2423" s="43" t="b">
        <v>1</v>
      </c>
      <c r="H2423" s="44">
        <v>2230</v>
      </c>
    </row>
    <row r="2424" spans="1:8" x14ac:dyDescent="0.3">
      <c r="A2424" s="42" t="s">
        <v>1117</v>
      </c>
      <c r="B2424" s="3" t="s">
        <v>1118</v>
      </c>
      <c r="C2424" s="4">
        <f t="shared" ca="1" si="103"/>
        <v>45972</v>
      </c>
      <c r="D2424" s="4">
        <f ca="1">TODAY()-37</f>
        <v>46000</v>
      </c>
      <c r="E2424" s="3" t="s">
        <v>1032</v>
      </c>
      <c r="F2424" s="43" t="b">
        <v>1</v>
      </c>
      <c r="G2424" s="43" t="b">
        <v>0</v>
      </c>
      <c r="H2424" s="44">
        <v>410</v>
      </c>
    </row>
    <row r="2425" spans="1:8" x14ac:dyDescent="0.3">
      <c r="A2425" s="42" t="s">
        <v>1403</v>
      </c>
      <c r="B2425" s="3" t="s">
        <v>1678</v>
      </c>
      <c r="C2425" s="4">
        <f t="shared" ca="1" si="103"/>
        <v>45972</v>
      </c>
      <c r="D2425" s="4">
        <f ca="1">TODAY()-38</f>
        <v>45999</v>
      </c>
      <c r="E2425" s="3" t="s">
        <v>1029</v>
      </c>
      <c r="F2425" s="43" t="b">
        <v>1</v>
      </c>
      <c r="G2425" s="43" t="b">
        <v>1</v>
      </c>
      <c r="H2425" s="44">
        <v>1220</v>
      </c>
    </row>
    <row r="2426" spans="1:8" x14ac:dyDescent="0.3">
      <c r="A2426" s="42" t="s">
        <v>1288</v>
      </c>
      <c r="B2426" s="3" t="s">
        <v>1289</v>
      </c>
      <c r="C2426" s="4">
        <f t="shared" ca="1" si="103"/>
        <v>45972</v>
      </c>
      <c r="D2426" s="4">
        <f ca="1">TODAY()-41</f>
        <v>45996</v>
      </c>
      <c r="E2426" s="3" t="s">
        <v>1032</v>
      </c>
      <c r="F2426" s="43" t="b">
        <v>1</v>
      </c>
      <c r="G2426" s="43" t="b">
        <v>0</v>
      </c>
      <c r="H2426" s="44">
        <v>220</v>
      </c>
    </row>
    <row r="2427" spans="1:8" x14ac:dyDescent="0.3">
      <c r="A2427" s="42" t="s">
        <v>1344</v>
      </c>
      <c r="B2427" s="3" t="s">
        <v>1345</v>
      </c>
      <c r="C2427" s="4">
        <f t="shared" ca="1" si="103"/>
        <v>45972</v>
      </c>
      <c r="D2427" s="4">
        <f ca="1">TODAY()-40</f>
        <v>45997</v>
      </c>
      <c r="E2427" s="3" t="s">
        <v>1032</v>
      </c>
      <c r="F2427" s="43" t="b">
        <v>1</v>
      </c>
      <c r="G2427" s="43" t="b">
        <v>0</v>
      </c>
      <c r="H2427" s="44">
        <v>890</v>
      </c>
    </row>
    <row r="2428" spans="1:8" x14ac:dyDescent="0.3">
      <c r="A2428" s="42" t="s">
        <v>1089</v>
      </c>
      <c r="B2428" s="3" t="s">
        <v>1090</v>
      </c>
      <c r="C2428" s="4">
        <f t="shared" ca="1" si="103"/>
        <v>45972</v>
      </c>
      <c r="D2428" s="4">
        <f ca="1">TODAY()-51</f>
        <v>45986</v>
      </c>
      <c r="E2428" s="3" t="s">
        <v>1032</v>
      </c>
      <c r="F2428" s="43" t="b">
        <v>1</v>
      </c>
      <c r="G2428" s="43" t="b">
        <v>0</v>
      </c>
      <c r="H2428" s="44">
        <v>1740</v>
      </c>
    </row>
    <row r="2429" spans="1:8" x14ac:dyDescent="0.3">
      <c r="A2429" s="42" t="s">
        <v>1839</v>
      </c>
      <c r="B2429" s="3" t="s">
        <v>1840</v>
      </c>
      <c r="C2429" s="4">
        <f t="shared" ca="1" si="103"/>
        <v>45972</v>
      </c>
      <c r="D2429" s="4">
        <f ca="1">TODAY()-55</f>
        <v>45982</v>
      </c>
      <c r="E2429" s="3" t="s">
        <v>1032</v>
      </c>
      <c r="F2429" s="43" t="b">
        <v>1</v>
      </c>
      <c r="G2429" s="43" t="b">
        <v>0</v>
      </c>
      <c r="H2429" s="44">
        <v>1000</v>
      </c>
    </row>
    <row r="2430" spans="1:8" x14ac:dyDescent="0.3">
      <c r="A2430" s="42" t="s">
        <v>1087</v>
      </c>
      <c r="B2430" s="3" t="s">
        <v>1489</v>
      </c>
      <c r="C2430" s="4">
        <f t="shared" ca="1" si="103"/>
        <v>45972</v>
      </c>
      <c r="D2430" s="4">
        <f ca="1">TODAY()-38</f>
        <v>45999</v>
      </c>
      <c r="E2430" s="3" t="s">
        <v>1029</v>
      </c>
      <c r="F2430" s="43" t="b">
        <v>1</v>
      </c>
      <c r="G2430" s="43" t="b">
        <v>1</v>
      </c>
      <c r="H2430" s="44">
        <v>1680</v>
      </c>
    </row>
    <row r="2431" spans="1:8" x14ac:dyDescent="0.3">
      <c r="A2431" s="42" t="s">
        <v>1229</v>
      </c>
      <c r="B2431" s="3" t="s">
        <v>1757</v>
      </c>
      <c r="C2431" s="4">
        <f t="shared" ca="1" si="103"/>
        <v>45972</v>
      </c>
      <c r="D2431" s="4">
        <f ca="1">TODAY()-50</f>
        <v>45987</v>
      </c>
      <c r="E2431" s="3" t="s">
        <v>1029</v>
      </c>
      <c r="F2431" s="43" t="b">
        <v>1</v>
      </c>
      <c r="G2431" s="43" t="b">
        <v>1</v>
      </c>
      <c r="H2431" s="44">
        <v>2200</v>
      </c>
    </row>
    <row r="2432" spans="1:8" x14ac:dyDescent="0.3">
      <c r="A2432" s="42" t="s">
        <v>1374</v>
      </c>
      <c r="B2432" s="3" t="s">
        <v>1959</v>
      </c>
      <c r="C2432" s="4">
        <f t="shared" ca="1" si="103"/>
        <v>45972</v>
      </c>
      <c r="D2432" s="4">
        <f ca="1">TODAY()-47</f>
        <v>45990</v>
      </c>
      <c r="E2432" s="3" t="s">
        <v>1029</v>
      </c>
      <c r="F2432" s="43" t="b">
        <v>1</v>
      </c>
      <c r="G2432" s="43" t="b">
        <v>1</v>
      </c>
      <c r="H2432" s="44">
        <v>240</v>
      </c>
    </row>
    <row r="2433" spans="1:8" x14ac:dyDescent="0.3">
      <c r="A2433" s="42" t="s">
        <v>1529</v>
      </c>
      <c r="B2433" s="45" t="s">
        <v>1981</v>
      </c>
      <c r="C2433" s="4">
        <f t="shared" ca="1" si="103"/>
        <v>45972</v>
      </c>
      <c r="D2433" s="4">
        <f t="shared" ref="D2433:D2434" ca="1" si="108">TODAY()-46</f>
        <v>45991</v>
      </c>
      <c r="E2433" s="3" t="s">
        <v>1032</v>
      </c>
      <c r="F2433" s="43" t="b">
        <v>1</v>
      </c>
      <c r="G2433" s="43" t="b">
        <v>0</v>
      </c>
      <c r="H2433" s="44">
        <v>950</v>
      </c>
    </row>
    <row r="2434" spans="1:8" x14ac:dyDescent="0.3">
      <c r="A2434" s="42" t="s">
        <v>1569</v>
      </c>
      <c r="B2434" s="3" t="s">
        <v>1136</v>
      </c>
      <c r="C2434" s="4">
        <f t="shared" ca="1" si="103"/>
        <v>45972</v>
      </c>
      <c r="D2434" s="4">
        <f t="shared" ca="1" si="108"/>
        <v>45991</v>
      </c>
      <c r="E2434" s="3" t="s">
        <v>1029</v>
      </c>
      <c r="F2434" s="43" t="b">
        <v>1</v>
      </c>
      <c r="G2434" s="43" t="b">
        <v>1</v>
      </c>
      <c r="H2434" s="44">
        <v>3630</v>
      </c>
    </row>
    <row r="2435" spans="1:8" x14ac:dyDescent="0.3">
      <c r="A2435" s="42" t="s">
        <v>1068</v>
      </c>
      <c r="B2435" s="3" t="s">
        <v>1441</v>
      </c>
      <c r="C2435" s="4">
        <f t="shared" ca="1" si="103"/>
        <v>45972</v>
      </c>
      <c r="D2435" s="4">
        <f ca="1">TODAY()-37</f>
        <v>46000</v>
      </c>
      <c r="E2435" s="3" t="s">
        <v>1032</v>
      </c>
      <c r="F2435" s="43" t="b">
        <v>1</v>
      </c>
      <c r="G2435" s="43" t="b">
        <v>0</v>
      </c>
      <c r="H2435" s="44">
        <v>660</v>
      </c>
    </row>
    <row r="2436" spans="1:8" x14ac:dyDescent="0.3">
      <c r="A2436" s="42" t="s">
        <v>1229</v>
      </c>
      <c r="B2436" s="3" t="s">
        <v>1230</v>
      </c>
      <c r="C2436" s="4">
        <f t="shared" ca="1" si="103"/>
        <v>45972</v>
      </c>
      <c r="D2436" s="42"/>
      <c r="E2436" s="3" t="s">
        <v>1108</v>
      </c>
      <c r="F2436" s="43" t="b">
        <v>0</v>
      </c>
      <c r="G2436" s="43" t="b">
        <v>0</v>
      </c>
      <c r="H2436" s="44">
        <v>280</v>
      </c>
    </row>
    <row r="2437" spans="1:8" x14ac:dyDescent="0.3">
      <c r="A2437" s="42" t="s">
        <v>1334</v>
      </c>
      <c r="B2437" s="3" t="s">
        <v>1335</v>
      </c>
      <c r="C2437" s="4">
        <f t="shared" ca="1" si="103"/>
        <v>45972</v>
      </c>
      <c r="D2437" s="4">
        <f ca="1">TODAY()-38</f>
        <v>45999</v>
      </c>
      <c r="E2437" s="3" t="s">
        <v>1029</v>
      </c>
      <c r="F2437" s="43" t="b">
        <v>1</v>
      </c>
      <c r="G2437" s="43" t="b">
        <v>1</v>
      </c>
      <c r="H2437" s="44">
        <v>1430</v>
      </c>
    </row>
    <row r="2438" spans="1:8" x14ac:dyDescent="0.3">
      <c r="A2438" s="42" t="s">
        <v>1569</v>
      </c>
      <c r="B2438" s="3" t="s">
        <v>1570</v>
      </c>
      <c r="C2438" s="4">
        <f t="shared" ca="1" si="103"/>
        <v>45972</v>
      </c>
      <c r="D2438" s="4">
        <f ca="1">TODAY()-51</f>
        <v>45986</v>
      </c>
      <c r="E2438" s="3" t="s">
        <v>1032</v>
      </c>
      <c r="F2438" s="43" t="b">
        <v>1</v>
      </c>
      <c r="G2438" s="43" t="b">
        <v>0</v>
      </c>
      <c r="H2438" s="44">
        <v>780</v>
      </c>
    </row>
    <row r="2439" spans="1:8" x14ac:dyDescent="0.3">
      <c r="A2439" s="42" t="s">
        <v>1702</v>
      </c>
      <c r="B2439" s="3" t="s">
        <v>1703</v>
      </c>
      <c r="C2439" s="4">
        <f t="shared" ca="1" si="103"/>
        <v>45972</v>
      </c>
      <c r="D2439" s="4">
        <f ca="1">TODAY()-54</f>
        <v>45983</v>
      </c>
      <c r="E2439" s="3" t="s">
        <v>1029</v>
      </c>
      <c r="F2439" s="43" t="b">
        <v>1</v>
      </c>
      <c r="G2439" s="43" t="b">
        <v>1</v>
      </c>
      <c r="H2439" s="44">
        <v>2350</v>
      </c>
    </row>
    <row r="2440" spans="1:8" x14ac:dyDescent="0.3">
      <c r="A2440" s="42" t="s">
        <v>1901</v>
      </c>
      <c r="B2440" s="3" t="s">
        <v>1902</v>
      </c>
      <c r="C2440" s="4">
        <f t="shared" ca="1" si="103"/>
        <v>45972</v>
      </c>
      <c r="D2440" s="42"/>
      <c r="E2440" s="3" t="s">
        <v>1101</v>
      </c>
      <c r="F2440" s="43" t="b">
        <v>0</v>
      </c>
      <c r="G2440" s="43" t="b">
        <v>0</v>
      </c>
      <c r="H2440" s="44">
        <v>550</v>
      </c>
    </row>
    <row r="2441" spans="1:8" x14ac:dyDescent="0.3">
      <c r="A2441" s="42" t="s">
        <v>1578</v>
      </c>
      <c r="B2441" s="3" t="s">
        <v>1579</v>
      </c>
      <c r="C2441" s="4">
        <f t="shared" ca="1" si="103"/>
        <v>45972</v>
      </c>
      <c r="D2441" s="4">
        <f ca="1">TODAY()-49</f>
        <v>45988</v>
      </c>
      <c r="E2441" s="3" t="s">
        <v>1032</v>
      </c>
      <c r="F2441" s="43" t="b">
        <v>1</v>
      </c>
      <c r="G2441" s="43" t="b">
        <v>0</v>
      </c>
      <c r="H2441" s="44">
        <v>2440</v>
      </c>
    </row>
    <row r="2442" spans="1:8" x14ac:dyDescent="0.3">
      <c r="A2442" s="42" t="s">
        <v>1852</v>
      </c>
      <c r="B2442" s="3" t="s">
        <v>1940</v>
      </c>
      <c r="C2442" s="4">
        <f t="shared" ca="1" si="103"/>
        <v>45972</v>
      </c>
      <c r="D2442" s="4">
        <f ca="1">TODAY()-53</f>
        <v>45984</v>
      </c>
      <c r="E2442" s="3" t="s">
        <v>1029</v>
      </c>
      <c r="F2442" s="43" t="b">
        <v>1</v>
      </c>
      <c r="G2442" s="43" t="b">
        <v>1</v>
      </c>
      <c r="H2442" s="44">
        <v>830</v>
      </c>
    </row>
    <row r="2443" spans="1:8" x14ac:dyDescent="0.3">
      <c r="A2443" s="42" t="s">
        <v>1622</v>
      </c>
      <c r="B2443" s="3" t="s">
        <v>1623</v>
      </c>
      <c r="C2443" s="4">
        <f t="shared" ca="1" si="103"/>
        <v>45972</v>
      </c>
      <c r="D2443" s="4">
        <f ca="1">TODAY()-49</f>
        <v>45988</v>
      </c>
      <c r="E2443" s="3" t="s">
        <v>1032</v>
      </c>
      <c r="F2443" s="43" t="b">
        <v>1</v>
      </c>
      <c r="G2443" s="43" t="b">
        <v>0</v>
      </c>
      <c r="H2443" s="44">
        <v>960</v>
      </c>
    </row>
    <row r="2444" spans="1:8" x14ac:dyDescent="0.3">
      <c r="A2444" s="42" t="s">
        <v>1277</v>
      </c>
      <c r="B2444" s="3" t="s">
        <v>1067</v>
      </c>
      <c r="C2444" s="4">
        <f t="shared" ca="1" si="103"/>
        <v>45972</v>
      </c>
      <c r="D2444" s="42"/>
      <c r="E2444" s="3" t="s">
        <v>1077</v>
      </c>
      <c r="F2444" s="43" t="b">
        <v>0</v>
      </c>
      <c r="G2444" s="43" t="b">
        <v>0</v>
      </c>
      <c r="H2444" s="44">
        <v>470</v>
      </c>
    </row>
    <row r="2445" spans="1:8" x14ac:dyDescent="0.3">
      <c r="A2445" s="42" t="s">
        <v>1123</v>
      </c>
      <c r="B2445" s="3" t="s">
        <v>1260</v>
      </c>
      <c r="C2445" s="4">
        <f t="shared" ca="1" si="103"/>
        <v>45972</v>
      </c>
      <c r="D2445" s="4">
        <f ca="1">TODAY()-43</f>
        <v>45994</v>
      </c>
      <c r="E2445" s="3" t="s">
        <v>1029</v>
      </c>
      <c r="F2445" s="43" t="b">
        <v>1</v>
      </c>
      <c r="G2445" s="43" t="b">
        <v>1</v>
      </c>
      <c r="H2445" s="44">
        <v>630</v>
      </c>
    </row>
    <row r="2446" spans="1:8" x14ac:dyDescent="0.3">
      <c r="A2446" s="42" t="s">
        <v>1115</v>
      </c>
      <c r="B2446" s="3" t="s">
        <v>1988</v>
      </c>
      <c r="C2446" s="4">
        <f t="shared" ca="1" si="103"/>
        <v>45972</v>
      </c>
      <c r="D2446" s="42"/>
      <c r="E2446" s="3" t="s">
        <v>1108</v>
      </c>
      <c r="F2446" s="43" t="b">
        <v>0</v>
      </c>
      <c r="G2446" s="43" t="b">
        <v>0</v>
      </c>
      <c r="H2446" s="44">
        <v>850</v>
      </c>
    </row>
    <row r="2447" spans="1:8" x14ac:dyDescent="0.3">
      <c r="A2447" s="42" t="s">
        <v>1211</v>
      </c>
      <c r="B2447" s="3" t="s">
        <v>1212</v>
      </c>
      <c r="C2447" s="4">
        <f t="shared" ca="1" si="103"/>
        <v>45972</v>
      </c>
      <c r="D2447" s="4">
        <f ca="1">TODAY()-39</f>
        <v>45998</v>
      </c>
      <c r="E2447" s="3" t="s">
        <v>1029</v>
      </c>
      <c r="F2447" s="43" t="b">
        <v>1</v>
      </c>
      <c r="G2447" s="43" t="b">
        <v>1</v>
      </c>
      <c r="H2447" s="44">
        <v>4300</v>
      </c>
    </row>
    <row r="2448" spans="1:8" x14ac:dyDescent="0.3">
      <c r="A2448" s="42" t="s">
        <v>1476</v>
      </c>
      <c r="B2448" s="3" t="s">
        <v>1477</v>
      </c>
      <c r="C2448" s="4">
        <f t="shared" ca="1" si="103"/>
        <v>45972</v>
      </c>
      <c r="D2448" s="4">
        <f ca="1">TODAY()-50</f>
        <v>45987</v>
      </c>
      <c r="E2448" s="3" t="s">
        <v>1029</v>
      </c>
      <c r="F2448" s="43" t="b">
        <v>1</v>
      </c>
      <c r="G2448" s="43" t="b">
        <v>1</v>
      </c>
      <c r="H2448" s="44">
        <v>1720</v>
      </c>
    </row>
    <row r="2449" spans="1:8" x14ac:dyDescent="0.3">
      <c r="A2449" s="42" t="s">
        <v>1448</v>
      </c>
      <c r="B2449" s="3" t="s">
        <v>1838</v>
      </c>
      <c r="C2449" s="4">
        <f t="shared" ca="1" si="103"/>
        <v>45972</v>
      </c>
      <c r="D2449" s="4">
        <f ca="1">TODAY()-36</f>
        <v>46001</v>
      </c>
      <c r="E2449" s="3" t="s">
        <v>1029</v>
      </c>
      <c r="F2449" s="43" t="b">
        <v>1</v>
      </c>
      <c r="G2449" s="43" t="b">
        <v>1</v>
      </c>
      <c r="H2449" s="44">
        <v>1700</v>
      </c>
    </row>
    <row r="2450" spans="1:8" x14ac:dyDescent="0.3">
      <c r="A2450" s="42" t="s">
        <v>1302</v>
      </c>
      <c r="B2450" s="3" t="s">
        <v>1575</v>
      </c>
      <c r="C2450" s="4">
        <f t="shared" ca="1" si="103"/>
        <v>45972</v>
      </c>
      <c r="D2450" s="42"/>
      <c r="E2450" s="3" t="s">
        <v>1077</v>
      </c>
      <c r="F2450" s="43" t="b">
        <v>0</v>
      </c>
      <c r="G2450" s="43" t="b">
        <v>0</v>
      </c>
      <c r="H2450" s="44">
        <v>650</v>
      </c>
    </row>
    <row r="2451" spans="1:8" x14ac:dyDescent="0.3">
      <c r="A2451" s="42" t="s">
        <v>1219</v>
      </c>
      <c r="B2451" s="3" t="s">
        <v>1414</v>
      </c>
      <c r="C2451" s="4">
        <f t="shared" ca="1" si="103"/>
        <v>45972</v>
      </c>
      <c r="D2451" s="4">
        <f ca="1">TODAY()-37</f>
        <v>46000</v>
      </c>
      <c r="E2451" s="3" t="s">
        <v>1029</v>
      </c>
      <c r="F2451" s="43" t="b">
        <v>1</v>
      </c>
      <c r="G2451" s="43" t="b">
        <v>1</v>
      </c>
      <c r="H2451" s="44">
        <v>720</v>
      </c>
    </row>
    <row r="2452" spans="1:8" x14ac:dyDescent="0.3">
      <c r="A2452" s="42" t="s">
        <v>1689</v>
      </c>
      <c r="B2452" s="3" t="s">
        <v>1690</v>
      </c>
      <c r="C2452" s="4">
        <f t="shared" ca="1" si="103"/>
        <v>45972</v>
      </c>
      <c r="D2452" s="42"/>
      <c r="E2452" s="3" t="s">
        <v>1108</v>
      </c>
      <c r="F2452" s="43" t="b">
        <v>0</v>
      </c>
      <c r="G2452" s="43" t="b">
        <v>0</v>
      </c>
      <c r="H2452" s="44">
        <v>1800</v>
      </c>
    </row>
    <row r="2453" spans="1:8" x14ac:dyDescent="0.3">
      <c r="A2453" s="42" t="s">
        <v>1042</v>
      </c>
      <c r="B2453" s="3" t="s">
        <v>1043</v>
      </c>
      <c r="C2453" s="4">
        <f t="shared" ca="1" si="103"/>
        <v>45972</v>
      </c>
      <c r="D2453" s="4">
        <f ca="1">TODAY()-47</f>
        <v>45990</v>
      </c>
      <c r="E2453" s="3" t="s">
        <v>1029</v>
      </c>
      <c r="F2453" s="43" t="b">
        <v>1</v>
      </c>
      <c r="G2453" s="43" t="b">
        <v>1</v>
      </c>
      <c r="H2453" s="44">
        <v>1580</v>
      </c>
    </row>
    <row r="2454" spans="1:8" x14ac:dyDescent="0.3">
      <c r="A2454" s="42" t="s">
        <v>1601</v>
      </c>
      <c r="B2454" s="3" t="s">
        <v>1114</v>
      </c>
      <c r="C2454" s="4">
        <f t="shared" ca="1" si="103"/>
        <v>45972</v>
      </c>
      <c r="D2454" s="42"/>
      <c r="E2454" s="3" t="s">
        <v>1070</v>
      </c>
      <c r="F2454" s="43" t="b">
        <v>0</v>
      </c>
      <c r="G2454" s="43" t="b">
        <v>0</v>
      </c>
      <c r="H2454" s="44">
        <v>1330</v>
      </c>
    </row>
    <row r="2455" spans="1:8" x14ac:dyDescent="0.3">
      <c r="A2455" s="42" t="s">
        <v>1312</v>
      </c>
      <c r="B2455" s="3" t="s">
        <v>1313</v>
      </c>
      <c r="C2455" s="4">
        <f t="shared" ca="1" si="103"/>
        <v>45972</v>
      </c>
      <c r="D2455" s="4">
        <f t="shared" ref="D2455:D2456" ca="1" si="109">TODAY()-53</f>
        <v>45984</v>
      </c>
      <c r="E2455" s="3" t="s">
        <v>1029</v>
      </c>
      <c r="F2455" s="43" t="b">
        <v>1</v>
      </c>
      <c r="G2455" s="43" t="b">
        <v>1</v>
      </c>
      <c r="H2455" s="44">
        <v>1350</v>
      </c>
    </row>
    <row r="2456" spans="1:8" x14ac:dyDescent="0.3">
      <c r="A2456" s="42" t="s">
        <v>1913</v>
      </c>
      <c r="B2456" s="3" t="s">
        <v>1914</v>
      </c>
      <c r="C2456" s="4">
        <f t="shared" ca="1" si="103"/>
        <v>45972</v>
      </c>
      <c r="D2456" s="4">
        <f t="shared" ca="1" si="109"/>
        <v>45984</v>
      </c>
      <c r="E2456" s="3" t="s">
        <v>1029</v>
      </c>
      <c r="F2456" s="43" t="b">
        <v>1</v>
      </c>
      <c r="G2456" s="43" t="b">
        <v>1</v>
      </c>
      <c r="H2456" s="44">
        <v>2320</v>
      </c>
    </row>
    <row r="2457" spans="1:8" x14ac:dyDescent="0.3">
      <c r="A2457" s="42" t="s">
        <v>1188</v>
      </c>
      <c r="B2457" s="3" t="s">
        <v>1275</v>
      </c>
      <c r="C2457" s="4">
        <f t="shared" ca="1" si="103"/>
        <v>45972</v>
      </c>
      <c r="D2457" s="4">
        <f ca="1">TODAY()-52</f>
        <v>45985</v>
      </c>
      <c r="E2457" s="3" t="s">
        <v>1029</v>
      </c>
      <c r="F2457" s="43" t="b">
        <v>1</v>
      </c>
      <c r="G2457" s="43" t="b">
        <v>1</v>
      </c>
      <c r="H2457" s="44">
        <v>20000</v>
      </c>
    </row>
    <row r="2458" spans="1:8" x14ac:dyDescent="0.3">
      <c r="A2458" s="42" t="s">
        <v>1221</v>
      </c>
      <c r="B2458" s="3" t="s">
        <v>1514</v>
      </c>
      <c r="C2458" s="4">
        <f t="shared" ca="1" si="103"/>
        <v>45972</v>
      </c>
      <c r="D2458" s="42"/>
      <c r="E2458" s="3" t="s">
        <v>1103</v>
      </c>
      <c r="F2458" s="43" t="b">
        <v>0</v>
      </c>
      <c r="G2458" s="43" t="b">
        <v>0</v>
      </c>
      <c r="H2458" s="44">
        <v>1690</v>
      </c>
    </row>
    <row r="2459" spans="1:8" x14ac:dyDescent="0.3">
      <c r="A2459" s="42" t="s">
        <v>1576</v>
      </c>
      <c r="B2459" s="3" t="s">
        <v>1577</v>
      </c>
      <c r="C2459" s="4">
        <f t="shared" ca="1" si="103"/>
        <v>45972</v>
      </c>
      <c r="D2459" s="42"/>
      <c r="E2459" s="3" t="s">
        <v>1077</v>
      </c>
      <c r="F2459" s="43" t="b">
        <v>0</v>
      </c>
      <c r="G2459" s="43" t="b">
        <v>0</v>
      </c>
      <c r="H2459" s="44">
        <v>590</v>
      </c>
    </row>
    <row r="2460" spans="1:8" x14ac:dyDescent="0.3">
      <c r="A2460" s="42" t="s">
        <v>1979</v>
      </c>
      <c r="B2460" s="3" t="s">
        <v>1980</v>
      </c>
      <c r="C2460" s="4">
        <f t="shared" ca="1" si="103"/>
        <v>45972</v>
      </c>
      <c r="D2460" s="4">
        <f ca="1">TODAY()-50</f>
        <v>45987</v>
      </c>
      <c r="E2460" s="3" t="s">
        <v>1029</v>
      </c>
      <c r="F2460" s="43" t="b">
        <v>1</v>
      </c>
      <c r="G2460" s="43" t="b">
        <v>1</v>
      </c>
      <c r="H2460" s="44">
        <v>510</v>
      </c>
    </row>
    <row r="2461" spans="1:8" x14ac:dyDescent="0.3">
      <c r="A2461" s="42" t="s">
        <v>1330</v>
      </c>
      <c r="B2461" s="3" t="s">
        <v>1114</v>
      </c>
      <c r="C2461" s="4">
        <f t="shared" ca="1" si="103"/>
        <v>45972</v>
      </c>
      <c r="D2461" s="4">
        <f ca="1">TODAY()-35</f>
        <v>46002</v>
      </c>
      <c r="E2461" s="3" t="s">
        <v>1029</v>
      </c>
      <c r="F2461" s="43" t="b">
        <v>1</v>
      </c>
      <c r="G2461" s="43" t="b">
        <v>1</v>
      </c>
      <c r="H2461" s="44">
        <v>1950</v>
      </c>
    </row>
    <row r="2462" spans="1:8" x14ac:dyDescent="0.3">
      <c r="A2462" s="42" t="s">
        <v>1398</v>
      </c>
      <c r="B2462" s="3" t="s">
        <v>1859</v>
      </c>
      <c r="C2462" s="4">
        <f t="shared" ca="1" si="103"/>
        <v>45972</v>
      </c>
      <c r="D2462" s="4">
        <f ca="1">TODAY()-38</f>
        <v>45999</v>
      </c>
      <c r="E2462" s="3" t="s">
        <v>1029</v>
      </c>
      <c r="F2462" s="43" t="b">
        <v>1</v>
      </c>
      <c r="G2462" s="43" t="b">
        <v>1</v>
      </c>
      <c r="H2462" s="44">
        <v>2360</v>
      </c>
    </row>
    <row r="2463" spans="1:8" x14ac:dyDescent="0.3">
      <c r="A2463" s="42" t="s">
        <v>1856</v>
      </c>
      <c r="B2463" s="3" t="s">
        <v>1222</v>
      </c>
      <c r="C2463" s="4">
        <f t="shared" ca="1" si="103"/>
        <v>45972</v>
      </c>
      <c r="D2463" s="4">
        <f ca="1">TODAY()-37</f>
        <v>46000</v>
      </c>
      <c r="E2463" s="3" t="s">
        <v>1029</v>
      </c>
      <c r="F2463" s="43" t="b">
        <v>1</v>
      </c>
      <c r="G2463" s="43" t="b">
        <v>1</v>
      </c>
      <c r="H2463" s="44">
        <v>2430</v>
      </c>
    </row>
    <row r="2464" spans="1:8" x14ac:dyDescent="0.3">
      <c r="A2464" s="42" t="s">
        <v>1071</v>
      </c>
      <c r="B2464" s="3" t="s">
        <v>1202</v>
      </c>
      <c r="C2464" s="4">
        <f t="shared" ca="1" si="103"/>
        <v>45972</v>
      </c>
      <c r="D2464" s="4">
        <f ca="1">TODAY()-42</f>
        <v>45995</v>
      </c>
      <c r="E2464" s="3" t="s">
        <v>1032</v>
      </c>
      <c r="F2464" s="43" t="b">
        <v>1</v>
      </c>
      <c r="G2464" s="43" t="b">
        <v>0</v>
      </c>
      <c r="H2464" s="44">
        <v>1940</v>
      </c>
    </row>
    <row r="2465" spans="1:8" x14ac:dyDescent="0.3">
      <c r="A2465" s="42" t="s">
        <v>1294</v>
      </c>
      <c r="B2465" s="3" t="s">
        <v>1528</v>
      </c>
      <c r="C2465" s="4">
        <f t="shared" ca="1" si="103"/>
        <v>45972</v>
      </c>
      <c r="D2465" s="4">
        <f ca="1">TODAY()-35</f>
        <v>46002</v>
      </c>
      <c r="E2465" s="3" t="s">
        <v>1032</v>
      </c>
      <c r="F2465" s="43" t="b">
        <v>1</v>
      </c>
      <c r="G2465" s="43" t="b">
        <v>0</v>
      </c>
      <c r="H2465" s="44">
        <v>530</v>
      </c>
    </row>
    <row r="2466" spans="1:8" x14ac:dyDescent="0.3">
      <c r="A2466" s="42" t="s">
        <v>1081</v>
      </c>
      <c r="B2466" s="3" t="s">
        <v>1082</v>
      </c>
      <c r="C2466" s="4">
        <f t="shared" ca="1" si="103"/>
        <v>45972</v>
      </c>
      <c r="D2466" s="4">
        <f ca="1">TODAY()-50</f>
        <v>45987</v>
      </c>
      <c r="E2466" s="3" t="s">
        <v>1029</v>
      </c>
      <c r="F2466" s="43" t="b">
        <v>1</v>
      </c>
      <c r="G2466" s="43" t="b">
        <v>1</v>
      </c>
      <c r="H2466" s="44">
        <v>2430</v>
      </c>
    </row>
    <row r="2467" spans="1:8" x14ac:dyDescent="0.3">
      <c r="A2467" s="42" t="s">
        <v>1646</v>
      </c>
      <c r="B2467" s="3" t="s">
        <v>1691</v>
      </c>
      <c r="C2467" s="4">
        <f t="shared" ca="1" si="103"/>
        <v>45972</v>
      </c>
      <c r="D2467" s="4">
        <f ca="1">TODAY()-47</f>
        <v>45990</v>
      </c>
      <c r="E2467" s="3" t="s">
        <v>1029</v>
      </c>
      <c r="F2467" s="43" t="b">
        <v>1</v>
      </c>
      <c r="G2467" s="43" t="b">
        <v>1</v>
      </c>
      <c r="H2467" s="44">
        <v>2150</v>
      </c>
    </row>
    <row r="2468" spans="1:8" x14ac:dyDescent="0.3">
      <c r="A2468" s="42" t="s">
        <v>1139</v>
      </c>
      <c r="B2468" s="3" t="s">
        <v>1607</v>
      </c>
      <c r="C2468" s="4">
        <f t="shared" ca="1" si="103"/>
        <v>45972</v>
      </c>
      <c r="D2468" s="42"/>
      <c r="E2468" s="3" t="s">
        <v>1108</v>
      </c>
      <c r="F2468" s="43" t="b">
        <v>0</v>
      </c>
      <c r="G2468" s="43" t="b">
        <v>0</v>
      </c>
      <c r="H2468" s="44">
        <v>510</v>
      </c>
    </row>
    <row r="2469" spans="1:8" x14ac:dyDescent="0.3">
      <c r="A2469" s="42" t="s">
        <v>1085</v>
      </c>
      <c r="B2469" s="3" t="s">
        <v>1086</v>
      </c>
      <c r="C2469" s="4">
        <f t="shared" ca="1" si="103"/>
        <v>45972</v>
      </c>
      <c r="D2469" s="4">
        <f ca="1">TODAY()-54</f>
        <v>45983</v>
      </c>
      <c r="E2469" s="3" t="s">
        <v>1029</v>
      </c>
      <c r="F2469" s="43" t="b">
        <v>1</v>
      </c>
      <c r="G2469" s="43" t="b">
        <v>1</v>
      </c>
      <c r="H2469" s="44">
        <v>390</v>
      </c>
    </row>
    <row r="2470" spans="1:8" x14ac:dyDescent="0.3">
      <c r="A2470" s="42" t="s">
        <v>1244</v>
      </c>
      <c r="B2470" s="3" t="s">
        <v>1804</v>
      </c>
      <c r="C2470" s="4">
        <f t="shared" ca="1" si="103"/>
        <v>45972</v>
      </c>
      <c r="D2470" s="4">
        <f ca="1">TODAY()-38</f>
        <v>45999</v>
      </c>
      <c r="E2470" s="3" t="s">
        <v>1032</v>
      </c>
      <c r="F2470" s="43" t="b">
        <v>1</v>
      </c>
      <c r="G2470" s="43" t="b">
        <v>0</v>
      </c>
      <c r="H2470" s="44">
        <v>1320</v>
      </c>
    </row>
    <row r="2471" spans="1:8" x14ac:dyDescent="0.3">
      <c r="A2471" s="42" t="s">
        <v>1783</v>
      </c>
      <c r="B2471" s="3" t="s">
        <v>1784</v>
      </c>
      <c r="C2471" s="4">
        <f t="shared" ca="1" si="103"/>
        <v>45972</v>
      </c>
      <c r="D2471" s="42"/>
      <c r="E2471" s="3" t="s">
        <v>1108</v>
      </c>
      <c r="F2471" s="43" t="b">
        <v>0</v>
      </c>
      <c r="G2471" s="43" t="b">
        <v>0</v>
      </c>
      <c r="H2471" s="44">
        <v>1020</v>
      </c>
    </row>
    <row r="2472" spans="1:8" x14ac:dyDescent="0.3">
      <c r="A2472" s="42" t="s">
        <v>1455</v>
      </c>
      <c r="B2472" s="3" t="s">
        <v>1456</v>
      </c>
      <c r="C2472" s="4">
        <f t="shared" ref="C2472:C2611" ca="1" si="110">TODAY()-37</f>
        <v>46000</v>
      </c>
      <c r="D2472" s="4">
        <f ca="1">TODAY()-15</f>
        <v>46022</v>
      </c>
      <c r="E2472" s="3" t="s">
        <v>1032</v>
      </c>
      <c r="F2472" s="43" t="b">
        <v>1</v>
      </c>
      <c r="G2472" s="43" t="b">
        <v>0</v>
      </c>
      <c r="H2472" s="44">
        <v>470</v>
      </c>
    </row>
    <row r="2473" spans="1:8" x14ac:dyDescent="0.3">
      <c r="A2473" s="42" t="s">
        <v>1085</v>
      </c>
      <c r="B2473" s="3" t="s">
        <v>1992</v>
      </c>
      <c r="C2473" s="4">
        <f t="shared" ca="1" si="110"/>
        <v>46000</v>
      </c>
      <c r="D2473" s="4">
        <f ca="1">TODAY()-20</f>
        <v>46017</v>
      </c>
      <c r="E2473" s="3" t="s">
        <v>1029</v>
      </c>
      <c r="F2473" s="43" t="b">
        <v>1</v>
      </c>
      <c r="G2473" s="43" t="b">
        <v>1</v>
      </c>
      <c r="H2473" s="44">
        <v>2030</v>
      </c>
    </row>
    <row r="2474" spans="1:8" x14ac:dyDescent="0.3">
      <c r="A2474" s="42" t="s">
        <v>1403</v>
      </c>
      <c r="B2474" s="3" t="s">
        <v>1678</v>
      </c>
      <c r="C2474" s="4">
        <f t="shared" ca="1" si="110"/>
        <v>46000</v>
      </c>
      <c r="D2474" s="4">
        <f t="shared" ref="D2474:D2475" ca="1" si="111">TODAY()-22</f>
        <v>46015</v>
      </c>
      <c r="E2474" s="3" t="s">
        <v>1029</v>
      </c>
      <c r="F2474" s="43" t="b">
        <v>1</v>
      </c>
      <c r="G2474" s="43" t="b">
        <v>1</v>
      </c>
      <c r="H2474" s="44">
        <v>1220</v>
      </c>
    </row>
    <row r="2475" spans="1:8" x14ac:dyDescent="0.3">
      <c r="A2475" s="42" t="s">
        <v>1487</v>
      </c>
      <c r="B2475" s="3" t="s">
        <v>1488</v>
      </c>
      <c r="C2475" s="4">
        <f t="shared" ca="1" si="110"/>
        <v>46000</v>
      </c>
      <c r="D2475" s="4">
        <f t="shared" ca="1" si="111"/>
        <v>46015</v>
      </c>
      <c r="E2475" s="3" t="s">
        <v>1032</v>
      </c>
      <c r="F2475" s="43" t="b">
        <v>1</v>
      </c>
      <c r="G2475" s="43" t="b">
        <v>0</v>
      </c>
      <c r="H2475" s="44">
        <v>2470</v>
      </c>
    </row>
    <row r="2476" spans="1:8" x14ac:dyDescent="0.3">
      <c r="A2476" s="42" t="s">
        <v>1908</v>
      </c>
      <c r="B2476" s="3" t="s">
        <v>1909</v>
      </c>
      <c r="C2476" s="4">
        <f t="shared" ca="1" si="110"/>
        <v>46000</v>
      </c>
      <c r="D2476" s="4">
        <f ca="1">TODAY()-24</f>
        <v>46013</v>
      </c>
      <c r="E2476" s="3" t="s">
        <v>1032</v>
      </c>
      <c r="F2476" s="43" t="b">
        <v>1</v>
      </c>
      <c r="G2476" s="43" t="b">
        <v>0</v>
      </c>
      <c r="H2476" s="44">
        <v>1030</v>
      </c>
    </row>
    <row r="2477" spans="1:8" x14ac:dyDescent="0.3">
      <c r="A2477" s="42" t="s">
        <v>1137</v>
      </c>
      <c r="B2477" s="3" t="s">
        <v>1882</v>
      </c>
      <c r="C2477" s="4">
        <f t="shared" ca="1" si="110"/>
        <v>46000</v>
      </c>
      <c r="D2477" s="42"/>
      <c r="E2477" s="3" t="s">
        <v>1108</v>
      </c>
      <c r="F2477" s="43" t="b">
        <v>0</v>
      </c>
      <c r="G2477" s="43" t="b">
        <v>0</v>
      </c>
      <c r="H2477" s="44">
        <v>1390</v>
      </c>
    </row>
    <row r="2478" spans="1:8" x14ac:dyDescent="0.3">
      <c r="A2478" s="42" t="s">
        <v>1571</v>
      </c>
      <c r="B2478" s="3" t="s">
        <v>1841</v>
      </c>
      <c r="C2478" s="4">
        <f t="shared" ca="1" si="110"/>
        <v>46000</v>
      </c>
      <c r="D2478" s="4">
        <f ca="1">TODAY()-9</f>
        <v>46028</v>
      </c>
      <c r="E2478" s="3" t="s">
        <v>1032</v>
      </c>
      <c r="F2478" s="43" t="b">
        <v>1</v>
      </c>
      <c r="G2478" s="43" t="b">
        <v>0</v>
      </c>
      <c r="H2478" s="44">
        <v>2190</v>
      </c>
    </row>
    <row r="2479" spans="1:8" x14ac:dyDescent="0.3">
      <c r="A2479" s="42" t="s">
        <v>1767</v>
      </c>
      <c r="B2479" s="3" t="s">
        <v>1768</v>
      </c>
      <c r="C2479" s="4">
        <f t="shared" ca="1" si="110"/>
        <v>46000</v>
      </c>
      <c r="D2479" s="4">
        <f ca="1">TODAY()-25</f>
        <v>46012</v>
      </c>
      <c r="E2479" s="3" t="s">
        <v>1029</v>
      </c>
      <c r="F2479" s="43" t="b">
        <v>1</v>
      </c>
      <c r="G2479" s="43" t="b">
        <v>1</v>
      </c>
      <c r="H2479" s="44">
        <v>110</v>
      </c>
    </row>
    <row r="2480" spans="1:8" x14ac:dyDescent="0.3">
      <c r="A2480" s="42" t="s">
        <v>1649</v>
      </c>
      <c r="B2480" s="3" t="s">
        <v>1880</v>
      </c>
      <c r="C2480" s="4">
        <f t="shared" ca="1" si="110"/>
        <v>46000</v>
      </c>
      <c r="D2480" s="4">
        <f ca="1">TODAY()-23</f>
        <v>46014</v>
      </c>
      <c r="E2480" s="3" t="s">
        <v>1029</v>
      </c>
      <c r="F2480" s="43" t="b">
        <v>1</v>
      </c>
      <c r="G2480" s="43" t="b">
        <v>1</v>
      </c>
      <c r="H2480" s="44">
        <v>1860</v>
      </c>
    </row>
    <row r="2481" spans="1:8" x14ac:dyDescent="0.3">
      <c r="A2481" s="42" t="s">
        <v>1814</v>
      </c>
      <c r="B2481" s="3" t="s">
        <v>1063</v>
      </c>
      <c r="C2481" s="4">
        <f t="shared" ca="1" si="110"/>
        <v>46000</v>
      </c>
      <c r="D2481" s="4">
        <f ca="1">TODAY()-14</f>
        <v>46023</v>
      </c>
      <c r="E2481" s="3" t="s">
        <v>1032</v>
      </c>
      <c r="F2481" s="43" t="b">
        <v>1</v>
      </c>
      <c r="G2481" s="43" t="b">
        <v>0</v>
      </c>
      <c r="H2481" s="44">
        <v>1760</v>
      </c>
    </row>
    <row r="2482" spans="1:8" x14ac:dyDescent="0.3">
      <c r="A2482" s="42" t="s">
        <v>1612</v>
      </c>
      <c r="B2482" s="3" t="s">
        <v>1613</v>
      </c>
      <c r="C2482" s="4">
        <f t="shared" ca="1" si="110"/>
        <v>46000</v>
      </c>
      <c r="D2482" s="42"/>
      <c r="E2482" s="3" t="s">
        <v>1101</v>
      </c>
      <c r="F2482" s="43" t="b">
        <v>0</v>
      </c>
      <c r="G2482" s="43" t="b">
        <v>0</v>
      </c>
      <c r="H2482" s="44">
        <v>590</v>
      </c>
    </row>
    <row r="2483" spans="1:8" x14ac:dyDescent="0.3">
      <c r="A2483" s="42" t="s">
        <v>1816</v>
      </c>
      <c r="B2483" s="3" t="s">
        <v>1241</v>
      </c>
      <c r="C2483" s="4">
        <f t="shared" ca="1" si="110"/>
        <v>46000</v>
      </c>
      <c r="D2483" s="4">
        <f ca="1">TODAY()-25</f>
        <v>46012</v>
      </c>
      <c r="E2483" s="3" t="s">
        <v>1032</v>
      </c>
      <c r="F2483" s="43" t="b">
        <v>1</v>
      </c>
      <c r="G2483" s="43" t="b">
        <v>0</v>
      </c>
      <c r="H2483" s="44">
        <v>210</v>
      </c>
    </row>
    <row r="2484" spans="1:8" x14ac:dyDescent="0.3">
      <c r="A2484" s="42" t="s">
        <v>1979</v>
      </c>
      <c r="B2484" s="3" t="s">
        <v>1980</v>
      </c>
      <c r="C2484" s="4">
        <f t="shared" ca="1" si="110"/>
        <v>46000</v>
      </c>
      <c r="D2484" s="4">
        <f ca="1">TODAY()-7</f>
        <v>46030</v>
      </c>
      <c r="E2484" s="3" t="s">
        <v>1029</v>
      </c>
      <c r="F2484" s="43" t="b">
        <v>1</v>
      </c>
      <c r="G2484" s="43" t="b">
        <v>1</v>
      </c>
      <c r="H2484" s="44">
        <v>510</v>
      </c>
    </row>
    <row r="2485" spans="1:8" x14ac:dyDescent="0.3">
      <c r="A2485" s="42" t="s">
        <v>1530</v>
      </c>
      <c r="B2485" s="3" t="s">
        <v>1531</v>
      </c>
      <c r="C2485" s="4">
        <f t="shared" ca="1" si="110"/>
        <v>46000</v>
      </c>
      <c r="D2485" s="4">
        <f ca="1">TODAY()-15</f>
        <v>46022</v>
      </c>
      <c r="E2485" s="3" t="s">
        <v>1029</v>
      </c>
      <c r="F2485" s="43" t="b">
        <v>1</v>
      </c>
      <c r="G2485" s="43" t="b">
        <v>1</v>
      </c>
      <c r="H2485" s="44">
        <v>1390</v>
      </c>
    </row>
    <row r="2486" spans="1:8" x14ac:dyDescent="0.3">
      <c r="A2486" s="42" t="s">
        <v>1407</v>
      </c>
      <c r="B2486" s="3" t="s">
        <v>1408</v>
      </c>
      <c r="C2486" s="4">
        <f t="shared" ca="1" si="110"/>
        <v>46000</v>
      </c>
      <c r="D2486" s="4">
        <f ca="1">TODAY()-18</f>
        <v>46019</v>
      </c>
      <c r="E2486" s="3" t="s">
        <v>1029</v>
      </c>
      <c r="F2486" s="43" t="b">
        <v>1</v>
      </c>
      <c r="G2486" s="43" t="b">
        <v>1</v>
      </c>
      <c r="H2486" s="44">
        <v>1020</v>
      </c>
    </row>
    <row r="2487" spans="1:8" x14ac:dyDescent="0.3">
      <c r="A2487" s="42" t="s">
        <v>1099</v>
      </c>
      <c r="B2487" s="3" t="s">
        <v>1975</v>
      </c>
      <c r="C2487" s="4">
        <f t="shared" ca="1" si="110"/>
        <v>46000</v>
      </c>
      <c r="D2487" s="4">
        <f ca="1">TODAY()-14</f>
        <v>46023</v>
      </c>
      <c r="E2487" s="3" t="s">
        <v>1029</v>
      </c>
      <c r="F2487" s="43" t="b">
        <v>1</v>
      </c>
      <c r="G2487" s="43" t="b">
        <v>1</v>
      </c>
      <c r="H2487" s="44">
        <v>1530</v>
      </c>
    </row>
    <row r="2488" spans="1:8" x14ac:dyDescent="0.3">
      <c r="A2488" s="42" t="s">
        <v>1934</v>
      </c>
      <c r="B2488" s="3" t="s">
        <v>1935</v>
      </c>
      <c r="C2488" s="4">
        <f t="shared" ca="1" si="110"/>
        <v>46000</v>
      </c>
      <c r="D2488" s="4">
        <f ca="1">TODAY()-18</f>
        <v>46019</v>
      </c>
      <c r="E2488" s="3" t="s">
        <v>1029</v>
      </c>
      <c r="F2488" s="43" t="b">
        <v>1</v>
      </c>
      <c r="G2488" s="43" t="b">
        <v>1</v>
      </c>
      <c r="H2488" s="44">
        <v>150</v>
      </c>
    </row>
    <row r="2489" spans="1:8" x14ac:dyDescent="0.3">
      <c r="A2489" s="42" t="s">
        <v>1591</v>
      </c>
      <c r="B2489" s="3" t="s">
        <v>1592</v>
      </c>
      <c r="C2489" s="4">
        <f t="shared" ca="1" si="110"/>
        <v>46000</v>
      </c>
      <c r="D2489" s="4">
        <f ca="1">TODAY()-16</f>
        <v>46021</v>
      </c>
      <c r="E2489" s="3" t="s">
        <v>1029</v>
      </c>
      <c r="F2489" s="43" t="b">
        <v>1</v>
      </c>
      <c r="G2489" s="43" t="b">
        <v>1</v>
      </c>
      <c r="H2489" s="44">
        <v>1300</v>
      </c>
    </row>
    <row r="2490" spans="1:8" x14ac:dyDescent="0.3">
      <c r="A2490" s="42" t="s">
        <v>1644</v>
      </c>
      <c r="B2490" s="3" t="s">
        <v>1645</v>
      </c>
      <c r="C2490" s="4">
        <f t="shared" ca="1" si="110"/>
        <v>46000</v>
      </c>
      <c r="D2490" s="4">
        <f ca="1">TODAY()-8</f>
        <v>46029</v>
      </c>
      <c r="E2490" s="3" t="s">
        <v>1029</v>
      </c>
      <c r="F2490" s="43" t="b">
        <v>1</v>
      </c>
      <c r="G2490" s="43" t="b">
        <v>1</v>
      </c>
      <c r="H2490" s="44">
        <v>2470</v>
      </c>
    </row>
    <row r="2491" spans="1:8" x14ac:dyDescent="0.3">
      <c r="A2491" s="42" t="s">
        <v>1494</v>
      </c>
      <c r="B2491" s="3" t="s">
        <v>1495</v>
      </c>
      <c r="C2491" s="4">
        <f t="shared" ca="1" si="110"/>
        <v>46000</v>
      </c>
      <c r="D2491" s="4">
        <f ca="1">TODAY()-7</f>
        <v>46030</v>
      </c>
      <c r="E2491" s="3" t="s">
        <v>1032</v>
      </c>
      <c r="F2491" s="43" t="b">
        <v>1</v>
      </c>
      <c r="G2491" s="43" t="b">
        <v>0</v>
      </c>
      <c r="H2491" s="44">
        <v>790</v>
      </c>
    </row>
    <row r="2492" spans="1:8" x14ac:dyDescent="0.3">
      <c r="A2492" s="42" t="s">
        <v>1163</v>
      </c>
      <c r="B2492" s="3" t="s">
        <v>1164</v>
      </c>
      <c r="C2492" s="4">
        <f t="shared" ca="1" si="110"/>
        <v>46000</v>
      </c>
      <c r="D2492" s="4">
        <f ca="1">TODAY()-12</f>
        <v>46025</v>
      </c>
      <c r="E2492" s="3" t="s">
        <v>1029</v>
      </c>
      <c r="F2492" s="43" t="b">
        <v>1</v>
      </c>
      <c r="G2492" s="43" t="b">
        <v>1</v>
      </c>
      <c r="H2492" s="44">
        <v>2000</v>
      </c>
    </row>
    <row r="2493" spans="1:8" x14ac:dyDescent="0.3">
      <c r="A2493" s="42" t="s">
        <v>1955</v>
      </c>
      <c r="B2493" s="3" t="s">
        <v>1968</v>
      </c>
      <c r="C2493" s="4">
        <f t="shared" ca="1" si="110"/>
        <v>46000</v>
      </c>
      <c r="D2493" s="4">
        <f ca="1">TODAY()-10</f>
        <v>46027</v>
      </c>
      <c r="E2493" s="3" t="s">
        <v>1029</v>
      </c>
      <c r="F2493" s="43" t="b">
        <v>1</v>
      </c>
      <c r="G2493" s="43" t="b">
        <v>1</v>
      </c>
      <c r="H2493" s="44">
        <v>1150</v>
      </c>
    </row>
    <row r="2494" spans="1:8" x14ac:dyDescent="0.3">
      <c r="A2494" s="42" t="s">
        <v>1240</v>
      </c>
      <c r="B2494" s="3" t="s">
        <v>1716</v>
      </c>
      <c r="C2494" s="4">
        <f t="shared" ca="1" si="110"/>
        <v>46000</v>
      </c>
      <c r="D2494" s="4">
        <f ca="1">TODAY()-27</f>
        <v>46010</v>
      </c>
      <c r="E2494" s="3" t="s">
        <v>1032</v>
      </c>
      <c r="F2494" s="43" t="b">
        <v>1</v>
      </c>
      <c r="G2494" s="43" t="b">
        <v>0</v>
      </c>
      <c r="H2494" s="44">
        <v>1090</v>
      </c>
    </row>
    <row r="2495" spans="1:8" x14ac:dyDescent="0.3">
      <c r="A2495" s="42" t="s">
        <v>1171</v>
      </c>
      <c r="B2495" s="3" t="s">
        <v>1172</v>
      </c>
      <c r="C2495" s="4">
        <f t="shared" ca="1" si="110"/>
        <v>46000</v>
      </c>
      <c r="D2495" s="42"/>
      <c r="E2495" s="3" t="s">
        <v>1077</v>
      </c>
      <c r="F2495" s="43" t="b">
        <v>0</v>
      </c>
      <c r="G2495" s="43" t="b">
        <v>0</v>
      </c>
      <c r="H2495" s="44">
        <v>550</v>
      </c>
    </row>
    <row r="2496" spans="1:8" x14ac:dyDescent="0.3">
      <c r="A2496" s="42" t="s">
        <v>1522</v>
      </c>
      <c r="B2496" s="3" t="s">
        <v>1201</v>
      </c>
      <c r="C2496" s="4">
        <f t="shared" ca="1" si="110"/>
        <v>46000</v>
      </c>
      <c r="D2496" s="4">
        <f ca="1">TODAY()-20</f>
        <v>46017</v>
      </c>
      <c r="E2496" s="3" t="s">
        <v>1029</v>
      </c>
      <c r="F2496" s="43" t="b">
        <v>1</v>
      </c>
      <c r="G2496" s="43" t="b">
        <v>1</v>
      </c>
      <c r="H2496" s="44">
        <v>20000</v>
      </c>
    </row>
    <row r="2497" spans="1:8" x14ac:dyDescent="0.3">
      <c r="A2497" s="42" t="s">
        <v>1594</v>
      </c>
      <c r="B2497" s="3" t="s">
        <v>1275</v>
      </c>
      <c r="C2497" s="4">
        <f t="shared" ca="1" si="110"/>
        <v>46000</v>
      </c>
      <c r="D2497" s="4">
        <f ca="1">TODAY()-26</f>
        <v>46011</v>
      </c>
      <c r="E2497" s="3" t="s">
        <v>1029</v>
      </c>
      <c r="F2497" s="43" t="b">
        <v>1</v>
      </c>
      <c r="G2497" s="43" t="b">
        <v>1</v>
      </c>
      <c r="H2497" s="44">
        <v>4920</v>
      </c>
    </row>
    <row r="2498" spans="1:8" x14ac:dyDescent="0.3">
      <c r="A2498" s="42" t="s">
        <v>1799</v>
      </c>
      <c r="B2498" s="3" t="s">
        <v>1311</v>
      </c>
      <c r="C2498" s="4">
        <f t="shared" ca="1" si="110"/>
        <v>46000</v>
      </c>
      <c r="D2498" s="4">
        <f ca="1">TODAY()-18</f>
        <v>46019</v>
      </c>
      <c r="E2498" s="3" t="s">
        <v>1032</v>
      </c>
      <c r="F2498" s="43" t="b">
        <v>1</v>
      </c>
      <c r="G2498" s="43" t="b">
        <v>0</v>
      </c>
      <c r="H2498" s="44">
        <v>2090</v>
      </c>
    </row>
    <row r="2499" spans="1:8" x14ac:dyDescent="0.3">
      <c r="A2499" s="42" t="s">
        <v>1899</v>
      </c>
      <c r="B2499" s="3" t="s">
        <v>1146</v>
      </c>
      <c r="C2499" s="4">
        <f t="shared" ca="1" si="110"/>
        <v>46000</v>
      </c>
      <c r="D2499" s="42"/>
      <c r="E2499" s="3" t="s">
        <v>1103</v>
      </c>
      <c r="F2499" s="43" t="b">
        <v>0</v>
      </c>
      <c r="G2499" s="43" t="b">
        <v>0</v>
      </c>
      <c r="H2499" s="44">
        <v>1620</v>
      </c>
    </row>
    <row r="2500" spans="1:8" x14ac:dyDescent="0.3">
      <c r="A2500" s="42" t="s">
        <v>1530</v>
      </c>
      <c r="B2500" s="3" t="s">
        <v>1531</v>
      </c>
      <c r="C2500" s="4">
        <f t="shared" ca="1" si="110"/>
        <v>46000</v>
      </c>
      <c r="D2500" s="4">
        <f ca="1">TODAY()-10</f>
        <v>46027</v>
      </c>
      <c r="E2500" s="3" t="s">
        <v>1029</v>
      </c>
      <c r="F2500" s="43" t="b">
        <v>1</v>
      </c>
      <c r="G2500" s="43" t="b">
        <v>1</v>
      </c>
      <c r="H2500" s="44">
        <v>1390</v>
      </c>
    </row>
    <row r="2501" spans="1:8" x14ac:dyDescent="0.3">
      <c r="A2501" s="42" t="s">
        <v>1814</v>
      </c>
      <c r="B2501" s="3" t="s">
        <v>1063</v>
      </c>
      <c r="C2501" s="4">
        <f t="shared" ca="1" si="110"/>
        <v>46000</v>
      </c>
      <c r="D2501" s="4">
        <f ca="1">TODAY()-22</f>
        <v>46015</v>
      </c>
      <c r="E2501" s="3" t="s">
        <v>1032</v>
      </c>
      <c r="F2501" s="43" t="b">
        <v>1</v>
      </c>
      <c r="G2501" s="43" t="b">
        <v>0</v>
      </c>
      <c r="H2501" s="44">
        <v>1760</v>
      </c>
    </row>
    <row r="2502" spans="1:8" x14ac:dyDescent="0.3">
      <c r="A2502" s="42" t="s">
        <v>1654</v>
      </c>
      <c r="B2502" s="3" t="s">
        <v>1655</v>
      </c>
      <c r="C2502" s="4">
        <f t="shared" ca="1" si="110"/>
        <v>46000</v>
      </c>
      <c r="D2502" s="4">
        <f ca="1">TODAY()-12</f>
        <v>46025</v>
      </c>
      <c r="E2502" s="3" t="s">
        <v>1029</v>
      </c>
      <c r="F2502" s="43" t="b">
        <v>1</v>
      </c>
      <c r="G2502" s="43" t="b">
        <v>1</v>
      </c>
      <c r="H2502" s="44">
        <v>2780</v>
      </c>
    </row>
    <row r="2503" spans="1:8" x14ac:dyDescent="0.3">
      <c r="A2503" s="42" t="s">
        <v>1181</v>
      </c>
      <c r="B2503" s="3" t="s">
        <v>1182</v>
      </c>
      <c r="C2503" s="4">
        <f t="shared" ca="1" si="110"/>
        <v>46000</v>
      </c>
      <c r="D2503" s="4">
        <f ca="1">TODAY()-25</f>
        <v>46012</v>
      </c>
      <c r="E2503" s="3" t="s">
        <v>1029</v>
      </c>
      <c r="F2503" s="43" t="b">
        <v>1</v>
      </c>
      <c r="G2503" s="43" t="b">
        <v>1</v>
      </c>
      <c r="H2503" s="44">
        <v>1840</v>
      </c>
    </row>
    <row r="2504" spans="1:8" x14ac:dyDescent="0.3">
      <c r="A2504" s="42" t="s">
        <v>1127</v>
      </c>
      <c r="B2504" s="3" t="s">
        <v>1890</v>
      </c>
      <c r="C2504" s="4">
        <f t="shared" ca="1" si="110"/>
        <v>46000</v>
      </c>
      <c r="D2504" s="4">
        <f ca="1">TODAY()-9</f>
        <v>46028</v>
      </c>
      <c r="E2504" s="3" t="s">
        <v>1032</v>
      </c>
      <c r="F2504" s="43" t="b">
        <v>1</v>
      </c>
      <c r="G2504" s="43" t="b">
        <v>0</v>
      </c>
      <c r="H2504" s="44">
        <v>2410</v>
      </c>
    </row>
    <row r="2505" spans="1:8" x14ac:dyDescent="0.3">
      <c r="A2505" s="42" t="s">
        <v>1276</v>
      </c>
      <c r="B2505" s="3" t="s">
        <v>1114</v>
      </c>
      <c r="C2505" s="4">
        <f t="shared" ca="1" si="110"/>
        <v>46000</v>
      </c>
      <c r="D2505" s="42"/>
      <c r="E2505" s="3" t="s">
        <v>1077</v>
      </c>
      <c r="F2505" s="43" t="b">
        <v>0</v>
      </c>
      <c r="G2505" s="43" t="b">
        <v>0</v>
      </c>
      <c r="H2505" s="44">
        <v>550</v>
      </c>
    </row>
    <row r="2506" spans="1:8" x14ac:dyDescent="0.3">
      <c r="A2506" s="42" t="s">
        <v>1252</v>
      </c>
      <c r="B2506" s="3" t="s">
        <v>1253</v>
      </c>
      <c r="C2506" s="4">
        <f t="shared" ca="1" si="110"/>
        <v>46000</v>
      </c>
      <c r="D2506" s="4">
        <f ca="1">TODAY()-13</f>
        <v>46024</v>
      </c>
      <c r="E2506" s="3" t="s">
        <v>1032</v>
      </c>
      <c r="F2506" s="43" t="b">
        <v>1</v>
      </c>
      <c r="G2506" s="43" t="b">
        <v>0</v>
      </c>
      <c r="H2506" s="44">
        <v>1790</v>
      </c>
    </row>
    <row r="2507" spans="1:8" x14ac:dyDescent="0.3">
      <c r="A2507" s="42" t="s">
        <v>1137</v>
      </c>
      <c r="B2507" s="3" t="s">
        <v>1882</v>
      </c>
      <c r="C2507" s="4">
        <f t="shared" ca="1" si="110"/>
        <v>46000</v>
      </c>
      <c r="D2507" s="42"/>
      <c r="E2507" s="3" t="s">
        <v>1108</v>
      </c>
      <c r="F2507" s="43" t="b">
        <v>0</v>
      </c>
      <c r="G2507" s="43" t="b">
        <v>0</v>
      </c>
      <c r="H2507" s="44">
        <v>1390</v>
      </c>
    </row>
    <row r="2508" spans="1:8" x14ac:dyDescent="0.3">
      <c r="A2508" s="42" t="s">
        <v>1181</v>
      </c>
      <c r="B2508" s="3" t="s">
        <v>1731</v>
      </c>
      <c r="C2508" s="4">
        <f t="shared" ca="1" si="110"/>
        <v>46000</v>
      </c>
      <c r="D2508" s="4">
        <f ca="1">TODAY()-8</f>
        <v>46029</v>
      </c>
      <c r="E2508" s="3" t="s">
        <v>1029</v>
      </c>
      <c r="F2508" s="43" t="b">
        <v>1</v>
      </c>
      <c r="G2508" s="43" t="b">
        <v>1</v>
      </c>
      <c r="H2508" s="44">
        <v>470</v>
      </c>
    </row>
    <row r="2509" spans="1:8" x14ac:dyDescent="0.3">
      <c r="A2509" s="42" t="s">
        <v>1918</v>
      </c>
      <c r="B2509" s="3" t="s">
        <v>1927</v>
      </c>
      <c r="C2509" s="4">
        <f t="shared" ca="1" si="110"/>
        <v>46000</v>
      </c>
      <c r="D2509" s="4">
        <f ca="1">TODAY()-10</f>
        <v>46027</v>
      </c>
      <c r="E2509" s="3" t="s">
        <v>1029</v>
      </c>
      <c r="F2509" s="43" t="b">
        <v>1</v>
      </c>
      <c r="G2509" s="43" t="b">
        <v>1</v>
      </c>
      <c r="H2509" s="44">
        <v>680</v>
      </c>
    </row>
    <row r="2510" spans="1:8" x14ac:dyDescent="0.3">
      <c r="A2510" s="42" t="s">
        <v>1387</v>
      </c>
      <c r="B2510" s="3" t="s">
        <v>1388</v>
      </c>
      <c r="C2510" s="4">
        <f t="shared" ca="1" si="110"/>
        <v>46000</v>
      </c>
      <c r="D2510" s="4">
        <f ca="1">TODAY()-19</f>
        <v>46018</v>
      </c>
      <c r="E2510" s="3" t="s">
        <v>1032</v>
      </c>
      <c r="F2510" s="43" t="b">
        <v>1</v>
      </c>
      <c r="G2510" s="43" t="b">
        <v>0</v>
      </c>
      <c r="H2510" s="44">
        <v>2270</v>
      </c>
    </row>
    <row r="2511" spans="1:8" x14ac:dyDescent="0.3">
      <c r="A2511" s="42" t="s">
        <v>1966</v>
      </c>
      <c r="B2511" s="3" t="s">
        <v>1967</v>
      </c>
      <c r="C2511" s="4">
        <f t="shared" ca="1" si="110"/>
        <v>46000</v>
      </c>
      <c r="D2511" s="4">
        <f ca="1">TODAY()-12</f>
        <v>46025</v>
      </c>
      <c r="E2511" s="3" t="s">
        <v>1032</v>
      </c>
      <c r="F2511" s="43" t="b">
        <v>1</v>
      </c>
      <c r="G2511" s="43" t="b">
        <v>0</v>
      </c>
      <c r="H2511" s="44">
        <v>1270</v>
      </c>
    </row>
    <row r="2512" spans="1:8" x14ac:dyDescent="0.3">
      <c r="A2512" s="42" t="s">
        <v>1278</v>
      </c>
      <c r="B2512" s="3" t="s">
        <v>1279</v>
      </c>
      <c r="C2512" s="4">
        <f t="shared" ca="1" si="110"/>
        <v>46000</v>
      </c>
      <c r="D2512" s="42"/>
      <c r="E2512" s="3" t="s">
        <v>1103</v>
      </c>
      <c r="F2512" s="43" t="b">
        <v>0</v>
      </c>
      <c r="G2512" s="43" t="b">
        <v>0</v>
      </c>
      <c r="H2512" s="44">
        <v>2070</v>
      </c>
    </row>
    <row r="2513" spans="1:8" x14ac:dyDescent="0.3">
      <c r="A2513" s="42" t="s">
        <v>1079</v>
      </c>
      <c r="B2513" s="3" t="s">
        <v>1317</v>
      </c>
      <c r="C2513" s="4">
        <f t="shared" ca="1" si="110"/>
        <v>46000</v>
      </c>
      <c r="D2513" s="4">
        <f ca="1">TODAY()-8</f>
        <v>46029</v>
      </c>
      <c r="E2513" s="3" t="s">
        <v>1029</v>
      </c>
      <c r="F2513" s="43" t="b">
        <v>1</v>
      </c>
      <c r="G2513" s="43" t="b">
        <v>1</v>
      </c>
      <c r="H2513" s="44">
        <v>500</v>
      </c>
    </row>
    <row r="2514" spans="1:8" x14ac:dyDescent="0.3">
      <c r="A2514" s="42" t="s">
        <v>1285</v>
      </c>
      <c r="B2514" s="3" t="s">
        <v>1811</v>
      </c>
      <c r="C2514" s="4">
        <f t="shared" ca="1" si="110"/>
        <v>46000</v>
      </c>
      <c r="D2514" s="4">
        <f ca="1">TODAY()-21</f>
        <v>46016</v>
      </c>
      <c r="E2514" s="3" t="s">
        <v>1029</v>
      </c>
      <c r="F2514" s="43" t="b">
        <v>1</v>
      </c>
      <c r="G2514" s="43" t="b">
        <v>1</v>
      </c>
      <c r="H2514" s="44">
        <v>1350</v>
      </c>
    </row>
    <row r="2515" spans="1:8" x14ac:dyDescent="0.3">
      <c r="A2515" s="42" t="s">
        <v>1626</v>
      </c>
      <c r="B2515" s="3" t="s">
        <v>1874</v>
      </c>
      <c r="C2515" s="4">
        <f t="shared" ca="1" si="110"/>
        <v>46000</v>
      </c>
      <c r="D2515" s="4">
        <f ca="1">TODAY()-7</f>
        <v>46030</v>
      </c>
      <c r="E2515" s="3" t="s">
        <v>1029</v>
      </c>
      <c r="F2515" s="43" t="b">
        <v>1</v>
      </c>
      <c r="G2515" s="43" t="b">
        <v>1</v>
      </c>
      <c r="H2515" s="44">
        <v>1660</v>
      </c>
    </row>
    <row r="2516" spans="1:8" x14ac:dyDescent="0.3">
      <c r="A2516" s="42" t="s">
        <v>1822</v>
      </c>
      <c r="B2516" s="3" t="s">
        <v>1823</v>
      </c>
      <c r="C2516" s="4">
        <f t="shared" ca="1" si="110"/>
        <v>46000</v>
      </c>
      <c r="D2516" s="4">
        <f ca="1">TODAY()-19</f>
        <v>46018</v>
      </c>
      <c r="E2516" s="3" t="s">
        <v>1029</v>
      </c>
      <c r="F2516" s="43" t="b">
        <v>1</v>
      </c>
      <c r="G2516" s="43" t="b">
        <v>1</v>
      </c>
      <c r="H2516" s="44">
        <v>1020</v>
      </c>
    </row>
    <row r="2517" spans="1:8" x14ac:dyDescent="0.3">
      <c r="A2517" s="42" t="s">
        <v>1139</v>
      </c>
      <c r="B2517" s="3" t="s">
        <v>1607</v>
      </c>
      <c r="C2517" s="4">
        <f t="shared" ca="1" si="110"/>
        <v>46000</v>
      </c>
      <c r="D2517" s="42"/>
      <c r="E2517" s="3" t="s">
        <v>1108</v>
      </c>
      <c r="F2517" s="43" t="b">
        <v>0</v>
      </c>
      <c r="G2517" s="43" t="b">
        <v>0</v>
      </c>
      <c r="H2517" s="44">
        <v>510</v>
      </c>
    </row>
    <row r="2518" spans="1:8" x14ac:dyDescent="0.3">
      <c r="A2518" s="42" t="s">
        <v>1786</v>
      </c>
      <c r="B2518" s="3" t="s">
        <v>1787</v>
      </c>
      <c r="C2518" s="4">
        <f t="shared" ca="1" si="110"/>
        <v>46000</v>
      </c>
      <c r="D2518" s="4">
        <f ca="1">TODAY()-19</f>
        <v>46018</v>
      </c>
      <c r="E2518" s="3" t="s">
        <v>1032</v>
      </c>
      <c r="F2518" s="43" t="b">
        <v>1</v>
      </c>
      <c r="G2518" s="43" t="b">
        <v>0</v>
      </c>
      <c r="H2518" s="44">
        <v>2370</v>
      </c>
    </row>
    <row r="2519" spans="1:8" x14ac:dyDescent="0.3">
      <c r="A2519" s="42" t="s">
        <v>1240</v>
      </c>
      <c r="B2519" s="3" t="s">
        <v>1716</v>
      </c>
      <c r="C2519" s="4">
        <f t="shared" ca="1" si="110"/>
        <v>46000</v>
      </c>
      <c r="D2519" s="4">
        <f ca="1">TODAY()-14</f>
        <v>46023</v>
      </c>
      <c r="E2519" s="3" t="s">
        <v>1032</v>
      </c>
      <c r="F2519" s="43" t="b">
        <v>1</v>
      </c>
      <c r="G2519" s="43" t="b">
        <v>0</v>
      </c>
      <c r="H2519" s="44">
        <v>1090</v>
      </c>
    </row>
    <row r="2520" spans="1:8" x14ac:dyDescent="0.3">
      <c r="A2520" s="42" t="s">
        <v>1739</v>
      </c>
      <c r="B2520" s="3" t="s">
        <v>1178</v>
      </c>
      <c r="C2520" s="4">
        <f t="shared" ca="1" si="110"/>
        <v>46000</v>
      </c>
      <c r="D2520" s="4">
        <f ca="1">TODAY()-26</f>
        <v>46011</v>
      </c>
      <c r="E2520" s="3" t="s">
        <v>1029</v>
      </c>
      <c r="F2520" s="43" t="b">
        <v>1</v>
      </c>
      <c r="G2520" s="43" t="b">
        <v>1</v>
      </c>
      <c r="H2520" s="44">
        <v>1850</v>
      </c>
    </row>
    <row r="2521" spans="1:8" x14ac:dyDescent="0.3">
      <c r="A2521" s="42" t="s">
        <v>1099</v>
      </c>
      <c r="B2521" s="3" t="s">
        <v>1975</v>
      </c>
      <c r="C2521" s="4">
        <f t="shared" ca="1" si="110"/>
        <v>46000</v>
      </c>
      <c r="D2521" s="4">
        <f ca="1">TODAY()-14</f>
        <v>46023</v>
      </c>
      <c r="E2521" s="3" t="s">
        <v>1029</v>
      </c>
      <c r="F2521" s="43" t="b">
        <v>1</v>
      </c>
      <c r="G2521" s="43" t="b">
        <v>1</v>
      </c>
      <c r="H2521" s="44">
        <v>1530</v>
      </c>
    </row>
    <row r="2522" spans="1:8" x14ac:dyDescent="0.3">
      <c r="A2522" s="42" t="s">
        <v>1947</v>
      </c>
      <c r="B2522" s="3" t="s">
        <v>1706</v>
      </c>
      <c r="C2522" s="4">
        <f t="shared" ca="1" si="110"/>
        <v>46000</v>
      </c>
      <c r="D2522" s="4">
        <f t="shared" ref="D2522:D2523" ca="1" si="112">TODAY()-13</f>
        <v>46024</v>
      </c>
      <c r="E2522" s="3" t="s">
        <v>1029</v>
      </c>
      <c r="F2522" s="43" t="b">
        <v>1</v>
      </c>
      <c r="G2522" s="43" t="b">
        <v>1</v>
      </c>
      <c r="H2522" s="44">
        <v>1310</v>
      </c>
    </row>
    <row r="2523" spans="1:8" x14ac:dyDescent="0.3">
      <c r="A2523" s="42" t="s">
        <v>1364</v>
      </c>
      <c r="B2523" s="3" t="s">
        <v>1365</v>
      </c>
      <c r="C2523" s="4">
        <f t="shared" ca="1" si="110"/>
        <v>46000</v>
      </c>
      <c r="D2523" s="4">
        <f t="shared" ca="1" si="112"/>
        <v>46024</v>
      </c>
      <c r="E2523" s="3" t="s">
        <v>1029</v>
      </c>
      <c r="F2523" s="43" t="b">
        <v>1</v>
      </c>
      <c r="G2523" s="43" t="b">
        <v>1</v>
      </c>
      <c r="H2523" s="44">
        <v>1190</v>
      </c>
    </row>
    <row r="2524" spans="1:8" x14ac:dyDescent="0.3">
      <c r="A2524" s="42" t="s">
        <v>1729</v>
      </c>
      <c r="B2524" s="3" t="s">
        <v>1730</v>
      </c>
      <c r="C2524" s="4">
        <f t="shared" ca="1" si="110"/>
        <v>46000</v>
      </c>
      <c r="D2524" s="4">
        <f ca="1">TODAY()-14</f>
        <v>46023</v>
      </c>
      <c r="E2524" s="3" t="s">
        <v>1029</v>
      </c>
      <c r="F2524" s="43" t="b">
        <v>1</v>
      </c>
      <c r="G2524" s="43" t="b">
        <v>1</v>
      </c>
      <c r="H2524" s="44">
        <v>950</v>
      </c>
    </row>
    <row r="2525" spans="1:8" x14ac:dyDescent="0.3">
      <c r="A2525" s="42" t="s">
        <v>1632</v>
      </c>
      <c r="B2525" s="3" t="s">
        <v>1633</v>
      </c>
      <c r="C2525" s="4">
        <f t="shared" ca="1" si="110"/>
        <v>46000</v>
      </c>
      <c r="D2525" s="4">
        <f ca="1">TODAY()-7</f>
        <v>46030</v>
      </c>
      <c r="E2525" s="3" t="s">
        <v>1029</v>
      </c>
      <c r="F2525" s="43" t="b">
        <v>1</v>
      </c>
      <c r="G2525" s="43" t="b">
        <v>1</v>
      </c>
      <c r="H2525" s="44">
        <v>1220</v>
      </c>
    </row>
    <row r="2526" spans="1:8" x14ac:dyDescent="0.3">
      <c r="A2526" s="42" t="s">
        <v>1562</v>
      </c>
      <c r="B2526" s="3" t="s">
        <v>1609</v>
      </c>
      <c r="C2526" s="4">
        <f t="shared" ca="1" si="110"/>
        <v>46000</v>
      </c>
      <c r="D2526" s="4">
        <f ca="1">TODAY()-24</f>
        <v>46013</v>
      </c>
      <c r="E2526" s="3" t="s">
        <v>1029</v>
      </c>
      <c r="F2526" s="43" t="b">
        <v>1</v>
      </c>
      <c r="G2526" s="43" t="b">
        <v>1</v>
      </c>
      <c r="H2526" s="44">
        <v>3890</v>
      </c>
    </row>
    <row r="2527" spans="1:8" x14ac:dyDescent="0.3">
      <c r="A2527" s="42" t="s">
        <v>1632</v>
      </c>
      <c r="B2527" s="3" t="s">
        <v>1774</v>
      </c>
      <c r="C2527" s="4">
        <f t="shared" ca="1" si="110"/>
        <v>46000</v>
      </c>
      <c r="D2527" s="4">
        <f ca="1">TODAY()-19</f>
        <v>46018</v>
      </c>
      <c r="E2527" s="3" t="s">
        <v>1029</v>
      </c>
      <c r="F2527" s="43" t="b">
        <v>1</v>
      </c>
      <c r="G2527" s="43" t="b">
        <v>1</v>
      </c>
      <c r="H2527" s="44">
        <v>2360</v>
      </c>
    </row>
    <row r="2528" spans="1:8" x14ac:dyDescent="0.3">
      <c r="A2528" s="42" t="s">
        <v>1679</v>
      </c>
      <c r="B2528" s="3" t="s">
        <v>1587</v>
      </c>
      <c r="C2528" s="4">
        <f t="shared" ca="1" si="110"/>
        <v>46000</v>
      </c>
      <c r="D2528" s="4">
        <f ca="1">TODAY()-12</f>
        <v>46025</v>
      </c>
      <c r="E2528" s="3" t="s">
        <v>1029</v>
      </c>
      <c r="F2528" s="43" t="b">
        <v>1</v>
      </c>
      <c r="G2528" s="43" t="b">
        <v>1</v>
      </c>
      <c r="H2528" s="44">
        <v>790</v>
      </c>
    </row>
    <row r="2529" spans="1:8" x14ac:dyDescent="0.3">
      <c r="A2529" s="42" t="s">
        <v>1779</v>
      </c>
      <c r="B2529" s="3" t="s">
        <v>1607</v>
      </c>
      <c r="C2529" s="4">
        <f t="shared" ca="1" si="110"/>
        <v>46000</v>
      </c>
      <c r="D2529" s="4">
        <f ca="1">TODAY()-17</f>
        <v>46020</v>
      </c>
      <c r="E2529" s="3" t="s">
        <v>1032</v>
      </c>
      <c r="F2529" s="43" t="b">
        <v>1</v>
      </c>
      <c r="G2529" s="43" t="b">
        <v>0</v>
      </c>
      <c r="H2529" s="44">
        <v>1030</v>
      </c>
    </row>
    <row r="2530" spans="1:8" x14ac:dyDescent="0.3">
      <c r="A2530" s="42" t="s">
        <v>1244</v>
      </c>
      <c r="B2530" s="3" t="s">
        <v>1222</v>
      </c>
      <c r="C2530" s="4">
        <f t="shared" ca="1" si="110"/>
        <v>46000</v>
      </c>
      <c r="D2530" s="42"/>
      <c r="E2530" s="3" t="s">
        <v>1037</v>
      </c>
      <c r="F2530" s="43" t="b">
        <v>0</v>
      </c>
      <c r="G2530" s="43" t="b">
        <v>0</v>
      </c>
      <c r="H2530" s="44">
        <v>1250</v>
      </c>
    </row>
    <row r="2531" spans="1:8" x14ac:dyDescent="0.3">
      <c r="A2531" s="42" t="s">
        <v>1505</v>
      </c>
      <c r="B2531" s="3" t="s">
        <v>1506</v>
      </c>
      <c r="C2531" s="4">
        <f t="shared" ca="1" si="110"/>
        <v>46000</v>
      </c>
      <c r="D2531" s="4">
        <f ca="1">TODAY()-22</f>
        <v>46015</v>
      </c>
      <c r="E2531" s="3" t="s">
        <v>1032</v>
      </c>
      <c r="F2531" s="43" t="b">
        <v>1</v>
      </c>
      <c r="G2531" s="43" t="b">
        <v>0</v>
      </c>
      <c r="H2531" s="44">
        <v>2180</v>
      </c>
    </row>
    <row r="2532" spans="1:8" x14ac:dyDescent="0.3">
      <c r="A2532" s="42" t="s">
        <v>1370</v>
      </c>
      <c r="B2532" s="3" t="s">
        <v>1864</v>
      </c>
      <c r="C2532" s="4">
        <f t="shared" ca="1" si="110"/>
        <v>46000</v>
      </c>
      <c r="D2532" s="4">
        <f ca="1">TODAY()-19</f>
        <v>46018</v>
      </c>
      <c r="E2532" s="3" t="s">
        <v>1029</v>
      </c>
      <c r="F2532" s="43" t="b">
        <v>1</v>
      </c>
      <c r="G2532" s="43" t="b">
        <v>1</v>
      </c>
      <c r="H2532" s="44">
        <v>120</v>
      </c>
    </row>
    <row r="2533" spans="1:8" x14ac:dyDescent="0.3">
      <c r="A2533" s="42" t="s">
        <v>1496</v>
      </c>
      <c r="B2533" s="3" t="s">
        <v>1497</v>
      </c>
      <c r="C2533" s="4">
        <f t="shared" ca="1" si="110"/>
        <v>46000</v>
      </c>
      <c r="D2533" s="4">
        <f ca="1">TODAY()-26</f>
        <v>46011</v>
      </c>
      <c r="E2533" s="3" t="s">
        <v>1029</v>
      </c>
      <c r="F2533" s="43" t="b">
        <v>1</v>
      </c>
      <c r="G2533" s="43" t="b">
        <v>1</v>
      </c>
      <c r="H2533" s="44">
        <v>2330</v>
      </c>
    </row>
    <row r="2534" spans="1:8" x14ac:dyDescent="0.3">
      <c r="A2534" s="42" t="s">
        <v>1270</v>
      </c>
      <c r="B2534" s="3" t="s">
        <v>1942</v>
      </c>
      <c r="C2534" s="4">
        <f t="shared" ca="1" si="110"/>
        <v>46000</v>
      </c>
      <c r="D2534" s="4">
        <f ca="1">TODAY()-16</f>
        <v>46021</v>
      </c>
      <c r="E2534" s="3" t="s">
        <v>1032</v>
      </c>
      <c r="F2534" s="43" t="b">
        <v>1</v>
      </c>
      <c r="G2534" s="43" t="b">
        <v>0</v>
      </c>
      <c r="H2534" s="44">
        <v>1120</v>
      </c>
    </row>
    <row r="2535" spans="1:8" x14ac:dyDescent="0.3">
      <c r="A2535" s="42" t="s">
        <v>1399</v>
      </c>
      <c r="B2535" s="3" t="s">
        <v>1400</v>
      </c>
      <c r="C2535" s="4">
        <f t="shared" ca="1" si="110"/>
        <v>46000</v>
      </c>
      <c r="D2535" s="4">
        <f ca="1">TODAY()-8</f>
        <v>46029</v>
      </c>
      <c r="E2535" s="3" t="s">
        <v>1032</v>
      </c>
      <c r="F2535" s="43" t="b">
        <v>1</v>
      </c>
      <c r="G2535" s="43" t="b">
        <v>0</v>
      </c>
      <c r="H2535" s="44">
        <v>1460</v>
      </c>
    </row>
    <row r="2536" spans="1:8" x14ac:dyDescent="0.3">
      <c r="A2536" s="42" t="s">
        <v>1431</v>
      </c>
      <c r="B2536" s="3" t="s">
        <v>1473</v>
      </c>
      <c r="C2536" s="4">
        <f t="shared" ca="1" si="110"/>
        <v>46000</v>
      </c>
      <c r="D2536" s="4">
        <f ca="1">TODAY()-27</f>
        <v>46010</v>
      </c>
      <c r="E2536" s="3" t="s">
        <v>1032</v>
      </c>
      <c r="F2536" s="43" t="b">
        <v>1</v>
      </c>
      <c r="G2536" s="43" t="b">
        <v>0</v>
      </c>
      <c r="H2536" s="44">
        <v>300</v>
      </c>
    </row>
    <row r="2537" spans="1:8" x14ac:dyDescent="0.3">
      <c r="A2537" s="42" t="s">
        <v>1448</v>
      </c>
      <c r="B2537" s="3" t="s">
        <v>1838</v>
      </c>
      <c r="C2537" s="4">
        <f t="shared" ca="1" si="110"/>
        <v>46000</v>
      </c>
      <c r="D2537" s="4">
        <f ca="1">TODAY()-16</f>
        <v>46021</v>
      </c>
      <c r="E2537" s="3" t="s">
        <v>1029</v>
      </c>
      <c r="F2537" s="43" t="b">
        <v>1</v>
      </c>
      <c r="G2537" s="43" t="b">
        <v>1</v>
      </c>
      <c r="H2537" s="44">
        <v>1700</v>
      </c>
    </row>
    <row r="2538" spans="1:8" x14ac:dyDescent="0.3">
      <c r="A2538" s="42" t="s">
        <v>1300</v>
      </c>
      <c r="B2538" s="3" t="s">
        <v>1301</v>
      </c>
      <c r="C2538" s="4">
        <f t="shared" ca="1" si="110"/>
        <v>46000</v>
      </c>
      <c r="D2538" s="4">
        <f ca="1">TODAY()-23</f>
        <v>46014</v>
      </c>
      <c r="E2538" s="3" t="s">
        <v>1029</v>
      </c>
      <c r="F2538" s="43" t="b">
        <v>1</v>
      </c>
      <c r="G2538" s="43" t="b">
        <v>1</v>
      </c>
      <c r="H2538" s="44">
        <v>2040</v>
      </c>
    </row>
    <row r="2539" spans="1:8" x14ac:dyDescent="0.3">
      <c r="A2539" s="42" t="s">
        <v>1062</v>
      </c>
      <c r="B2539" s="3" t="s">
        <v>1904</v>
      </c>
      <c r="C2539" s="4">
        <f t="shared" ca="1" si="110"/>
        <v>46000</v>
      </c>
      <c r="D2539" s="4">
        <f ca="1">TODAY()-14</f>
        <v>46023</v>
      </c>
      <c r="E2539" s="3" t="s">
        <v>1032</v>
      </c>
      <c r="F2539" s="43" t="b">
        <v>1</v>
      </c>
      <c r="G2539" s="43" t="b">
        <v>0</v>
      </c>
      <c r="H2539" s="44">
        <v>900</v>
      </c>
    </row>
    <row r="2540" spans="1:8" x14ac:dyDescent="0.3">
      <c r="A2540" s="42" t="s">
        <v>1654</v>
      </c>
      <c r="B2540" s="3" t="s">
        <v>1921</v>
      </c>
      <c r="C2540" s="4">
        <f t="shared" ca="1" si="110"/>
        <v>46000</v>
      </c>
      <c r="D2540" s="4">
        <f ca="1">TODAY()-15</f>
        <v>46022</v>
      </c>
      <c r="E2540" s="3" t="s">
        <v>1032</v>
      </c>
      <c r="F2540" s="43" t="b">
        <v>1</v>
      </c>
      <c r="G2540" s="43" t="b">
        <v>0</v>
      </c>
      <c r="H2540" s="44">
        <v>1330</v>
      </c>
    </row>
    <row r="2541" spans="1:8" x14ac:dyDescent="0.3">
      <c r="A2541" s="42" t="s">
        <v>1797</v>
      </c>
      <c r="B2541" s="3" t="s">
        <v>1930</v>
      </c>
      <c r="C2541" s="4">
        <f t="shared" ca="1" si="110"/>
        <v>46000</v>
      </c>
      <c r="D2541" s="4">
        <f ca="1">TODAY()-27</f>
        <v>46010</v>
      </c>
      <c r="E2541" s="3" t="s">
        <v>1029</v>
      </c>
      <c r="F2541" s="43" t="b">
        <v>1</v>
      </c>
      <c r="G2541" s="43" t="b">
        <v>1</v>
      </c>
      <c r="H2541" s="44">
        <v>880</v>
      </c>
    </row>
    <row r="2542" spans="1:8" x14ac:dyDescent="0.3">
      <c r="A2542" s="42" t="s">
        <v>1753</v>
      </c>
      <c r="B2542" s="3" t="s">
        <v>1754</v>
      </c>
      <c r="C2542" s="4">
        <f t="shared" ca="1" si="110"/>
        <v>46000</v>
      </c>
      <c r="D2542" s="4">
        <f ca="1">TODAY()-11</f>
        <v>46026</v>
      </c>
      <c r="E2542" s="3" t="s">
        <v>1029</v>
      </c>
      <c r="F2542" s="43" t="b">
        <v>1</v>
      </c>
      <c r="G2542" s="43" t="b">
        <v>1</v>
      </c>
      <c r="H2542" s="44">
        <v>880</v>
      </c>
    </row>
    <row r="2543" spans="1:8" x14ac:dyDescent="0.3">
      <c r="A2543" s="42" t="s">
        <v>1646</v>
      </c>
      <c r="B2543" s="3" t="s">
        <v>1691</v>
      </c>
      <c r="C2543" s="4">
        <f t="shared" ca="1" si="110"/>
        <v>46000</v>
      </c>
      <c r="D2543" s="4">
        <f ca="1">TODAY()-25</f>
        <v>46012</v>
      </c>
      <c r="E2543" s="3" t="s">
        <v>1029</v>
      </c>
      <c r="F2543" s="43" t="b">
        <v>1</v>
      </c>
      <c r="G2543" s="43" t="b">
        <v>1</v>
      </c>
      <c r="H2543" s="44">
        <v>2150</v>
      </c>
    </row>
    <row r="2544" spans="1:8" x14ac:dyDescent="0.3">
      <c r="A2544" s="42" t="s">
        <v>1254</v>
      </c>
      <c r="B2544" s="3" t="s">
        <v>1255</v>
      </c>
      <c r="C2544" s="4">
        <f t="shared" ca="1" si="110"/>
        <v>46000</v>
      </c>
      <c r="D2544" s="4">
        <f ca="1">TODAY()-27</f>
        <v>46010</v>
      </c>
      <c r="E2544" s="3" t="s">
        <v>1029</v>
      </c>
      <c r="F2544" s="43" t="b">
        <v>1</v>
      </c>
      <c r="G2544" s="43" t="b">
        <v>1</v>
      </c>
      <c r="H2544" s="44">
        <v>1210</v>
      </c>
    </row>
    <row r="2545" spans="1:8" x14ac:dyDescent="0.3">
      <c r="A2545" s="42" t="s">
        <v>1429</v>
      </c>
      <c r="B2545" s="3" t="s">
        <v>1430</v>
      </c>
      <c r="C2545" s="4">
        <f t="shared" ca="1" si="110"/>
        <v>46000</v>
      </c>
      <c r="D2545" s="4">
        <f t="shared" ref="D2545:D2546" ca="1" si="113">TODAY()-25</f>
        <v>46012</v>
      </c>
      <c r="E2545" s="3" t="s">
        <v>1029</v>
      </c>
      <c r="F2545" s="43" t="b">
        <v>1</v>
      </c>
      <c r="G2545" s="43" t="b">
        <v>1</v>
      </c>
      <c r="H2545" s="44">
        <v>2560</v>
      </c>
    </row>
    <row r="2546" spans="1:8" x14ac:dyDescent="0.3">
      <c r="A2546" s="42" t="s">
        <v>1298</v>
      </c>
      <c r="B2546" s="3" t="s">
        <v>1222</v>
      </c>
      <c r="C2546" s="4">
        <f t="shared" ca="1" si="110"/>
        <v>46000</v>
      </c>
      <c r="D2546" s="4">
        <f t="shared" ca="1" si="113"/>
        <v>46012</v>
      </c>
      <c r="E2546" s="3" t="s">
        <v>1029</v>
      </c>
      <c r="F2546" s="43" t="b">
        <v>1</v>
      </c>
      <c r="G2546" s="43" t="b">
        <v>1</v>
      </c>
      <c r="H2546" s="44">
        <v>1700</v>
      </c>
    </row>
    <row r="2547" spans="1:8" x14ac:dyDescent="0.3">
      <c r="A2547" s="42" t="s">
        <v>1435</v>
      </c>
      <c r="B2547" s="3" t="s">
        <v>1436</v>
      </c>
      <c r="C2547" s="4">
        <f t="shared" ca="1" si="110"/>
        <v>46000</v>
      </c>
      <c r="D2547" s="42"/>
      <c r="E2547" s="3" t="s">
        <v>1108</v>
      </c>
      <c r="F2547" s="43" t="b">
        <v>0</v>
      </c>
      <c r="G2547" s="43" t="b">
        <v>0</v>
      </c>
      <c r="H2547" s="44">
        <v>190</v>
      </c>
    </row>
    <row r="2548" spans="1:8" x14ac:dyDescent="0.3">
      <c r="A2548" s="42" t="s">
        <v>1794</v>
      </c>
      <c r="B2548" s="3" t="s">
        <v>1795</v>
      </c>
      <c r="C2548" s="4">
        <f t="shared" ca="1" si="110"/>
        <v>46000</v>
      </c>
      <c r="D2548" s="4">
        <f ca="1">TODAY()-7</f>
        <v>46030</v>
      </c>
      <c r="E2548" s="3" t="s">
        <v>1029</v>
      </c>
      <c r="F2548" s="43" t="b">
        <v>1</v>
      </c>
      <c r="G2548" s="43" t="b">
        <v>1</v>
      </c>
      <c r="H2548" s="44">
        <v>1860</v>
      </c>
    </row>
    <row r="2549" spans="1:8" x14ac:dyDescent="0.3">
      <c r="A2549" s="42" t="s">
        <v>1075</v>
      </c>
      <c r="B2549" s="3" t="s">
        <v>1076</v>
      </c>
      <c r="C2549" s="4">
        <f t="shared" ca="1" si="110"/>
        <v>46000</v>
      </c>
      <c r="D2549" s="42"/>
      <c r="E2549" s="3" t="s">
        <v>1077</v>
      </c>
      <c r="F2549" s="43" t="b">
        <v>0</v>
      </c>
      <c r="G2549" s="43" t="b">
        <v>0</v>
      </c>
      <c r="H2549" s="44">
        <v>740</v>
      </c>
    </row>
    <row r="2550" spans="1:8" x14ac:dyDescent="0.3">
      <c r="A2550" s="42" t="s">
        <v>1261</v>
      </c>
      <c r="B2550" s="3" t="s">
        <v>1259</v>
      </c>
      <c r="C2550" s="4">
        <f t="shared" ca="1" si="110"/>
        <v>46000</v>
      </c>
      <c r="D2550" s="42"/>
      <c r="E2550" s="3" t="s">
        <v>1101</v>
      </c>
      <c r="F2550" s="43" t="b">
        <v>0</v>
      </c>
      <c r="G2550" s="43" t="b">
        <v>0</v>
      </c>
      <c r="H2550" s="44">
        <v>840</v>
      </c>
    </row>
    <row r="2551" spans="1:8" x14ac:dyDescent="0.3">
      <c r="A2551" s="42" t="s">
        <v>1591</v>
      </c>
      <c r="B2551" s="3" t="s">
        <v>1592</v>
      </c>
      <c r="C2551" s="4">
        <f t="shared" ca="1" si="110"/>
        <v>46000</v>
      </c>
      <c r="D2551" s="4">
        <f ca="1">TODAY()-11</f>
        <v>46026</v>
      </c>
      <c r="E2551" s="3" t="s">
        <v>1029</v>
      </c>
      <c r="F2551" s="43" t="b">
        <v>1</v>
      </c>
      <c r="G2551" s="43" t="b">
        <v>1</v>
      </c>
      <c r="H2551" s="44">
        <v>1300</v>
      </c>
    </row>
    <row r="2552" spans="1:8" x14ac:dyDescent="0.3">
      <c r="A2552" s="42" t="s">
        <v>1672</v>
      </c>
      <c r="B2552" s="3" t="s">
        <v>1673</v>
      </c>
      <c r="C2552" s="4">
        <f t="shared" ca="1" si="110"/>
        <v>46000</v>
      </c>
      <c r="D2552" s="4">
        <f ca="1">TODAY()-12</f>
        <v>46025</v>
      </c>
      <c r="E2552" s="3" t="s">
        <v>1032</v>
      </c>
      <c r="F2552" s="43" t="b">
        <v>1</v>
      </c>
      <c r="G2552" s="43" t="b">
        <v>0</v>
      </c>
      <c r="H2552" s="44">
        <v>1210</v>
      </c>
    </row>
    <row r="2553" spans="1:8" x14ac:dyDescent="0.3">
      <c r="A2553" s="42" t="s">
        <v>1462</v>
      </c>
      <c r="B2553" s="3" t="s">
        <v>1251</v>
      </c>
      <c r="C2553" s="4">
        <f t="shared" ca="1" si="110"/>
        <v>46000</v>
      </c>
      <c r="D2553" s="42"/>
      <c r="E2553" s="3" t="s">
        <v>1108</v>
      </c>
      <c r="F2553" s="43" t="b">
        <v>0</v>
      </c>
      <c r="G2553" s="43" t="b">
        <v>0</v>
      </c>
      <c r="H2553" s="44">
        <v>1800</v>
      </c>
    </row>
    <row r="2554" spans="1:8" x14ac:dyDescent="0.3">
      <c r="A2554" s="42" t="s">
        <v>1431</v>
      </c>
      <c r="B2554" s="3" t="s">
        <v>1473</v>
      </c>
      <c r="C2554" s="4">
        <f t="shared" ca="1" si="110"/>
        <v>46000</v>
      </c>
      <c r="D2554" s="4">
        <f ca="1">TODAY()-25</f>
        <v>46012</v>
      </c>
      <c r="E2554" s="3" t="s">
        <v>1032</v>
      </c>
      <c r="F2554" s="43" t="b">
        <v>1</v>
      </c>
      <c r="G2554" s="43" t="b">
        <v>0</v>
      </c>
      <c r="H2554" s="44">
        <v>300</v>
      </c>
    </row>
    <row r="2555" spans="1:8" x14ac:dyDescent="0.3">
      <c r="A2555" s="42" t="s">
        <v>1791</v>
      </c>
      <c r="B2555" s="3" t="s">
        <v>1863</v>
      </c>
      <c r="C2555" s="4">
        <f t="shared" ca="1" si="110"/>
        <v>46000</v>
      </c>
      <c r="D2555" s="4">
        <f ca="1">TODAY()-13</f>
        <v>46024</v>
      </c>
      <c r="E2555" s="3" t="s">
        <v>1029</v>
      </c>
      <c r="F2555" s="43" t="b">
        <v>1</v>
      </c>
      <c r="G2555" s="43" t="b">
        <v>1</v>
      </c>
      <c r="H2555" s="44">
        <v>2180</v>
      </c>
    </row>
    <row r="2556" spans="1:8" x14ac:dyDescent="0.3">
      <c r="A2556" s="42" t="s">
        <v>1233</v>
      </c>
      <c r="B2556" s="3" t="s">
        <v>1234</v>
      </c>
      <c r="C2556" s="4">
        <f t="shared" ca="1" si="110"/>
        <v>46000</v>
      </c>
      <c r="D2556" s="4">
        <f ca="1">TODAY()-17</f>
        <v>46020</v>
      </c>
      <c r="E2556" s="3" t="s">
        <v>1029</v>
      </c>
      <c r="F2556" s="43" t="b">
        <v>1</v>
      </c>
      <c r="G2556" s="43" t="b">
        <v>1</v>
      </c>
      <c r="H2556" s="44">
        <v>1820</v>
      </c>
    </row>
    <row r="2557" spans="1:8" x14ac:dyDescent="0.3">
      <c r="A2557" s="42" t="s">
        <v>1543</v>
      </c>
      <c r="B2557" s="3" t="s">
        <v>1388</v>
      </c>
      <c r="C2557" s="4">
        <f t="shared" ca="1" si="110"/>
        <v>46000</v>
      </c>
      <c r="D2557" s="4">
        <f ca="1">TODAY()-24</f>
        <v>46013</v>
      </c>
      <c r="E2557" s="3" t="s">
        <v>1032</v>
      </c>
      <c r="F2557" s="43" t="b">
        <v>1</v>
      </c>
      <c r="G2557" s="43" t="b">
        <v>0</v>
      </c>
      <c r="H2557" s="44">
        <v>1040</v>
      </c>
    </row>
    <row r="2558" spans="1:8" x14ac:dyDescent="0.3">
      <c r="A2558" s="42" t="s">
        <v>1460</v>
      </c>
      <c r="B2558" s="3" t="s">
        <v>1461</v>
      </c>
      <c r="C2558" s="4">
        <f t="shared" ca="1" si="110"/>
        <v>46000</v>
      </c>
      <c r="D2558" s="4">
        <f ca="1">TODAY()-14</f>
        <v>46023</v>
      </c>
      <c r="E2558" s="3" t="s">
        <v>1032</v>
      </c>
      <c r="F2558" s="43" t="b">
        <v>1</v>
      </c>
      <c r="G2558" s="43" t="b">
        <v>0</v>
      </c>
      <c r="H2558" s="44">
        <v>960</v>
      </c>
    </row>
    <row r="2559" spans="1:8" x14ac:dyDescent="0.3">
      <c r="A2559" s="42" t="s">
        <v>1038</v>
      </c>
      <c r="B2559" s="3" t="s">
        <v>1039</v>
      </c>
      <c r="C2559" s="4">
        <f t="shared" ca="1" si="110"/>
        <v>46000</v>
      </c>
      <c r="D2559" s="4">
        <f ca="1">TODAY()-8</f>
        <v>46029</v>
      </c>
      <c r="E2559" s="3" t="s">
        <v>1029</v>
      </c>
      <c r="F2559" s="43" t="b">
        <v>1</v>
      </c>
      <c r="G2559" s="43" t="b">
        <v>1</v>
      </c>
      <c r="H2559" s="44">
        <v>130</v>
      </c>
    </row>
    <row r="2560" spans="1:8" x14ac:dyDescent="0.3">
      <c r="A2560" s="42" t="s">
        <v>1314</v>
      </c>
      <c r="B2560" s="3" t="s">
        <v>1220</v>
      </c>
      <c r="C2560" s="4">
        <f t="shared" ca="1" si="110"/>
        <v>46000</v>
      </c>
      <c r="D2560" s="4">
        <f ca="1">TODAY()-7</f>
        <v>46030</v>
      </c>
      <c r="E2560" s="3" t="s">
        <v>1029</v>
      </c>
      <c r="F2560" s="43" t="b">
        <v>1</v>
      </c>
      <c r="G2560" s="43" t="b">
        <v>1</v>
      </c>
      <c r="H2560" s="44">
        <v>450</v>
      </c>
    </row>
    <row r="2561" spans="1:8" x14ac:dyDescent="0.3">
      <c r="A2561" s="42" t="s">
        <v>1532</v>
      </c>
      <c r="B2561" s="3" t="s">
        <v>1906</v>
      </c>
      <c r="C2561" s="4">
        <f t="shared" ca="1" si="110"/>
        <v>46000</v>
      </c>
      <c r="D2561" s="4">
        <f ca="1">TODAY()-26</f>
        <v>46011</v>
      </c>
      <c r="E2561" s="3" t="s">
        <v>1032</v>
      </c>
      <c r="F2561" s="43" t="b">
        <v>1</v>
      </c>
      <c r="G2561" s="43" t="b">
        <v>0</v>
      </c>
      <c r="H2561" s="44">
        <v>1850</v>
      </c>
    </row>
    <row r="2562" spans="1:8" x14ac:dyDescent="0.3">
      <c r="A2562" s="42" t="s">
        <v>1211</v>
      </c>
      <c r="B2562" s="3" t="s">
        <v>1817</v>
      </c>
      <c r="C2562" s="4">
        <f t="shared" ca="1" si="110"/>
        <v>46000</v>
      </c>
      <c r="D2562" s="4">
        <f ca="1">TODAY()-24</f>
        <v>46013</v>
      </c>
      <c r="E2562" s="3" t="s">
        <v>1029</v>
      </c>
      <c r="F2562" s="43" t="b">
        <v>1</v>
      </c>
      <c r="G2562" s="43" t="b">
        <v>1</v>
      </c>
      <c r="H2562" s="44">
        <v>2470</v>
      </c>
    </row>
    <row r="2563" spans="1:8" x14ac:dyDescent="0.3">
      <c r="A2563" s="42" t="s">
        <v>1957</v>
      </c>
      <c r="B2563" s="3" t="s">
        <v>1367</v>
      </c>
      <c r="C2563" s="4">
        <f t="shared" ca="1" si="110"/>
        <v>46000</v>
      </c>
      <c r="D2563" s="4">
        <f ca="1">TODAY()-22</f>
        <v>46015</v>
      </c>
      <c r="E2563" s="3" t="s">
        <v>1029</v>
      </c>
      <c r="F2563" s="43" t="b">
        <v>1</v>
      </c>
      <c r="G2563" s="43" t="b">
        <v>1</v>
      </c>
      <c r="H2563" s="44">
        <v>950</v>
      </c>
    </row>
    <row r="2564" spans="1:8" x14ac:dyDescent="0.3">
      <c r="A2564" s="42" t="s">
        <v>1268</v>
      </c>
      <c r="B2564" s="3" t="s">
        <v>1269</v>
      </c>
      <c r="C2564" s="4">
        <f t="shared" ca="1" si="110"/>
        <v>46000</v>
      </c>
      <c r="D2564" s="4">
        <f ca="1">TODAY()-17</f>
        <v>46020</v>
      </c>
      <c r="E2564" s="3" t="s">
        <v>1029</v>
      </c>
      <c r="F2564" s="43" t="b">
        <v>1</v>
      </c>
      <c r="G2564" s="43" t="b">
        <v>1</v>
      </c>
      <c r="H2564" s="44">
        <v>830</v>
      </c>
    </row>
    <row r="2565" spans="1:8" x14ac:dyDescent="0.3">
      <c r="A2565" s="42" t="s">
        <v>1799</v>
      </c>
      <c r="B2565" s="3" t="s">
        <v>1889</v>
      </c>
      <c r="C2565" s="4">
        <f t="shared" ca="1" si="110"/>
        <v>46000</v>
      </c>
      <c r="D2565" s="4">
        <f ca="1">TODAY()-12</f>
        <v>46025</v>
      </c>
      <c r="E2565" s="3" t="s">
        <v>1032</v>
      </c>
      <c r="F2565" s="43" t="b">
        <v>1</v>
      </c>
      <c r="G2565" s="43" t="b">
        <v>0</v>
      </c>
      <c r="H2565" s="44">
        <v>1340</v>
      </c>
    </row>
    <row r="2566" spans="1:8" x14ac:dyDescent="0.3">
      <c r="A2566" s="42" t="s">
        <v>1498</v>
      </c>
      <c r="B2566" s="3" t="s">
        <v>1521</v>
      </c>
      <c r="C2566" s="4">
        <f t="shared" ca="1" si="110"/>
        <v>46000</v>
      </c>
      <c r="D2566" s="42"/>
      <c r="E2566" s="3" t="s">
        <v>1077</v>
      </c>
      <c r="F2566" s="43" t="b">
        <v>0</v>
      </c>
      <c r="G2566" s="43" t="b">
        <v>0</v>
      </c>
      <c r="H2566" s="44">
        <v>420</v>
      </c>
    </row>
    <row r="2567" spans="1:8" x14ac:dyDescent="0.3">
      <c r="A2567" s="42" t="s">
        <v>1538</v>
      </c>
      <c r="B2567" s="3" t="s">
        <v>1539</v>
      </c>
      <c r="C2567" s="4">
        <f t="shared" ca="1" si="110"/>
        <v>46000</v>
      </c>
      <c r="D2567" s="42"/>
      <c r="E2567" s="3" t="s">
        <v>1037</v>
      </c>
      <c r="F2567" s="43" t="b">
        <v>0</v>
      </c>
      <c r="G2567" s="43" t="b">
        <v>0</v>
      </c>
      <c r="H2567" s="44">
        <v>780</v>
      </c>
    </row>
    <row r="2568" spans="1:8" x14ac:dyDescent="0.3">
      <c r="A2568" s="42" t="s">
        <v>1245</v>
      </c>
      <c r="B2568" s="3" t="s">
        <v>1246</v>
      </c>
      <c r="C2568" s="4">
        <f t="shared" ca="1" si="110"/>
        <v>46000</v>
      </c>
      <c r="D2568" s="4">
        <f ca="1">TODAY()-23</f>
        <v>46014</v>
      </c>
      <c r="E2568" s="3" t="s">
        <v>1029</v>
      </c>
      <c r="F2568" s="43" t="b">
        <v>1</v>
      </c>
      <c r="G2568" s="43" t="b">
        <v>1</v>
      </c>
      <c r="H2568" s="44">
        <v>1270</v>
      </c>
    </row>
    <row r="2569" spans="1:8" x14ac:dyDescent="0.3">
      <c r="A2569" s="42" t="s">
        <v>1356</v>
      </c>
      <c r="B2569" s="3" t="s">
        <v>1234</v>
      </c>
      <c r="C2569" s="4">
        <f t="shared" ca="1" si="110"/>
        <v>46000</v>
      </c>
      <c r="D2569" s="4">
        <f ca="1">TODAY()-12</f>
        <v>46025</v>
      </c>
      <c r="E2569" s="3" t="s">
        <v>1032</v>
      </c>
      <c r="F2569" s="43" t="b">
        <v>1</v>
      </c>
      <c r="G2569" s="43" t="b">
        <v>0</v>
      </c>
      <c r="H2569" s="44">
        <v>390</v>
      </c>
    </row>
    <row r="2570" spans="1:8" x14ac:dyDescent="0.3">
      <c r="A2570" s="42" t="s">
        <v>1149</v>
      </c>
      <c r="B2570" s="3" t="s">
        <v>1907</v>
      </c>
      <c r="C2570" s="4">
        <f t="shared" ca="1" si="110"/>
        <v>46000</v>
      </c>
      <c r="D2570" s="4">
        <f ca="1">TODAY()-20</f>
        <v>46017</v>
      </c>
      <c r="E2570" s="3" t="s">
        <v>1032</v>
      </c>
      <c r="F2570" s="43" t="b">
        <v>1</v>
      </c>
      <c r="G2570" s="43" t="b">
        <v>0</v>
      </c>
      <c r="H2570" s="44">
        <v>2290</v>
      </c>
    </row>
    <row r="2571" spans="1:8" x14ac:dyDescent="0.3">
      <c r="A2571" s="42" t="s">
        <v>1245</v>
      </c>
      <c r="B2571" s="3" t="s">
        <v>1246</v>
      </c>
      <c r="C2571" s="4">
        <f t="shared" ca="1" si="110"/>
        <v>46000</v>
      </c>
      <c r="D2571" s="4">
        <f ca="1">TODAY()-7</f>
        <v>46030</v>
      </c>
      <c r="E2571" s="3" t="s">
        <v>1029</v>
      </c>
      <c r="F2571" s="43" t="b">
        <v>1</v>
      </c>
      <c r="G2571" s="43" t="b">
        <v>1</v>
      </c>
      <c r="H2571" s="44">
        <v>1270</v>
      </c>
    </row>
    <row r="2572" spans="1:8" x14ac:dyDescent="0.3">
      <c r="A2572" s="42" t="s">
        <v>1245</v>
      </c>
      <c r="B2572" s="3" t="s">
        <v>1275</v>
      </c>
      <c r="C2572" s="4">
        <f t="shared" ca="1" si="110"/>
        <v>46000</v>
      </c>
      <c r="D2572" s="4">
        <f ca="1">TODAY()-20</f>
        <v>46017</v>
      </c>
      <c r="E2572" s="3" t="s">
        <v>1029</v>
      </c>
      <c r="F2572" s="43" t="b">
        <v>1</v>
      </c>
      <c r="G2572" s="43" t="b">
        <v>1</v>
      </c>
      <c r="H2572" s="44">
        <v>1500</v>
      </c>
    </row>
    <row r="2573" spans="1:8" x14ac:dyDescent="0.3">
      <c r="A2573" s="42" t="s">
        <v>1704</v>
      </c>
      <c r="B2573" s="3" t="s">
        <v>1984</v>
      </c>
      <c r="C2573" s="4">
        <f t="shared" ca="1" si="110"/>
        <v>46000</v>
      </c>
      <c r="D2573" s="4">
        <f ca="1">TODAY()-14</f>
        <v>46023</v>
      </c>
      <c r="E2573" s="3" t="s">
        <v>1029</v>
      </c>
      <c r="F2573" s="43" t="b">
        <v>1</v>
      </c>
      <c r="G2573" s="43" t="b">
        <v>1</v>
      </c>
      <c r="H2573" s="44">
        <v>2260</v>
      </c>
    </row>
    <row r="2574" spans="1:8" x14ac:dyDescent="0.3">
      <c r="A2574" s="42" t="s">
        <v>1772</v>
      </c>
      <c r="B2574" s="3" t="s">
        <v>1773</v>
      </c>
      <c r="C2574" s="4">
        <f t="shared" ca="1" si="110"/>
        <v>46000</v>
      </c>
      <c r="D2574" s="4">
        <f ca="1">TODAY()-22</f>
        <v>46015</v>
      </c>
      <c r="E2574" s="3" t="s">
        <v>1029</v>
      </c>
      <c r="F2574" s="43" t="b">
        <v>1</v>
      </c>
      <c r="G2574" s="43" t="b">
        <v>1</v>
      </c>
      <c r="H2574" s="44">
        <v>1140</v>
      </c>
    </row>
    <row r="2575" spans="1:8" x14ac:dyDescent="0.3">
      <c r="A2575" s="42" t="s">
        <v>1955</v>
      </c>
      <c r="B2575" s="3" t="s">
        <v>1968</v>
      </c>
      <c r="C2575" s="4">
        <f t="shared" ca="1" si="110"/>
        <v>46000</v>
      </c>
      <c r="D2575" s="4">
        <f ca="1">TODAY()-25</f>
        <v>46012</v>
      </c>
      <c r="E2575" s="3" t="s">
        <v>1029</v>
      </c>
      <c r="F2575" s="43" t="b">
        <v>1</v>
      </c>
      <c r="G2575" s="43" t="b">
        <v>1</v>
      </c>
      <c r="H2575" s="44">
        <v>1150</v>
      </c>
    </row>
    <row r="2576" spans="1:8" x14ac:dyDescent="0.3">
      <c r="A2576" s="42" t="s">
        <v>1872</v>
      </c>
      <c r="B2576" s="3" t="s">
        <v>1996</v>
      </c>
      <c r="C2576" s="4">
        <f t="shared" ca="1" si="110"/>
        <v>46000</v>
      </c>
      <c r="D2576" s="4">
        <f ca="1">TODAY()-27</f>
        <v>46010</v>
      </c>
      <c r="E2576" s="3" t="s">
        <v>1029</v>
      </c>
      <c r="F2576" s="43" t="b">
        <v>1</v>
      </c>
      <c r="G2576" s="43" t="b">
        <v>1</v>
      </c>
      <c r="H2576" s="44">
        <v>1300</v>
      </c>
    </row>
    <row r="2577" spans="1:8" x14ac:dyDescent="0.3">
      <c r="A2577" s="42" t="s">
        <v>1188</v>
      </c>
      <c r="B2577" s="3" t="s">
        <v>1189</v>
      </c>
      <c r="C2577" s="4">
        <f t="shared" ca="1" si="110"/>
        <v>46000</v>
      </c>
      <c r="D2577" s="42"/>
      <c r="E2577" s="3" t="s">
        <v>1037</v>
      </c>
      <c r="F2577" s="43" t="b">
        <v>0</v>
      </c>
      <c r="G2577" s="43" t="b">
        <v>0</v>
      </c>
      <c r="H2577" s="44">
        <v>2470</v>
      </c>
    </row>
    <row r="2578" spans="1:8" x14ac:dyDescent="0.3">
      <c r="A2578" s="42" t="s">
        <v>1953</v>
      </c>
      <c r="B2578" s="3" t="s">
        <v>1954</v>
      </c>
      <c r="C2578" s="4">
        <f t="shared" ca="1" si="110"/>
        <v>46000</v>
      </c>
      <c r="D2578" s="4">
        <f ca="1">TODAY()-24</f>
        <v>46013</v>
      </c>
      <c r="E2578" s="3" t="s">
        <v>1032</v>
      </c>
      <c r="F2578" s="43" t="b">
        <v>1</v>
      </c>
      <c r="G2578" s="43" t="b">
        <v>0</v>
      </c>
      <c r="H2578" s="44">
        <v>840</v>
      </c>
    </row>
    <row r="2579" spans="1:8" x14ac:dyDescent="0.3">
      <c r="A2579" s="42" t="s">
        <v>1207</v>
      </c>
      <c r="B2579" s="3" t="s">
        <v>1208</v>
      </c>
      <c r="C2579" s="4">
        <f t="shared" ca="1" si="110"/>
        <v>46000</v>
      </c>
      <c r="D2579" s="4">
        <f ca="1">TODAY()-8</f>
        <v>46029</v>
      </c>
      <c r="E2579" s="3" t="s">
        <v>1032</v>
      </c>
      <c r="F2579" s="43" t="b">
        <v>1</v>
      </c>
      <c r="G2579" s="43" t="b">
        <v>0</v>
      </c>
      <c r="H2579" s="44">
        <v>510</v>
      </c>
    </row>
    <row r="2580" spans="1:8" x14ac:dyDescent="0.3">
      <c r="A2580" s="42" t="s">
        <v>1770</v>
      </c>
      <c r="B2580" s="3" t="s">
        <v>1771</v>
      </c>
      <c r="C2580" s="4">
        <f t="shared" ca="1" si="110"/>
        <v>46000</v>
      </c>
      <c r="D2580" s="4">
        <f ca="1">TODAY()-22</f>
        <v>46015</v>
      </c>
      <c r="E2580" s="3" t="s">
        <v>1029</v>
      </c>
      <c r="F2580" s="43" t="b">
        <v>1</v>
      </c>
      <c r="G2580" s="43" t="b">
        <v>1</v>
      </c>
      <c r="H2580" s="44">
        <v>1730</v>
      </c>
    </row>
    <row r="2581" spans="1:8" x14ac:dyDescent="0.3">
      <c r="A2581" s="42" t="s">
        <v>1652</v>
      </c>
      <c r="B2581" s="3" t="s">
        <v>1653</v>
      </c>
      <c r="C2581" s="4">
        <f t="shared" ca="1" si="110"/>
        <v>46000</v>
      </c>
      <c r="D2581" s="4">
        <f ca="1">TODAY()-15</f>
        <v>46022</v>
      </c>
      <c r="E2581" s="3" t="s">
        <v>1029</v>
      </c>
      <c r="F2581" s="43" t="b">
        <v>1</v>
      </c>
      <c r="G2581" s="43" t="b">
        <v>1</v>
      </c>
      <c r="H2581" s="44">
        <v>2060</v>
      </c>
    </row>
    <row r="2582" spans="1:8" x14ac:dyDescent="0.3">
      <c r="A2582" s="42" t="s">
        <v>1318</v>
      </c>
      <c r="B2582" s="3" t="s">
        <v>1956</v>
      </c>
      <c r="C2582" s="4">
        <f t="shared" ca="1" si="110"/>
        <v>46000</v>
      </c>
      <c r="D2582" s="4">
        <f ca="1">TODAY()-14</f>
        <v>46023</v>
      </c>
      <c r="E2582" s="3" t="s">
        <v>1032</v>
      </c>
      <c r="F2582" s="43" t="b">
        <v>1</v>
      </c>
      <c r="G2582" s="43" t="b">
        <v>0</v>
      </c>
      <c r="H2582" s="44">
        <v>1090</v>
      </c>
    </row>
    <row r="2583" spans="1:8" x14ac:dyDescent="0.3">
      <c r="A2583" s="42" t="s">
        <v>1468</v>
      </c>
      <c r="B2583" s="3" t="s">
        <v>1693</v>
      </c>
      <c r="C2583" s="4">
        <f t="shared" ca="1" si="110"/>
        <v>46000</v>
      </c>
      <c r="D2583" s="42"/>
      <c r="E2583" s="3" t="s">
        <v>1103</v>
      </c>
      <c r="F2583" s="43" t="b">
        <v>0</v>
      </c>
      <c r="G2583" s="43" t="b">
        <v>0</v>
      </c>
      <c r="H2583" s="44">
        <v>410</v>
      </c>
    </row>
    <row r="2584" spans="1:8" x14ac:dyDescent="0.3">
      <c r="A2584" s="42" t="s">
        <v>1340</v>
      </c>
      <c r="B2584" s="3" t="s">
        <v>1658</v>
      </c>
      <c r="C2584" s="4">
        <f t="shared" ca="1" si="110"/>
        <v>46000</v>
      </c>
      <c r="D2584" s="4">
        <f ca="1">TODAY()-12</f>
        <v>46025</v>
      </c>
      <c r="E2584" s="3" t="s">
        <v>1032</v>
      </c>
      <c r="F2584" s="43" t="b">
        <v>1</v>
      </c>
      <c r="G2584" s="43" t="b">
        <v>0</v>
      </c>
      <c r="H2584" s="44">
        <v>1840</v>
      </c>
    </row>
    <row r="2585" spans="1:8" x14ac:dyDescent="0.3">
      <c r="A2585" s="42" t="s">
        <v>1910</v>
      </c>
      <c r="B2585" s="3" t="s">
        <v>1911</v>
      </c>
      <c r="C2585" s="4">
        <f t="shared" ca="1" si="110"/>
        <v>46000</v>
      </c>
      <c r="D2585" s="4">
        <f t="shared" ref="D2585:D2586" ca="1" si="114">TODAY()-26</f>
        <v>46011</v>
      </c>
      <c r="E2585" s="3" t="s">
        <v>1029</v>
      </c>
      <c r="F2585" s="43" t="b">
        <v>1</v>
      </c>
      <c r="G2585" s="43" t="b">
        <v>1</v>
      </c>
      <c r="H2585" s="44">
        <v>350</v>
      </c>
    </row>
    <row r="2586" spans="1:8" x14ac:dyDescent="0.3">
      <c r="A2586" s="42" t="s">
        <v>1759</v>
      </c>
      <c r="B2586" s="3" t="s">
        <v>1201</v>
      </c>
      <c r="C2586" s="4">
        <f t="shared" ca="1" si="110"/>
        <v>46000</v>
      </c>
      <c r="D2586" s="4">
        <f t="shared" ca="1" si="114"/>
        <v>46011</v>
      </c>
      <c r="E2586" s="3" t="s">
        <v>1029</v>
      </c>
      <c r="F2586" s="43" t="b">
        <v>1</v>
      </c>
      <c r="G2586" s="43" t="b">
        <v>1</v>
      </c>
      <c r="H2586" s="44">
        <v>830</v>
      </c>
    </row>
    <row r="2587" spans="1:8" x14ac:dyDescent="0.3">
      <c r="A2587" s="42" t="s">
        <v>1685</v>
      </c>
      <c r="B2587" s="3" t="s">
        <v>1686</v>
      </c>
      <c r="C2587" s="4">
        <f t="shared" ca="1" si="110"/>
        <v>46000</v>
      </c>
      <c r="D2587" s="4">
        <f ca="1">TODAY()-9</f>
        <v>46028</v>
      </c>
      <c r="E2587" s="3" t="s">
        <v>1032</v>
      </c>
      <c r="F2587" s="43" t="b">
        <v>1</v>
      </c>
      <c r="G2587" s="43" t="b">
        <v>0</v>
      </c>
      <c r="H2587" s="44">
        <v>1830</v>
      </c>
    </row>
    <row r="2588" spans="1:8" x14ac:dyDescent="0.3">
      <c r="A2588" s="42" t="s">
        <v>1407</v>
      </c>
      <c r="B2588" s="3" t="s">
        <v>1408</v>
      </c>
      <c r="C2588" s="4">
        <f t="shared" ca="1" si="110"/>
        <v>46000</v>
      </c>
      <c r="D2588" s="4">
        <f ca="1">TODAY()-7</f>
        <v>46030</v>
      </c>
      <c r="E2588" s="3" t="s">
        <v>1029</v>
      </c>
      <c r="F2588" s="43" t="b">
        <v>1</v>
      </c>
      <c r="G2588" s="43" t="b">
        <v>1</v>
      </c>
      <c r="H2588" s="44">
        <v>1020</v>
      </c>
    </row>
    <row r="2589" spans="1:8" x14ac:dyDescent="0.3">
      <c r="A2589" s="42" t="s">
        <v>1647</v>
      </c>
      <c r="B2589" s="3" t="s">
        <v>1648</v>
      </c>
      <c r="C2589" s="4">
        <f t="shared" ca="1" si="110"/>
        <v>46000</v>
      </c>
      <c r="D2589" s="42"/>
      <c r="E2589" s="3" t="s">
        <v>1070</v>
      </c>
      <c r="F2589" s="43" t="b">
        <v>0</v>
      </c>
      <c r="G2589" s="43" t="b">
        <v>0</v>
      </c>
      <c r="H2589" s="44">
        <v>1980</v>
      </c>
    </row>
    <row r="2590" spans="1:8" x14ac:dyDescent="0.3">
      <c r="A2590" s="42" t="s">
        <v>1835</v>
      </c>
      <c r="B2590" s="3" t="s">
        <v>1836</v>
      </c>
      <c r="C2590" s="4">
        <f t="shared" ca="1" si="110"/>
        <v>46000</v>
      </c>
      <c r="D2590" s="4">
        <f t="shared" ref="D2590:D2591" ca="1" si="115">TODAY()-16</f>
        <v>46021</v>
      </c>
      <c r="E2590" s="3" t="s">
        <v>1029</v>
      </c>
      <c r="F2590" s="43" t="b">
        <v>1</v>
      </c>
      <c r="G2590" s="43" t="b">
        <v>1</v>
      </c>
      <c r="H2590" s="44">
        <v>1450</v>
      </c>
    </row>
    <row r="2591" spans="1:8" x14ac:dyDescent="0.3">
      <c r="A2591" s="42" t="s">
        <v>1576</v>
      </c>
      <c r="B2591" s="3" t="s">
        <v>1275</v>
      </c>
      <c r="C2591" s="4">
        <f t="shared" ca="1" si="110"/>
        <v>46000</v>
      </c>
      <c r="D2591" s="4">
        <f t="shared" ca="1" si="115"/>
        <v>46021</v>
      </c>
      <c r="E2591" s="3" t="s">
        <v>1032</v>
      </c>
      <c r="F2591" s="43" t="b">
        <v>1</v>
      </c>
      <c r="G2591" s="43" t="b">
        <v>0</v>
      </c>
      <c r="H2591" s="44">
        <v>1140</v>
      </c>
    </row>
    <row r="2592" spans="1:8" x14ac:dyDescent="0.3">
      <c r="A2592" s="42" t="s">
        <v>1950</v>
      </c>
      <c r="B2592" s="3" t="s">
        <v>1951</v>
      </c>
      <c r="C2592" s="4">
        <f t="shared" ca="1" si="110"/>
        <v>46000</v>
      </c>
      <c r="D2592" s="4">
        <f ca="1">TODAY()-7</f>
        <v>46030</v>
      </c>
      <c r="E2592" s="3" t="s">
        <v>1029</v>
      </c>
      <c r="F2592" s="43" t="b">
        <v>1</v>
      </c>
      <c r="G2592" s="43" t="b">
        <v>1</v>
      </c>
      <c r="H2592" s="44">
        <v>580</v>
      </c>
    </row>
    <row r="2593" spans="1:8" x14ac:dyDescent="0.3">
      <c r="A2593" s="42" t="s">
        <v>1474</v>
      </c>
      <c r="B2593" s="3" t="s">
        <v>1555</v>
      </c>
      <c r="C2593" s="4">
        <f t="shared" ca="1" si="110"/>
        <v>46000</v>
      </c>
      <c r="D2593" s="4">
        <f ca="1">TODAY()-9</f>
        <v>46028</v>
      </c>
      <c r="E2593" s="3" t="s">
        <v>1029</v>
      </c>
      <c r="F2593" s="43" t="b">
        <v>1</v>
      </c>
      <c r="G2593" s="43" t="b">
        <v>1</v>
      </c>
      <c r="H2593" s="44">
        <v>340</v>
      </c>
    </row>
    <row r="2594" spans="1:8" x14ac:dyDescent="0.3">
      <c r="A2594" s="42" t="s">
        <v>1899</v>
      </c>
      <c r="B2594" s="3" t="s">
        <v>1900</v>
      </c>
      <c r="C2594" s="4">
        <f t="shared" ca="1" si="110"/>
        <v>46000</v>
      </c>
      <c r="D2594" s="4">
        <f ca="1">TODAY()-14</f>
        <v>46023</v>
      </c>
      <c r="E2594" s="3" t="s">
        <v>1029</v>
      </c>
      <c r="F2594" s="43" t="b">
        <v>1</v>
      </c>
      <c r="G2594" s="43" t="b">
        <v>1</v>
      </c>
      <c r="H2594" s="44">
        <v>410</v>
      </c>
    </row>
    <row r="2595" spans="1:8" x14ac:dyDescent="0.3">
      <c r="A2595" s="42" t="s">
        <v>1612</v>
      </c>
      <c r="B2595" s="3" t="s">
        <v>1755</v>
      </c>
      <c r="C2595" s="4">
        <f t="shared" ca="1" si="110"/>
        <v>46000</v>
      </c>
      <c r="D2595" s="4">
        <f ca="1">TODAY()-17</f>
        <v>46020</v>
      </c>
      <c r="E2595" s="3" t="s">
        <v>1032</v>
      </c>
      <c r="F2595" s="43" t="b">
        <v>1</v>
      </c>
      <c r="G2595" s="43" t="b">
        <v>0</v>
      </c>
      <c r="H2595" s="44">
        <v>1320</v>
      </c>
    </row>
    <row r="2596" spans="1:8" x14ac:dyDescent="0.3">
      <c r="A2596" s="42" t="s">
        <v>1800</v>
      </c>
      <c r="B2596" s="3" t="s">
        <v>1801</v>
      </c>
      <c r="C2596" s="4">
        <f t="shared" ca="1" si="110"/>
        <v>46000</v>
      </c>
      <c r="D2596" s="4">
        <f ca="1">TODAY()-25</f>
        <v>46012</v>
      </c>
      <c r="E2596" s="3" t="s">
        <v>1029</v>
      </c>
      <c r="F2596" s="43" t="b">
        <v>1</v>
      </c>
      <c r="G2596" s="43" t="b">
        <v>1</v>
      </c>
      <c r="H2596" s="44">
        <v>1120</v>
      </c>
    </row>
    <row r="2597" spans="1:8" x14ac:dyDescent="0.3">
      <c r="A2597" s="42" t="s">
        <v>1064</v>
      </c>
      <c r="B2597" s="3" t="s">
        <v>1065</v>
      </c>
      <c r="C2597" s="4">
        <f t="shared" ca="1" si="110"/>
        <v>46000</v>
      </c>
      <c r="D2597" s="4">
        <f ca="1">TODAY()-21</f>
        <v>46016</v>
      </c>
      <c r="E2597" s="3" t="s">
        <v>1029</v>
      </c>
      <c r="F2597" s="43" t="b">
        <v>1</v>
      </c>
      <c r="G2597" s="43" t="b">
        <v>1</v>
      </c>
      <c r="H2597" s="44">
        <v>1210</v>
      </c>
    </row>
    <row r="2598" spans="1:8" x14ac:dyDescent="0.3">
      <c r="A2598" s="42" t="s">
        <v>1985</v>
      </c>
      <c r="B2598" s="3" t="s">
        <v>1986</v>
      </c>
      <c r="C2598" s="4">
        <f t="shared" ca="1" si="110"/>
        <v>46000</v>
      </c>
      <c r="D2598" s="4">
        <f ca="1">TODAY()-22</f>
        <v>46015</v>
      </c>
      <c r="E2598" s="3" t="s">
        <v>1029</v>
      </c>
      <c r="F2598" s="43" t="b">
        <v>1</v>
      </c>
      <c r="G2598" s="43" t="b">
        <v>1</v>
      </c>
      <c r="H2598" s="44">
        <v>890</v>
      </c>
    </row>
    <row r="2599" spans="1:8" x14ac:dyDescent="0.3">
      <c r="A2599" s="42" t="s">
        <v>1583</v>
      </c>
      <c r="B2599" s="3" t="s">
        <v>1775</v>
      </c>
      <c r="C2599" s="4">
        <f t="shared" ca="1" si="110"/>
        <v>46000</v>
      </c>
      <c r="D2599" s="4">
        <f ca="1">TODAY()-11</f>
        <v>46026</v>
      </c>
      <c r="E2599" s="3" t="s">
        <v>1032</v>
      </c>
      <c r="F2599" s="43" t="b">
        <v>1</v>
      </c>
      <c r="G2599" s="43" t="b">
        <v>0</v>
      </c>
      <c r="H2599" s="44">
        <v>1020</v>
      </c>
    </row>
    <row r="2600" spans="1:8" x14ac:dyDescent="0.3">
      <c r="A2600" s="42" t="s">
        <v>1263</v>
      </c>
      <c r="B2600" s="3" t="s">
        <v>1201</v>
      </c>
      <c r="C2600" s="4">
        <f t="shared" ca="1" si="110"/>
        <v>46000</v>
      </c>
      <c r="D2600" s="4">
        <f ca="1">TODAY()-23</f>
        <v>46014</v>
      </c>
      <c r="E2600" s="3" t="s">
        <v>1029</v>
      </c>
      <c r="F2600" s="43" t="b">
        <v>1</v>
      </c>
      <c r="G2600" s="43" t="b">
        <v>1</v>
      </c>
      <c r="H2600" s="44">
        <v>5880</v>
      </c>
    </row>
    <row r="2601" spans="1:8" x14ac:dyDescent="0.3">
      <c r="A2601" s="42" t="s">
        <v>1786</v>
      </c>
      <c r="B2601" s="3" t="s">
        <v>1787</v>
      </c>
      <c r="C2601" s="4">
        <f t="shared" ca="1" si="110"/>
        <v>46000</v>
      </c>
      <c r="D2601" s="4">
        <f ca="1">TODAY()-18</f>
        <v>46019</v>
      </c>
      <c r="E2601" s="3" t="s">
        <v>1032</v>
      </c>
      <c r="F2601" s="43" t="b">
        <v>1</v>
      </c>
      <c r="G2601" s="43" t="b">
        <v>0</v>
      </c>
      <c r="H2601" s="44">
        <v>2370</v>
      </c>
    </row>
    <row r="2602" spans="1:8" x14ac:dyDescent="0.3">
      <c r="A2602" s="42" t="s">
        <v>1165</v>
      </c>
      <c r="B2602" s="3" t="s">
        <v>1481</v>
      </c>
      <c r="C2602" s="4">
        <f t="shared" ca="1" si="110"/>
        <v>46000</v>
      </c>
      <c r="D2602" s="42"/>
      <c r="E2602" s="3" t="s">
        <v>1108</v>
      </c>
      <c r="F2602" s="43" t="b">
        <v>0</v>
      </c>
      <c r="G2602" s="43" t="b">
        <v>0</v>
      </c>
      <c r="H2602" s="44">
        <v>1300</v>
      </c>
    </row>
    <row r="2603" spans="1:8" x14ac:dyDescent="0.3">
      <c r="A2603" s="42" t="s">
        <v>1104</v>
      </c>
      <c r="B2603" s="3" t="s">
        <v>1105</v>
      </c>
      <c r="C2603" s="4">
        <f t="shared" ca="1" si="110"/>
        <v>46000</v>
      </c>
      <c r="D2603" s="4">
        <f ca="1">TODAY()-11</f>
        <v>46026</v>
      </c>
      <c r="E2603" s="3" t="s">
        <v>1032</v>
      </c>
      <c r="F2603" s="43" t="b">
        <v>1</v>
      </c>
      <c r="G2603" s="43" t="b">
        <v>0</v>
      </c>
      <c r="H2603" s="44">
        <v>150</v>
      </c>
    </row>
    <row r="2604" spans="1:8" x14ac:dyDescent="0.3">
      <c r="A2604" s="42" t="s">
        <v>1922</v>
      </c>
      <c r="B2604" s="3" t="s">
        <v>1545</v>
      </c>
      <c r="C2604" s="4">
        <f t="shared" ca="1" si="110"/>
        <v>46000</v>
      </c>
      <c r="D2604" s="42"/>
      <c r="E2604" s="3" t="s">
        <v>1037</v>
      </c>
      <c r="F2604" s="43" t="b">
        <v>0</v>
      </c>
      <c r="G2604" s="43" t="b">
        <v>0</v>
      </c>
      <c r="H2604" s="44">
        <v>2360</v>
      </c>
    </row>
    <row r="2605" spans="1:8" x14ac:dyDescent="0.3">
      <c r="A2605" s="42" t="s">
        <v>1814</v>
      </c>
      <c r="B2605" s="3" t="s">
        <v>1891</v>
      </c>
      <c r="C2605" s="4">
        <f t="shared" ca="1" si="110"/>
        <v>46000</v>
      </c>
      <c r="D2605" s="4">
        <f ca="1">TODAY()-12</f>
        <v>46025</v>
      </c>
      <c r="E2605" s="3" t="s">
        <v>1032</v>
      </c>
      <c r="F2605" s="43" t="b">
        <v>1</v>
      </c>
      <c r="G2605" s="43" t="b">
        <v>0</v>
      </c>
      <c r="H2605" s="44">
        <v>1000</v>
      </c>
    </row>
    <row r="2606" spans="1:8" x14ac:dyDescent="0.3">
      <c r="A2606" s="42" t="s">
        <v>1437</v>
      </c>
      <c r="B2606" s="3" t="s">
        <v>1438</v>
      </c>
      <c r="C2606" s="4">
        <f t="shared" ca="1" si="110"/>
        <v>46000</v>
      </c>
      <c r="D2606" s="4">
        <f ca="1">TODAY()-14</f>
        <v>46023</v>
      </c>
      <c r="E2606" s="3" t="s">
        <v>1029</v>
      </c>
      <c r="F2606" s="43" t="b">
        <v>1</v>
      </c>
      <c r="G2606" s="43" t="b">
        <v>1</v>
      </c>
      <c r="H2606" s="44">
        <v>560</v>
      </c>
    </row>
    <row r="2607" spans="1:8" x14ac:dyDescent="0.3">
      <c r="A2607" s="42" t="s">
        <v>1245</v>
      </c>
      <c r="B2607" s="3" t="s">
        <v>1246</v>
      </c>
      <c r="C2607" s="4">
        <f t="shared" ca="1" si="110"/>
        <v>46000</v>
      </c>
      <c r="D2607" s="4">
        <f ca="1">TODAY()-25</f>
        <v>46012</v>
      </c>
      <c r="E2607" s="3" t="s">
        <v>1029</v>
      </c>
      <c r="F2607" s="43" t="b">
        <v>1</v>
      </c>
      <c r="G2607" s="43" t="b">
        <v>1</v>
      </c>
      <c r="H2607" s="44">
        <v>1270</v>
      </c>
    </row>
    <row r="2608" spans="1:8" x14ac:dyDescent="0.3">
      <c r="A2608" s="42" t="s">
        <v>1776</v>
      </c>
      <c r="B2608" s="3" t="s">
        <v>1777</v>
      </c>
      <c r="C2608" s="4">
        <f t="shared" ca="1" si="110"/>
        <v>46000</v>
      </c>
      <c r="D2608" s="4">
        <f ca="1">TODAY()-23</f>
        <v>46014</v>
      </c>
      <c r="E2608" s="3" t="s">
        <v>1029</v>
      </c>
      <c r="F2608" s="43" t="b">
        <v>1</v>
      </c>
      <c r="G2608" s="43" t="b">
        <v>1</v>
      </c>
      <c r="H2608" s="44">
        <v>1890</v>
      </c>
    </row>
    <row r="2609" spans="1:8" x14ac:dyDescent="0.3">
      <c r="A2609" s="42" t="s">
        <v>1953</v>
      </c>
      <c r="B2609" s="3" t="s">
        <v>1954</v>
      </c>
      <c r="C2609" s="4">
        <f t="shared" ca="1" si="110"/>
        <v>46000</v>
      </c>
      <c r="D2609" s="4">
        <f ca="1">TODAY()-12</f>
        <v>46025</v>
      </c>
      <c r="E2609" s="3" t="s">
        <v>1032</v>
      </c>
      <c r="F2609" s="43" t="b">
        <v>1</v>
      </c>
      <c r="G2609" s="43" t="b">
        <v>0</v>
      </c>
      <c r="H2609" s="44">
        <v>840</v>
      </c>
    </row>
    <row r="2610" spans="1:8" x14ac:dyDescent="0.3">
      <c r="A2610" s="42" t="s">
        <v>1081</v>
      </c>
      <c r="B2610" s="3" t="s">
        <v>1082</v>
      </c>
      <c r="C2610" s="4">
        <f t="shared" ca="1" si="110"/>
        <v>46000</v>
      </c>
      <c r="D2610" s="4">
        <f ca="1">TODAY()-23</f>
        <v>46014</v>
      </c>
      <c r="E2610" s="3" t="s">
        <v>1029</v>
      </c>
      <c r="F2610" s="43" t="b">
        <v>1</v>
      </c>
      <c r="G2610" s="43" t="b">
        <v>1</v>
      </c>
      <c r="H2610" s="44">
        <v>2430</v>
      </c>
    </row>
    <row r="2611" spans="1:8" x14ac:dyDescent="0.3">
      <c r="A2611" s="42" t="s">
        <v>1163</v>
      </c>
      <c r="B2611" s="3" t="s">
        <v>1164</v>
      </c>
      <c r="C2611" s="4">
        <f t="shared" ca="1" si="110"/>
        <v>46000</v>
      </c>
      <c r="D2611" s="4">
        <f ca="1">TODAY()-8</f>
        <v>46029</v>
      </c>
      <c r="E2611" s="3" t="s">
        <v>1029</v>
      </c>
      <c r="F2611" s="43" t="b">
        <v>1</v>
      </c>
      <c r="G2611" s="43" t="b">
        <v>1</v>
      </c>
      <c r="H2611" s="44">
        <v>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77F1"/>
    <outlinePr summaryBelow="0" summaryRight="0"/>
  </sheetPr>
  <dimension ref="A1:AU560"/>
  <sheetViews>
    <sheetView showGridLines="0" tabSelected="1" topLeftCell="A14" zoomScale="51" zoomScaleNormal="100" workbookViewId="0">
      <selection activeCell="AW11" sqref="AW11"/>
    </sheetView>
  </sheetViews>
  <sheetFormatPr defaultColWidth="12.6328125" defaultRowHeight="0" customHeight="1" zeroHeight="1" x14ac:dyDescent="0.3"/>
  <cols>
    <col min="1" max="1" width="2.6328125" style="2" customWidth="1"/>
    <col min="2" max="3" width="15.81640625" style="2" customWidth="1"/>
    <col min="4" max="4" width="19.7265625" style="2" customWidth="1"/>
    <col min="5" max="12" width="16.36328125" style="2" customWidth="1"/>
    <col min="13" max="13" width="17.6328125" style="2" customWidth="1"/>
    <col min="14" max="14" width="16.36328125" style="2" customWidth="1"/>
    <col min="15" max="15" width="21.1796875" style="2" customWidth="1"/>
    <col min="16" max="16" width="2.6328125" style="2" customWidth="1"/>
    <col min="17" max="17" width="2.36328125" style="2" hidden="1" customWidth="1"/>
    <col min="18" max="18" width="12" style="2" hidden="1" customWidth="1"/>
    <col min="19" max="19" width="14.453125" style="2" hidden="1" customWidth="1"/>
    <col min="20" max="20" width="16.36328125" style="2" hidden="1" customWidth="1"/>
    <col min="21" max="21" width="17.6328125" style="2" hidden="1" customWidth="1"/>
    <col min="22" max="22" width="11.6328125" style="2" hidden="1" customWidth="1"/>
    <col min="23" max="23" width="13" style="2" hidden="1" customWidth="1"/>
    <col min="24" max="25" width="13.36328125" style="2" hidden="1" customWidth="1"/>
    <col min="26" max="26" width="2.36328125" style="2" hidden="1" customWidth="1"/>
    <col min="27" max="27" width="12" style="2" hidden="1" customWidth="1"/>
    <col min="28" max="28" width="14.453125" style="2" hidden="1" customWidth="1"/>
    <col min="29" max="29" width="16.36328125" style="2" hidden="1" customWidth="1"/>
    <col min="30" max="30" width="17.6328125" style="2" hidden="1" customWidth="1"/>
    <col min="31" max="31" width="11.6328125" style="2" hidden="1" customWidth="1"/>
    <col min="32" max="32" width="13" style="2" hidden="1" customWidth="1"/>
    <col min="33" max="33" width="2.36328125" style="2" hidden="1" customWidth="1"/>
    <col min="34" max="34" width="12" style="2" hidden="1" customWidth="1"/>
    <col min="35" max="35" width="14.453125" style="2" hidden="1" customWidth="1"/>
    <col min="36" max="36" width="16.36328125" style="2" hidden="1" customWidth="1"/>
    <col min="37" max="37" width="17.6328125" style="2" hidden="1" customWidth="1"/>
    <col min="38" max="38" width="11.6328125" style="2" hidden="1" customWidth="1"/>
    <col min="39" max="39" width="13" style="2" hidden="1" customWidth="1"/>
    <col min="40" max="40" width="2.36328125" style="2" hidden="1" customWidth="1"/>
    <col min="41" max="41" width="12" style="2" hidden="1" customWidth="1"/>
    <col min="42" max="42" width="14.453125" style="2" hidden="1" customWidth="1"/>
    <col min="43" max="43" width="16.36328125" style="2" hidden="1" customWidth="1"/>
    <col min="44" max="44" width="17.6328125" style="2" hidden="1" customWidth="1"/>
    <col min="45" max="45" width="11.6328125" style="2" hidden="1" customWidth="1"/>
    <col min="46" max="46" width="13" style="2" hidden="1" customWidth="1"/>
    <col min="47" max="47" width="0" style="2" hidden="1" customWidth="1"/>
    <col min="48" max="16384" width="12.6328125" style="2"/>
  </cols>
  <sheetData>
    <row r="1" spans="1:47" ht="13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8"/>
      <c r="T1" s="8"/>
      <c r="U1" s="8"/>
      <c r="V1" s="8"/>
      <c r="W1" s="9"/>
      <c r="X1" s="9"/>
      <c r="Y1" s="9"/>
      <c r="Z1" s="6"/>
      <c r="AA1" s="10" t="s">
        <v>0</v>
      </c>
      <c r="AB1" s="8"/>
      <c r="AC1" s="8"/>
      <c r="AD1" s="8"/>
      <c r="AE1" s="8"/>
      <c r="AF1" s="9"/>
      <c r="AG1" s="6"/>
      <c r="AH1" s="10" t="s">
        <v>1</v>
      </c>
      <c r="AI1" s="8"/>
      <c r="AJ1" s="8"/>
      <c r="AK1" s="8"/>
      <c r="AL1" s="8"/>
      <c r="AM1" s="9"/>
      <c r="AN1" s="6"/>
      <c r="AO1" s="10" t="s">
        <v>2</v>
      </c>
      <c r="AP1" s="8"/>
      <c r="AQ1" s="8"/>
      <c r="AR1" s="8"/>
      <c r="AS1" s="8"/>
      <c r="AT1" s="9"/>
    </row>
    <row r="2" spans="1:47" ht="1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0"/>
      <c r="O2" s="61"/>
      <c r="P2" s="61"/>
      <c r="Q2" s="6"/>
      <c r="R2" s="10" t="s">
        <v>3</v>
      </c>
      <c r="S2" s="11" t="s">
        <v>4</v>
      </c>
      <c r="T2" s="11" t="s">
        <v>5</v>
      </c>
      <c r="U2" s="11" t="s">
        <v>6</v>
      </c>
      <c r="V2" s="11" t="s">
        <v>7</v>
      </c>
      <c r="W2" s="12" t="s">
        <v>8</v>
      </c>
      <c r="X2" s="12" t="s">
        <v>9</v>
      </c>
      <c r="Y2" s="12" t="s">
        <v>10</v>
      </c>
      <c r="Z2" s="6"/>
      <c r="AA2" s="10" t="s">
        <v>3</v>
      </c>
      <c r="AB2" s="11" t="s">
        <v>4</v>
      </c>
      <c r="AC2" s="11" t="s">
        <v>5</v>
      </c>
      <c r="AD2" s="11" t="s">
        <v>6</v>
      </c>
      <c r="AE2" s="11" t="s">
        <v>11</v>
      </c>
      <c r="AF2" s="12" t="s">
        <v>12</v>
      </c>
      <c r="AG2" s="6"/>
      <c r="AH2" s="10" t="s">
        <v>3</v>
      </c>
      <c r="AI2" s="11" t="s">
        <v>4</v>
      </c>
      <c r="AJ2" s="11" t="s">
        <v>5</v>
      </c>
      <c r="AK2" s="11" t="s">
        <v>6</v>
      </c>
      <c r="AL2" s="11" t="s">
        <v>11</v>
      </c>
      <c r="AM2" s="12" t="s">
        <v>12</v>
      </c>
      <c r="AN2" s="6"/>
      <c r="AO2" s="10" t="s">
        <v>3</v>
      </c>
      <c r="AP2" s="11" t="s">
        <v>4</v>
      </c>
      <c r="AQ2" s="11" t="s">
        <v>5</v>
      </c>
      <c r="AR2" s="11" t="s">
        <v>6</v>
      </c>
      <c r="AS2" s="11" t="s">
        <v>11</v>
      </c>
      <c r="AT2" s="12" t="s">
        <v>12</v>
      </c>
      <c r="AU2" s="2" t="str">
        <f>AA1</f>
        <v>Linear Regression</v>
      </c>
    </row>
    <row r="3" spans="1:47" ht="37" x14ac:dyDescent="0.85">
      <c r="A3" s="5"/>
      <c r="B3" s="62" t="s">
        <v>13</v>
      </c>
      <c r="C3" s="63"/>
      <c r="D3" s="63"/>
      <c r="E3" s="63"/>
      <c r="F3" s="63"/>
      <c r="G3" s="63"/>
      <c r="H3" s="63"/>
      <c r="I3" s="63"/>
      <c r="J3" s="5"/>
      <c r="K3" s="5"/>
      <c r="L3" s="5"/>
      <c r="M3" s="5"/>
      <c r="N3" s="47"/>
      <c r="O3" s="47"/>
      <c r="P3" s="47"/>
      <c r="Q3" s="6"/>
      <c r="R3" s="13">
        <f ca="1">D14</f>
        <v>46023</v>
      </c>
      <c r="S3" s="8">
        <f t="array" aca="1" ref="S3:W26" ca="1">IF(C6=AA1,AB27:AF50,IF(C6=AH1,AI27:AM50,IF(C6=AO1,AP27:AT50,)))</f>
        <v>88.979183232961773</v>
      </c>
      <c r="T3" s="8">
        <f ca="1"/>
        <v>118.47633493350389</v>
      </c>
      <c r="U3" s="8">
        <f ca="1"/>
        <v>110.40166216407181</v>
      </c>
      <c r="V3" s="8">
        <f ca="1"/>
        <v>61.237095291889197</v>
      </c>
      <c r="W3" s="9">
        <f ca="1"/>
        <v>99793.517418215008</v>
      </c>
      <c r="X3" s="9" cm="1">
        <f t="array" aca="1" ref="X3:X26" ca="1">_xlfn.SCAN(0, W3:W26, _xlfn.LAMBDA(_xlpm.x,_xlpm.y, _xlpm.x + _xlpm.y))</f>
        <v>99793.517418215008</v>
      </c>
      <c r="Y3" s="9" t="str">
        <f t="array" aca="1" ref="Y3:Y26" ca="1">_xlfn.BYROW(W3:W26, _xlfn.LAMBDA(_xlpm.x,
  IF(_xlpm.x = "", "",
    "$" &amp; TEXT(_xlpm.x,
      IF(_xlpm.x &gt;= 1000000, "#,###,,", IF(_xlpm.x &gt;= 1000, "#,###,", "#,###"))
    ) &amp;
    IF(_xlpm.x &gt;= 1000000, "M", IF(_xlpm.x &gt;= 1000, "k", ""))
  )
))</f>
        <v>$100k</v>
      </c>
      <c r="Z3" s="6"/>
      <c r="AA3" s="13">
        <f t="shared" ref="AA3:AA26" ca="1" si="0">EDATE(AA4,-1)</f>
        <v>45292</v>
      </c>
      <c r="AB3" s="8">
        <f ca="1">COUNTIFS('⚡ Leads'!D:D,"&gt;="&amp;AA3,'⚡ Leads'!D:D,"&lt;"&amp;EDATE(AA3,1))</f>
        <v>60</v>
      </c>
      <c r="AC3" s="8">
        <f ca="1">COUNTIFS('⚡ Events'!C:C,"&gt;="&amp;AA3,'⚡ Events'!C:C,"&lt;"&amp;EDATE(AA3,1))</f>
        <v>83</v>
      </c>
      <c r="AD3" s="8">
        <f ca="1">COUNTIFS('⚡ Opportunities'!C:C,"&gt;="&amp;AA3,'⚡ Opportunities'!C:C,"&lt;"&amp;EDATE(AA3,1))</f>
        <v>74</v>
      </c>
      <c r="AE3" s="8">
        <f ca="1">COUNTIFS('⚡ Opportunities'!C:C,"&gt;="&amp;AA3,'⚡ Opportunities'!C:C,"&lt;"&amp;EDATE(AA3,1),'⚡ Opportunities'!F:F,TRUE,'⚡ Opportunities'!G:G,TRUE)</f>
        <v>42</v>
      </c>
      <c r="AF3" s="9">
        <f ca="1">SUMIFS('⚡ Opportunities'!H:H,'⚡ Opportunities'!C:C,"&gt;="&amp;AA3,'⚡ Opportunities'!C:C,"&lt;"&amp;EDATE(AA3,1),'⚡ Opportunities'!F:F,TRUE,'⚡ Opportunities'!G:G,TRUE)</f>
        <v>71170</v>
      </c>
      <c r="AG3" s="6"/>
      <c r="AH3" s="13">
        <f t="shared" ref="AH3:AH26" ca="1" si="1">EDATE(AH4,-1)</f>
        <v>45292</v>
      </c>
      <c r="AI3" s="8">
        <f ca="1">COUNTIFS('⚡ Leads'!D:D,"&gt;="&amp;AA3,'⚡ Leads'!D:D,"&lt;"&amp;EDATE(AA3,1))</f>
        <v>60</v>
      </c>
      <c r="AJ3" s="8">
        <f ca="1">COUNTIFS('⚡ Events'!C:C,"&gt;="&amp;AA3,'⚡ Events'!C:C,"&lt;"&amp;EDATE(AA3,1))</f>
        <v>83</v>
      </c>
      <c r="AK3" s="8">
        <f ca="1">COUNTIFS('⚡ Opportunities'!C:C,"&gt;="&amp;AA3,'⚡ Opportunities'!C:C,"&lt;"&amp;EDATE(AA3,1))</f>
        <v>74</v>
      </c>
      <c r="AL3" s="8">
        <f ca="1">COUNTIFS('⚡ Opportunities'!C:C,"&gt;="&amp;AA3,'⚡ Opportunities'!C:C,"&lt;"&amp;EDATE(AA3,1),'⚡ Opportunities'!F:F,TRUE,'⚡ Opportunities'!G:G,TRUE)</f>
        <v>42</v>
      </c>
      <c r="AM3" s="9">
        <f ca="1">SUMIFS('⚡ Opportunities'!H:H,'⚡ Opportunities'!C:C,"&gt;="&amp;AA3,'⚡ Opportunities'!C:C,"&lt;"&amp;EDATE(AA3,1),'⚡ Opportunities'!F:F,TRUE,'⚡ Opportunities'!G:G,TRUE)</f>
        <v>71170</v>
      </c>
      <c r="AN3" s="6"/>
      <c r="AO3" s="13">
        <f t="shared" ref="AO3:AO26" si="2">EDATE(AO4,-1)</f>
        <v>45231</v>
      </c>
      <c r="AP3" s="8">
        <f ca="1">COUNTIFS('⚡ Leads'!D:D,"&gt;="&amp;AA3,'⚡ Leads'!D:D,"&lt;"&amp;EDATE(AA3,1))</f>
        <v>60</v>
      </c>
      <c r="AQ3" s="8">
        <f ca="1">COUNTIFS('⚡ Events'!C:C,"&gt;="&amp;AA3,'⚡ Events'!C:C,"&lt;"&amp;EDATE(AA3,1))</f>
        <v>83</v>
      </c>
      <c r="AR3" s="8">
        <f ca="1">COUNTIFS('⚡ Opportunities'!C:C,"&gt;="&amp;AA3,'⚡ Opportunities'!C:C,"&lt;"&amp;EDATE(AA3,1))</f>
        <v>74</v>
      </c>
      <c r="AS3" s="8">
        <f ca="1">COUNTIFS('⚡ Opportunities'!C:C,"&gt;="&amp;AA3,'⚡ Opportunities'!C:C,"&lt;"&amp;EDATE(AA3,1),'⚡ Opportunities'!F:F,TRUE,'⚡ Opportunities'!G:G,TRUE)</f>
        <v>42</v>
      </c>
      <c r="AT3" s="9">
        <f ca="1">SUMIFS('⚡ Opportunities'!H:H,'⚡ Opportunities'!C:C,"&gt;="&amp;AA3,'⚡ Opportunities'!C:C,"&lt;"&amp;EDATE(AA3,1),'⚡ Opportunities'!F:F,TRUE,'⚡ Opportunities'!G:G,TRUE)</f>
        <v>71170</v>
      </c>
      <c r="AU3" s="2" t="str">
        <f>AH1</f>
        <v>Moving Average</v>
      </c>
    </row>
    <row r="4" spans="1:47" ht="13" x14ac:dyDescent="0.3">
      <c r="A4" s="14"/>
      <c r="B4" s="15"/>
      <c r="C4" s="14"/>
      <c r="D4" s="14"/>
      <c r="E4" s="14"/>
      <c r="F4" s="5"/>
      <c r="G4" s="5"/>
      <c r="H4" s="5"/>
      <c r="I4" s="5"/>
      <c r="J4" s="5"/>
      <c r="K4" s="5"/>
      <c r="L4" s="5"/>
      <c r="M4" s="5"/>
      <c r="N4" s="47"/>
      <c r="O4" s="47"/>
      <c r="P4" s="47"/>
      <c r="Q4" s="6"/>
      <c r="R4" s="13" cm="1">
        <f t="array" aca="1" ref="R4:R26" ca="1">IFERROR(_xlfn.BYROW(_xlfn.SEQUENCE(23),_xlfn.LAMBDA(_xlpm.x,IFERROR(DATE(YEAR(R3),MONTH(R3)+_xlpm.x,1),"Month "&amp;(_xlpm.x+1)))),"")</f>
        <v>46054</v>
      </c>
      <c r="S4" s="8">
        <f ca="1"/>
        <v>89.149742990549314</v>
      </c>
      <c r="T4" s="8">
        <f ca="1"/>
        <v>118.71601524463073</v>
      </c>
      <c r="U4" s="8">
        <f ca="1"/>
        <v>110.60535327149522</v>
      </c>
      <c r="V4" s="8">
        <f ca="1"/>
        <v>61.192973792111857</v>
      </c>
      <c r="W4" s="9">
        <f ca="1"/>
        <v>99950.891669412144</v>
      </c>
      <c r="X4" s="9">
        <f ca="1"/>
        <v>199744.40908762714</v>
      </c>
      <c r="Y4" s="9" t="str">
        <f ca="1"/>
        <v>$100k</v>
      </c>
      <c r="Z4" s="6"/>
      <c r="AA4" s="13">
        <f t="shared" ca="1" si="0"/>
        <v>45323</v>
      </c>
      <c r="AB4" s="8">
        <f ca="1">COUNTIFS('⚡ Leads'!D:D,"&gt;="&amp;AA4,'⚡ Leads'!D:D,"&lt;"&amp;EDATE(AA4,1))</f>
        <v>63</v>
      </c>
      <c r="AC4" s="8">
        <f ca="1">COUNTIFS('⚡ Events'!C:C,"&gt;="&amp;AA4,'⚡ Events'!C:C,"&lt;"&amp;EDATE(AA4,1))</f>
        <v>86</v>
      </c>
      <c r="AD4" s="8">
        <f ca="1">COUNTIFS('⚡ Opportunities'!C:C,"&gt;="&amp;AA4,'⚡ Opportunities'!C:C,"&lt;"&amp;EDATE(AA4,1))</f>
        <v>80</v>
      </c>
      <c r="AE4" s="8">
        <f ca="1">COUNTIFS('⚡ Opportunities'!C:C,"&gt;="&amp;AA4,'⚡ Opportunities'!C:C,"&lt;"&amp;EDATE(AA4,1),'⚡ Opportunities'!F:F,TRUE,'⚡ Opportunities'!G:G,TRUE)</f>
        <v>40</v>
      </c>
      <c r="AF4" s="9">
        <f ca="1">SUMIFS('⚡ Opportunities'!H:H,'⚡ Opportunities'!C:C,"&gt;="&amp;AA4,'⚡ Opportunities'!C:C,"&lt;"&amp;EDATE(AA4,1),'⚡ Opportunities'!F:F,TRUE,'⚡ Opportunities'!G:G,TRUE)</f>
        <v>70960</v>
      </c>
      <c r="AG4" s="6"/>
      <c r="AH4" s="13">
        <f t="shared" ca="1" si="1"/>
        <v>45323</v>
      </c>
      <c r="AI4" s="8">
        <f ca="1">COUNTIFS('⚡ Leads'!D:D,"&gt;="&amp;AA4,'⚡ Leads'!D:D,"&lt;"&amp;EDATE(AA4,1))</f>
        <v>63</v>
      </c>
      <c r="AJ4" s="8">
        <f ca="1">COUNTIFS('⚡ Events'!C:C,"&gt;="&amp;AA4,'⚡ Events'!C:C,"&lt;"&amp;EDATE(AA4,1))</f>
        <v>86</v>
      </c>
      <c r="AK4" s="8">
        <f ca="1">COUNTIFS('⚡ Opportunities'!C:C,"&gt;="&amp;AA4,'⚡ Opportunities'!C:C,"&lt;"&amp;EDATE(AA4,1))</f>
        <v>80</v>
      </c>
      <c r="AL4" s="8">
        <f ca="1">COUNTIFS('⚡ Opportunities'!C:C,"&gt;="&amp;AA4,'⚡ Opportunities'!C:C,"&lt;"&amp;EDATE(AA4,1),'⚡ Opportunities'!F:F,TRUE,'⚡ Opportunities'!G:G,TRUE)</f>
        <v>40</v>
      </c>
      <c r="AM4" s="9">
        <f ca="1">SUMIFS('⚡ Opportunities'!H:H,'⚡ Opportunities'!C:C,"&gt;="&amp;AA4,'⚡ Opportunities'!C:C,"&lt;"&amp;EDATE(AA4,1),'⚡ Opportunities'!F:F,TRUE,'⚡ Opportunities'!G:G,TRUE)</f>
        <v>70960</v>
      </c>
      <c r="AN4" s="6"/>
      <c r="AO4" s="13">
        <f t="shared" si="2"/>
        <v>45261</v>
      </c>
      <c r="AP4" s="8">
        <f ca="1">COUNTIFS('⚡ Leads'!D:D,"&gt;="&amp;AA4,'⚡ Leads'!D:D,"&lt;"&amp;EDATE(AA4,1))</f>
        <v>63</v>
      </c>
      <c r="AQ4" s="8">
        <f ca="1">COUNTIFS('⚡ Events'!C:C,"&gt;="&amp;AA4,'⚡ Events'!C:C,"&lt;"&amp;EDATE(AA4,1))</f>
        <v>86</v>
      </c>
      <c r="AR4" s="8">
        <f ca="1">COUNTIFS('⚡ Opportunities'!C:C,"&gt;="&amp;AA4,'⚡ Opportunities'!C:C,"&lt;"&amp;EDATE(AA4,1))</f>
        <v>80</v>
      </c>
      <c r="AS4" s="8">
        <f ca="1">COUNTIFS('⚡ Opportunities'!C:C,"&gt;="&amp;AA4,'⚡ Opportunities'!C:C,"&lt;"&amp;EDATE(AA4,1),'⚡ Opportunities'!F:F,TRUE,'⚡ Opportunities'!G:G,TRUE)</f>
        <v>40</v>
      </c>
      <c r="AT4" s="9">
        <f ca="1">SUMIFS('⚡ Opportunities'!H:H,'⚡ Opportunities'!C:C,"&gt;="&amp;AA4,'⚡ Opportunities'!C:C,"&lt;"&amp;EDATE(AA4,1),'⚡ Opportunities'!F:F,TRUE,'⚡ Opportunities'!G:G,TRUE)</f>
        <v>70960</v>
      </c>
      <c r="AU4" s="2" t="str">
        <f>AO1</f>
        <v>Simple Exponential Smoothing</v>
      </c>
    </row>
    <row r="5" spans="1:47" ht="13" x14ac:dyDescent="0.3">
      <c r="A5" s="3"/>
      <c r="B5" s="16"/>
      <c r="C5" s="16"/>
      <c r="D5" s="3"/>
      <c r="E5" s="3"/>
      <c r="F5" s="3"/>
      <c r="G5" s="3"/>
      <c r="H5" s="3"/>
      <c r="I5" s="3"/>
      <c r="J5" s="3"/>
      <c r="K5" s="3"/>
      <c r="L5" s="16"/>
      <c r="M5" s="16"/>
      <c r="N5" s="16"/>
      <c r="O5" s="16"/>
      <c r="P5" s="16"/>
      <c r="Q5" s="6"/>
      <c r="R5" s="13">
        <f ca="1"/>
        <v>46082</v>
      </c>
      <c r="S5" s="8">
        <f ca="1"/>
        <v>89.417364243566965</v>
      </c>
      <c r="T5" s="8">
        <f ca="1"/>
        <v>119.05735967288079</v>
      </c>
      <c r="U5" s="8">
        <f ca="1"/>
        <v>110.95189854886331</v>
      </c>
      <c r="V5" s="8">
        <f ca="1"/>
        <v>61.183476283961895</v>
      </c>
      <c r="W5" s="9">
        <f ca="1"/>
        <v>99972.213325304125</v>
      </c>
      <c r="X5" s="9">
        <f ca="1"/>
        <v>299716.62241293129</v>
      </c>
      <c r="Y5" s="9" t="str">
        <f ca="1"/>
        <v>$100k</v>
      </c>
      <c r="Z5" s="6"/>
      <c r="AA5" s="13">
        <f t="shared" ca="1" si="0"/>
        <v>45352</v>
      </c>
      <c r="AB5" s="8">
        <f ca="1">COUNTIFS('⚡ Leads'!D:D,"&gt;="&amp;AA5,'⚡ Leads'!D:D,"&lt;"&amp;EDATE(AA5,1))</f>
        <v>67</v>
      </c>
      <c r="AC5" s="8">
        <f ca="1">COUNTIFS('⚡ Events'!C:C,"&gt;="&amp;AA5,'⚡ Events'!C:C,"&lt;"&amp;EDATE(AA5,1))</f>
        <v>93</v>
      </c>
      <c r="AD5" s="8">
        <f ca="1">COUNTIFS('⚡ Opportunities'!C:C,"&gt;="&amp;AA5,'⚡ Opportunities'!C:C,"&lt;"&amp;EDATE(AA5,1))</f>
        <v>84</v>
      </c>
      <c r="AE5" s="8">
        <f ca="1">COUNTIFS('⚡ Opportunities'!C:C,"&gt;="&amp;AA5,'⚡ Opportunities'!C:C,"&lt;"&amp;EDATE(AA5,1),'⚡ Opportunities'!F:F,TRUE,'⚡ Opportunities'!G:G,TRUE)</f>
        <v>44</v>
      </c>
      <c r="AF5" s="9">
        <f ca="1">SUMIFS('⚡ Opportunities'!H:H,'⚡ Opportunities'!C:C,"&gt;="&amp;AA5,'⚡ Opportunities'!C:C,"&lt;"&amp;EDATE(AA5,1),'⚡ Opportunities'!F:F,TRUE,'⚡ Opportunities'!G:G,TRUE)</f>
        <v>49640</v>
      </c>
      <c r="AG5" s="6"/>
      <c r="AH5" s="13">
        <f t="shared" ca="1" si="1"/>
        <v>45352</v>
      </c>
      <c r="AI5" s="8">
        <f ca="1">COUNTIFS('⚡ Leads'!D:D,"&gt;="&amp;AA5,'⚡ Leads'!D:D,"&lt;"&amp;EDATE(AA5,1))</f>
        <v>67</v>
      </c>
      <c r="AJ5" s="8">
        <f ca="1">COUNTIFS('⚡ Events'!C:C,"&gt;="&amp;AA5,'⚡ Events'!C:C,"&lt;"&amp;EDATE(AA5,1))</f>
        <v>93</v>
      </c>
      <c r="AK5" s="8">
        <f ca="1">COUNTIFS('⚡ Opportunities'!C:C,"&gt;="&amp;AA5,'⚡ Opportunities'!C:C,"&lt;"&amp;EDATE(AA5,1))</f>
        <v>84</v>
      </c>
      <c r="AL5" s="8">
        <f ca="1">COUNTIFS('⚡ Opportunities'!C:C,"&gt;="&amp;AA5,'⚡ Opportunities'!C:C,"&lt;"&amp;EDATE(AA5,1),'⚡ Opportunities'!F:F,TRUE,'⚡ Opportunities'!G:G,TRUE)</f>
        <v>44</v>
      </c>
      <c r="AM5" s="9">
        <f ca="1">SUMIFS('⚡ Opportunities'!H:H,'⚡ Opportunities'!C:C,"&gt;="&amp;AA5,'⚡ Opportunities'!C:C,"&lt;"&amp;EDATE(AA5,1),'⚡ Opportunities'!F:F,TRUE,'⚡ Opportunities'!G:G,TRUE)</f>
        <v>49640</v>
      </c>
      <c r="AN5" s="6"/>
      <c r="AO5" s="13">
        <f t="shared" si="2"/>
        <v>45292</v>
      </c>
      <c r="AP5" s="8">
        <f ca="1">COUNTIFS('⚡ Leads'!D:D,"&gt;="&amp;AA5,'⚡ Leads'!D:D,"&lt;"&amp;EDATE(AA5,1))</f>
        <v>67</v>
      </c>
      <c r="AQ5" s="8">
        <f ca="1">COUNTIFS('⚡ Events'!C:C,"&gt;="&amp;AA5,'⚡ Events'!C:C,"&lt;"&amp;EDATE(AA5,1))</f>
        <v>93</v>
      </c>
      <c r="AR5" s="8">
        <f ca="1">COUNTIFS('⚡ Opportunities'!C:C,"&gt;="&amp;AA5,'⚡ Opportunities'!C:C,"&lt;"&amp;EDATE(AA5,1))</f>
        <v>84</v>
      </c>
      <c r="AS5" s="8">
        <f ca="1">COUNTIFS('⚡ Opportunities'!C:C,"&gt;="&amp;AA5,'⚡ Opportunities'!C:C,"&lt;"&amp;EDATE(AA5,1),'⚡ Opportunities'!F:F,TRUE,'⚡ Opportunities'!G:G,TRUE)</f>
        <v>44</v>
      </c>
      <c r="AT5" s="9">
        <f ca="1">SUMIFS('⚡ Opportunities'!H:H,'⚡ Opportunities'!C:C,"&gt;="&amp;AA5,'⚡ Opportunities'!C:C,"&lt;"&amp;EDATE(AA5,1),'⚡ Opportunities'!F:F,TRUE,'⚡ Opportunities'!G:G,TRUE)</f>
        <v>49640</v>
      </c>
    </row>
    <row r="6" spans="1:47" ht="27" customHeight="1" x14ac:dyDescent="0.3">
      <c r="A6" s="17"/>
      <c r="B6" s="18" t="s">
        <v>14</v>
      </c>
      <c r="C6" s="64" t="s">
        <v>2</v>
      </c>
      <c r="D6" s="47"/>
      <c r="E6" s="17"/>
      <c r="F6" s="19" t="str">
        <f>IF(C6=AO1,"Smoothing Parameter:","")</f>
        <v>Smoothing Parameter:</v>
      </c>
      <c r="G6" s="20">
        <v>0.8</v>
      </c>
      <c r="H6" s="19" t="str">
        <f>IF(C6=AH1,"No. of Months to Consider:","")</f>
        <v/>
      </c>
      <c r="I6" s="21">
        <v>12</v>
      </c>
      <c r="J6" s="17"/>
      <c r="K6" s="17"/>
      <c r="L6" s="22"/>
      <c r="M6" s="22"/>
      <c r="N6" s="22"/>
      <c r="O6" s="22"/>
      <c r="P6" s="22"/>
      <c r="Q6" s="23"/>
      <c r="R6" s="24">
        <f ca="1"/>
        <v>46113</v>
      </c>
      <c r="S6" s="8">
        <f ca="1"/>
        <v>89.718724354728948</v>
      </c>
      <c r="T6" s="8">
        <f ca="1"/>
        <v>119.42522768222062</v>
      </c>
      <c r="U6" s="8">
        <f ca="1"/>
        <v>111.34621593015618</v>
      </c>
      <c r="V6" s="8">
        <f ca="1"/>
        <v>61.295683880782647</v>
      </c>
      <c r="W6" s="9">
        <f ca="1"/>
        <v>100038.59080678599</v>
      </c>
      <c r="X6" s="9">
        <f ca="1"/>
        <v>399755.21321971726</v>
      </c>
      <c r="Y6" s="9" t="str">
        <f ca="1"/>
        <v>$100k</v>
      </c>
      <c r="Z6" s="23"/>
      <c r="AA6" s="24">
        <f t="shared" ca="1" si="0"/>
        <v>45383</v>
      </c>
      <c r="AB6" s="25">
        <f ca="1">COUNTIFS('⚡ Leads'!D:D,"&gt;="&amp;AA6,'⚡ Leads'!D:D,"&lt;"&amp;EDATE(AA6,1))</f>
        <v>71</v>
      </c>
      <c r="AC6" s="25">
        <f ca="1">COUNTIFS('⚡ Events'!C:C,"&gt;="&amp;AA6,'⚡ Events'!C:C,"&lt;"&amp;EDATE(AA6,1))</f>
        <v>97</v>
      </c>
      <c r="AD6" s="25">
        <f ca="1">COUNTIFS('⚡ Opportunities'!C:C,"&gt;="&amp;AA6,'⚡ Opportunities'!C:C,"&lt;"&amp;EDATE(AA6,1))</f>
        <v>86</v>
      </c>
      <c r="AE6" s="25">
        <f ca="1">COUNTIFS('⚡ Opportunities'!C:C,"&gt;="&amp;AA6,'⚡ Opportunities'!C:C,"&lt;"&amp;EDATE(AA6,1),'⚡ Opportunities'!F:F,TRUE,'⚡ Opportunities'!G:G,TRUE)</f>
        <v>39</v>
      </c>
      <c r="AF6" s="26">
        <f ca="1">SUMIFS('⚡ Opportunities'!H:H,'⚡ Opportunities'!C:C,"&gt;="&amp;AA6,'⚡ Opportunities'!C:C,"&lt;"&amp;EDATE(AA6,1),'⚡ Opportunities'!F:F,TRUE,'⚡ Opportunities'!G:G,TRUE)</f>
        <v>54800</v>
      </c>
      <c r="AG6" s="23"/>
      <c r="AH6" s="24">
        <f t="shared" ca="1" si="1"/>
        <v>45383</v>
      </c>
      <c r="AI6" s="25">
        <f ca="1">COUNTIFS('⚡ Leads'!D:D,"&gt;="&amp;AA6,'⚡ Leads'!D:D,"&lt;"&amp;EDATE(AA6,1))</f>
        <v>71</v>
      </c>
      <c r="AJ6" s="25">
        <f ca="1">COUNTIFS('⚡ Events'!C:C,"&gt;="&amp;AA6,'⚡ Events'!C:C,"&lt;"&amp;EDATE(AA6,1))</f>
        <v>97</v>
      </c>
      <c r="AK6" s="25">
        <f ca="1">COUNTIFS('⚡ Opportunities'!C:C,"&gt;="&amp;AA6,'⚡ Opportunities'!C:C,"&lt;"&amp;EDATE(AA6,1))</f>
        <v>86</v>
      </c>
      <c r="AL6" s="25">
        <f ca="1">COUNTIFS('⚡ Opportunities'!C:C,"&gt;="&amp;AA6,'⚡ Opportunities'!C:C,"&lt;"&amp;EDATE(AA6,1),'⚡ Opportunities'!F:F,TRUE,'⚡ Opportunities'!G:G,TRUE)</f>
        <v>39</v>
      </c>
      <c r="AM6" s="26">
        <f ca="1">SUMIFS('⚡ Opportunities'!H:H,'⚡ Opportunities'!C:C,"&gt;="&amp;AA6,'⚡ Opportunities'!C:C,"&lt;"&amp;EDATE(AA6,1),'⚡ Opportunities'!F:F,TRUE,'⚡ Opportunities'!G:G,TRUE)</f>
        <v>54800</v>
      </c>
      <c r="AN6" s="23"/>
      <c r="AO6" s="24">
        <f t="shared" si="2"/>
        <v>45323</v>
      </c>
      <c r="AP6" s="8">
        <f ca="1">COUNTIFS('⚡ Leads'!D:D,"&gt;="&amp;AA6,'⚡ Leads'!D:D,"&lt;"&amp;EDATE(AA6,1))</f>
        <v>71</v>
      </c>
      <c r="AQ6" s="8">
        <f ca="1">COUNTIFS('⚡ Events'!C:C,"&gt;="&amp;AA6,'⚡ Events'!C:C,"&lt;"&amp;EDATE(AA6,1))</f>
        <v>97</v>
      </c>
      <c r="AR6" s="8">
        <f ca="1">COUNTIFS('⚡ Opportunities'!C:C,"&gt;="&amp;AA6,'⚡ Opportunities'!C:C,"&lt;"&amp;EDATE(AA6,1))</f>
        <v>86</v>
      </c>
      <c r="AS6" s="8">
        <f ca="1">COUNTIFS('⚡ Opportunities'!C:C,"&gt;="&amp;AA6,'⚡ Opportunities'!C:C,"&lt;"&amp;EDATE(AA6,1),'⚡ Opportunities'!F:F,TRUE,'⚡ Opportunities'!G:G,TRUE)</f>
        <v>39</v>
      </c>
      <c r="AT6" s="9">
        <f ca="1">SUMIFS('⚡ Opportunities'!H:H,'⚡ Opportunities'!C:C,"&gt;="&amp;AA6,'⚡ Opportunities'!C:C,"&lt;"&amp;EDATE(AA6,1),'⚡ Opportunities'!F:F,TRUE,'⚡ Opportunities'!G:G,TRUE)</f>
        <v>54800</v>
      </c>
    </row>
    <row r="7" spans="1:47" ht="13" x14ac:dyDescent="0.3">
      <c r="A7" s="3"/>
      <c r="B7" s="16"/>
      <c r="C7" s="65" t="str">
        <f>IF(C6=AA1,"***The method utilizes a minimum of two years' worth of historical data. Use of this method with less than two years of data may result in inaccurate or unreliable forecasts.",
IF(C6=AH1,"***This method averages data over the past five months, and assumes consistent patterns over time. Limited or highly fluctuating data may not reflect actual trends accurately,",
IF(C6=AO1,"*** This method uses a smoothing parameter that assigns more weight to more recent data. While effective for steady trends, its accuracy may be compromised if the dataset is too short or contains irregular patterns.",
"***Select forecasting method.")))</f>
        <v>*** This method uses a smoothing parameter that assigns more weight to more recent data. While effective for steady trends, its accuracy may be compromised if the dataset is too short or contains irregular patterns.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16"/>
      <c r="P7" s="16"/>
      <c r="Q7" s="6"/>
      <c r="R7" s="13">
        <f ca="1"/>
        <v>46143</v>
      </c>
      <c r="S7" s="8">
        <f ca="1"/>
        <v>90.003562141949459</v>
      </c>
      <c r="T7" s="8">
        <f ca="1"/>
        <v>119.7833482977186</v>
      </c>
      <c r="U7" s="8">
        <f ca="1"/>
        <v>111.73633119907466</v>
      </c>
      <c r="V7" s="8">
        <f ca="1"/>
        <v>61.400693298013167</v>
      </c>
      <c r="W7" s="9">
        <f ca="1"/>
        <v>99437.793860286605</v>
      </c>
      <c r="X7" s="9">
        <f ca="1"/>
        <v>499193.00708000385</v>
      </c>
      <c r="Y7" s="9" t="str">
        <f ca="1"/>
        <v>$99k</v>
      </c>
      <c r="Z7" s="6"/>
      <c r="AA7" s="13">
        <f t="shared" ca="1" si="0"/>
        <v>45413</v>
      </c>
      <c r="AB7" s="8">
        <f ca="1">COUNTIFS('⚡ Leads'!D:D,"&gt;="&amp;AA7,'⚡ Leads'!D:D,"&lt;"&amp;EDATE(AA7,1))</f>
        <v>75</v>
      </c>
      <c r="AC7" s="8">
        <f ca="1">COUNTIFS('⚡ Events'!C:C,"&gt;="&amp;AA7,'⚡ Events'!C:C,"&lt;"&amp;EDATE(AA7,1))</f>
        <v>100</v>
      </c>
      <c r="AD7" s="8">
        <f ca="1">COUNTIFS('⚡ Opportunities'!C:C,"&gt;="&amp;AA7,'⚡ Opportunities'!C:C,"&lt;"&amp;EDATE(AA7,1))</f>
        <v>93</v>
      </c>
      <c r="AE7" s="8">
        <f ca="1">COUNTIFS('⚡ Opportunities'!C:C,"&gt;="&amp;AA7,'⚡ Opportunities'!C:C,"&lt;"&amp;EDATE(AA7,1),'⚡ Opportunities'!F:F,TRUE,'⚡ Opportunities'!G:G,TRUE)</f>
        <v>42</v>
      </c>
      <c r="AF7" s="9">
        <f ca="1">SUMIFS('⚡ Opportunities'!H:H,'⚡ Opportunities'!C:C,"&gt;="&amp;AA7,'⚡ Opportunities'!C:C,"&lt;"&amp;EDATE(AA7,1),'⚡ Opportunities'!F:F,TRUE,'⚡ Opportunities'!G:G,TRUE)</f>
        <v>54350</v>
      </c>
      <c r="AG7" s="6"/>
      <c r="AH7" s="13">
        <f t="shared" ca="1" si="1"/>
        <v>45413</v>
      </c>
      <c r="AI7" s="8">
        <f ca="1">COUNTIFS('⚡ Leads'!D:D,"&gt;="&amp;AA7,'⚡ Leads'!D:D,"&lt;"&amp;EDATE(AA7,1))</f>
        <v>75</v>
      </c>
      <c r="AJ7" s="8">
        <f ca="1">COUNTIFS('⚡ Events'!C:C,"&gt;="&amp;AA7,'⚡ Events'!C:C,"&lt;"&amp;EDATE(AA7,1))</f>
        <v>100</v>
      </c>
      <c r="AK7" s="8">
        <f ca="1">COUNTIFS('⚡ Opportunities'!C:C,"&gt;="&amp;AA7,'⚡ Opportunities'!C:C,"&lt;"&amp;EDATE(AA7,1))</f>
        <v>93</v>
      </c>
      <c r="AL7" s="8">
        <f ca="1">COUNTIFS('⚡ Opportunities'!C:C,"&gt;="&amp;AA7,'⚡ Opportunities'!C:C,"&lt;"&amp;EDATE(AA7,1),'⚡ Opportunities'!F:F,TRUE,'⚡ Opportunities'!G:G,TRUE)</f>
        <v>42</v>
      </c>
      <c r="AM7" s="9">
        <f ca="1">SUMIFS('⚡ Opportunities'!H:H,'⚡ Opportunities'!C:C,"&gt;="&amp;AA7,'⚡ Opportunities'!C:C,"&lt;"&amp;EDATE(AA7,1),'⚡ Opportunities'!F:F,TRUE,'⚡ Opportunities'!G:G,TRUE)</f>
        <v>54350</v>
      </c>
      <c r="AN7" s="6"/>
      <c r="AO7" s="13">
        <f t="shared" si="2"/>
        <v>45352</v>
      </c>
      <c r="AP7" s="8">
        <f ca="1">COUNTIFS('⚡ Leads'!D:D,"&gt;="&amp;AA7,'⚡ Leads'!D:D,"&lt;"&amp;EDATE(AA7,1))</f>
        <v>75</v>
      </c>
      <c r="AQ7" s="8">
        <f ca="1">COUNTIFS('⚡ Events'!C:C,"&gt;="&amp;AA7,'⚡ Events'!C:C,"&lt;"&amp;EDATE(AA7,1))</f>
        <v>100</v>
      </c>
      <c r="AR7" s="8">
        <f ca="1">COUNTIFS('⚡ Opportunities'!C:C,"&gt;="&amp;AA7,'⚡ Opportunities'!C:C,"&lt;"&amp;EDATE(AA7,1))</f>
        <v>93</v>
      </c>
      <c r="AS7" s="8">
        <f ca="1">COUNTIFS('⚡ Opportunities'!C:C,"&gt;="&amp;AA7,'⚡ Opportunities'!C:C,"&lt;"&amp;EDATE(AA7,1),'⚡ Opportunities'!F:F,TRUE,'⚡ Opportunities'!G:G,TRUE)</f>
        <v>42</v>
      </c>
      <c r="AT7" s="9">
        <f ca="1">SUMIFS('⚡ Opportunities'!H:H,'⚡ Opportunities'!C:C,"&gt;="&amp;AA7,'⚡ Opportunities'!C:C,"&lt;"&amp;EDATE(AA7,1),'⚡ Opportunities'!F:F,TRUE,'⚡ Opportunities'!G:G,TRUE)</f>
        <v>54350</v>
      </c>
    </row>
    <row r="8" spans="1:47" ht="13" x14ac:dyDescent="0.3">
      <c r="A8" s="3"/>
      <c r="B8" s="16"/>
      <c r="C8" s="16"/>
      <c r="D8" s="3"/>
      <c r="E8" s="3"/>
      <c r="F8" s="3"/>
      <c r="G8" s="3"/>
      <c r="H8" s="3"/>
      <c r="I8" s="3"/>
      <c r="J8" s="3"/>
      <c r="K8" s="3"/>
      <c r="L8" s="16"/>
      <c r="M8" s="16"/>
      <c r="N8" s="16"/>
      <c r="O8" s="16"/>
      <c r="P8" s="16"/>
      <c r="Q8" s="6"/>
      <c r="R8" s="13">
        <f ca="1"/>
        <v>46174</v>
      </c>
      <c r="S8" s="8">
        <f ca="1"/>
        <v>90.266768396925272</v>
      </c>
      <c r="T8" s="8">
        <f ca="1"/>
        <v>120.09082535832545</v>
      </c>
      <c r="U8" s="8">
        <f ca="1"/>
        <v>112.10414495772797</v>
      </c>
      <c r="V8" s="8">
        <f ca="1"/>
        <v>61.642356047068326</v>
      </c>
      <c r="W8" s="9">
        <f ca="1"/>
        <v>99384.071524972838</v>
      </c>
      <c r="X8" s="9">
        <f ca="1"/>
        <v>598577.07860497665</v>
      </c>
      <c r="Y8" s="9" t="str">
        <f ca="1"/>
        <v>$99k</v>
      </c>
      <c r="Z8" s="6"/>
      <c r="AA8" s="13">
        <f t="shared" ca="1" si="0"/>
        <v>45444</v>
      </c>
      <c r="AB8" s="8">
        <f ca="1">COUNTIFS('⚡ Leads'!D:D,"&gt;="&amp;AA8,'⚡ Leads'!D:D,"&lt;"&amp;EDATE(AA8,1))</f>
        <v>72</v>
      </c>
      <c r="AC8" s="8">
        <f ca="1">COUNTIFS('⚡ Events'!C:C,"&gt;="&amp;AA8,'⚡ Events'!C:C,"&lt;"&amp;EDATE(AA8,1))</f>
        <v>98</v>
      </c>
      <c r="AD8" s="8">
        <f ca="1">COUNTIFS('⚡ Opportunities'!C:C,"&gt;="&amp;AA8,'⚡ Opportunities'!C:C,"&lt;"&amp;EDATE(AA8,1))</f>
        <v>90</v>
      </c>
      <c r="AE8" s="8">
        <f ca="1">COUNTIFS('⚡ Opportunities'!C:C,"&gt;="&amp;AA8,'⚡ Opportunities'!C:C,"&lt;"&amp;EDATE(AA8,1),'⚡ Opportunities'!F:F,TRUE,'⚡ Opportunities'!G:G,TRUE)</f>
        <v>60</v>
      </c>
      <c r="AF8" s="9">
        <f ca="1">SUMIFS('⚡ Opportunities'!H:H,'⚡ Opportunities'!C:C,"&gt;="&amp;AA8,'⚡ Opportunities'!C:C,"&lt;"&amp;EDATE(AA8,1),'⚡ Opportunities'!F:F,TRUE,'⚡ Opportunities'!G:G,TRUE)</f>
        <v>122640</v>
      </c>
      <c r="AG8" s="6"/>
      <c r="AH8" s="13">
        <f t="shared" ca="1" si="1"/>
        <v>45444</v>
      </c>
      <c r="AI8" s="8">
        <f ca="1">COUNTIFS('⚡ Leads'!D:D,"&gt;="&amp;AA8,'⚡ Leads'!D:D,"&lt;"&amp;EDATE(AA8,1))</f>
        <v>72</v>
      </c>
      <c r="AJ8" s="8">
        <f ca="1">COUNTIFS('⚡ Events'!C:C,"&gt;="&amp;AA8,'⚡ Events'!C:C,"&lt;"&amp;EDATE(AA8,1))</f>
        <v>98</v>
      </c>
      <c r="AK8" s="8">
        <f ca="1">COUNTIFS('⚡ Opportunities'!C:C,"&gt;="&amp;AA8,'⚡ Opportunities'!C:C,"&lt;"&amp;EDATE(AA8,1))</f>
        <v>90</v>
      </c>
      <c r="AL8" s="8">
        <f ca="1">COUNTIFS('⚡ Opportunities'!C:C,"&gt;="&amp;AA8,'⚡ Opportunities'!C:C,"&lt;"&amp;EDATE(AA8,1),'⚡ Opportunities'!F:F,TRUE,'⚡ Opportunities'!G:G,TRUE)</f>
        <v>60</v>
      </c>
      <c r="AM8" s="9">
        <f ca="1">SUMIFS('⚡ Opportunities'!H:H,'⚡ Opportunities'!C:C,"&gt;="&amp;AA8,'⚡ Opportunities'!C:C,"&lt;"&amp;EDATE(AA8,1),'⚡ Opportunities'!F:F,TRUE,'⚡ Opportunities'!G:G,TRUE)</f>
        <v>122640</v>
      </c>
      <c r="AN8" s="6"/>
      <c r="AO8" s="13">
        <f t="shared" si="2"/>
        <v>45383</v>
      </c>
      <c r="AP8" s="8">
        <f ca="1">COUNTIFS('⚡ Leads'!D:D,"&gt;="&amp;AA8,'⚡ Leads'!D:D,"&lt;"&amp;EDATE(AA8,1))</f>
        <v>72</v>
      </c>
      <c r="AQ8" s="8">
        <f ca="1">COUNTIFS('⚡ Events'!C:C,"&gt;="&amp;AA8,'⚡ Events'!C:C,"&lt;"&amp;EDATE(AA8,1))</f>
        <v>98</v>
      </c>
      <c r="AR8" s="8">
        <f ca="1">COUNTIFS('⚡ Opportunities'!C:C,"&gt;="&amp;AA8,'⚡ Opportunities'!C:C,"&lt;"&amp;EDATE(AA8,1))</f>
        <v>90</v>
      </c>
      <c r="AS8" s="8">
        <f ca="1">COUNTIFS('⚡ Opportunities'!C:C,"&gt;="&amp;AA8,'⚡ Opportunities'!C:C,"&lt;"&amp;EDATE(AA8,1),'⚡ Opportunities'!F:F,TRUE,'⚡ Opportunities'!G:G,TRUE)</f>
        <v>60</v>
      </c>
      <c r="AT8" s="9">
        <f ca="1">SUMIFS('⚡ Opportunities'!H:H,'⚡ Opportunities'!C:C,"&gt;="&amp;AA8,'⚡ Opportunities'!C:C,"&lt;"&amp;EDATE(AA8,1),'⚡ Opportunities'!F:F,TRUE,'⚡ Opportunities'!G:G,TRUE)</f>
        <v>122640</v>
      </c>
    </row>
    <row r="9" spans="1:47" ht="13" x14ac:dyDescent="0.3">
      <c r="A9" s="3"/>
      <c r="B9" s="16"/>
      <c r="C9" s="16"/>
      <c r="D9" s="3"/>
      <c r="E9" s="3"/>
      <c r="F9" s="3"/>
      <c r="G9" s="3"/>
      <c r="H9" s="3"/>
      <c r="I9" s="3"/>
      <c r="J9" s="3"/>
      <c r="K9" s="3"/>
      <c r="L9" s="16"/>
      <c r="M9" s="16"/>
      <c r="N9" s="16"/>
      <c r="O9" s="16"/>
      <c r="P9" s="16"/>
      <c r="Q9" s="6"/>
      <c r="R9" s="13">
        <f ca="1"/>
        <v>46204</v>
      </c>
      <c r="S9" s="8">
        <f ca="1"/>
        <v>90.480471852634466</v>
      </c>
      <c r="T9" s="8">
        <f ca="1"/>
        <v>120.34964024632063</v>
      </c>
      <c r="U9" s="8">
        <f ca="1"/>
        <v>112.41138590532977</v>
      </c>
      <c r="V9" s="8">
        <f ca="1"/>
        <v>61.902066905689722</v>
      </c>
      <c r="W9" s="9">
        <f ca="1"/>
        <v>99638.670968780309</v>
      </c>
      <c r="X9" s="9">
        <f ca="1"/>
        <v>698215.74957375694</v>
      </c>
      <c r="Y9" s="9" t="str">
        <f ca="1"/>
        <v>$100k</v>
      </c>
      <c r="Z9" s="6"/>
      <c r="AA9" s="13">
        <f t="shared" ca="1" si="0"/>
        <v>45474</v>
      </c>
      <c r="AB9" s="8">
        <f ca="1">COUNTIFS('⚡ Leads'!D:D,"&gt;="&amp;AA9,'⚡ Leads'!D:D,"&lt;"&amp;EDATE(AA9,1))</f>
        <v>77</v>
      </c>
      <c r="AC9" s="8">
        <f ca="1">COUNTIFS('⚡ Events'!C:C,"&gt;="&amp;AA9,'⚡ Events'!C:C,"&lt;"&amp;EDATE(AA9,1))</f>
        <v>104</v>
      </c>
      <c r="AD9" s="8">
        <f ca="1">COUNTIFS('⚡ Opportunities'!C:C,"&gt;="&amp;AA9,'⚡ Opportunities'!C:C,"&lt;"&amp;EDATE(AA9,1))</f>
        <v>96</v>
      </c>
      <c r="AE9" s="8">
        <f ca="1">COUNTIFS('⚡ Opportunities'!C:C,"&gt;="&amp;AA9,'⚡ Opportunities'!C:C,"&lt;"&amp;EDATE(AA9,1),'⚡ Opportunities'!F:F,TRUE,'⚡ Opportunities'!G:G,TRUE)</f>
        <v>55</v>
      </c>
      <c r="AF9" s="9">
        <f ca="1">SUMIFS('⚡ Opportunities'!H:H,'⚡ Opportunities'!C:C,"&gt;="&amp;AA9,'⚡ Opportunities'!C:C,"&lt;"&amp;EDATE(AA9,1),'⚡ Opportunities'!F:F,TRUE,'⚡ Opportunities'!G:G,TRUE)</f>
        <v>79860</v>
      </c>
      <c r="AG9" s="6"/>
      <c r="AH9" s="13">
        <f t="shared" ca="1" si="1"/>
        <v>45474</v>
      </c>
      <c r="AI9" s="8">
        <f ca="1">COUNTIFS('⚡ Leads'!D:D,"&gt;="&amp;AA9,'⚡ Leads'!D:D,"&lt;"&amp;EDATE(AA9,1))</f>
        <v>77</v>
      </c>
      <c r="AJ9" s="8">
        <f ca="1">COUNTIFS('⚡ Events'!C:C,"&gt;="&amp;AA9,'⚡ Events'!C:C,"&lt;"&amp;EDATE(AA9,1))</f>
        <v>104</v>
      </c>
      <c r="AK9" s="8">
        <f ca="1">COUNTIFS('⚡ Opportunities'!C:C,"&gt;="&amp;AA9,'⚡ Opportunities'!C:C,"&lt;"&amp;EDATE(AA9,1))</f>
        <v>96</v>
      </c>
      <c r="AL9" s="8">
        <f ca="1">COUNTIFS('⚡ Opportunities'!C:C,"&gt;="&amp;AA9,'⚡ Opportunities'!C:C,"&lt;"&amp;EDATE(AA9,1),'⚡ Opportunities'!F:F,TRUE,'⚡ Opportunities'!G:G,TRUE)</f>
        <v>55</v>
      </c>
      <c r="AM9" s="9">
        <f ca="1">SUMIFS('⚡ Opportunities'!H:H,'⚡ Opportunities'!C:C,"&gt;="&amp;AA9,'⚡ Opportunities'!C:C,"&lt;"&amp;EDATE(AA9,1),'⚡ Opportunities'!F:F,TRUE,'⚡ Opportunities'!G:G,TRUE)</f>
        <v>79860</v>
      </c>
      <c r="AN9" s="6"/>
      <c r="AO9" s="13">
        <f t="shared" si="2"/>
        <v>45413</v>
      </c>
      <c r="AP9" s="8">
        <f ca="1">COUNTIFS('⚡ Leads'!D:D,"&gt;="&amp;AA9,'⚡ Leads'!D:D,"&lt;"&amp;EDATE(AA9,1))</f>
        <v>77</v>
      </c>
      <c r="AQ9" s="8">
        <f ca="1">COUNTIFS('⚡ Events'!C:C,"&gt;="&amp;AA9,'⚡ Events'!C:C,"&lt;"&amp;EDATE(AA9,1))</f>
        <v>104</v>
      </c>
      <c r="AR9" s="8">
        <f ca="1">COUNTIFS('⚡ Opportunities'!C:C,"&gt;="&amp;AA9,'⚡ Opportunities'!C:C,"&lt;"&amp;EDATE(AA9,1))</f>
        <v>96</v>
      </c>
      <c r="AS9" s="8">
        <f ca="1">COUNTIFS('⚡ Opportunities'!C:C,"&gt;="&amp;AA9,'⚡ Opportunities'!C:C,"&lt;"&amp;EDATE(AA9,1),'⚡ Opportunities'!F:F,TRUE,'⚡ Opportunities'!G:G,TRUE)</f>
        <v>55</v>
      </c>
      <c r="AT9" s="9">
        <f ca="1">SUMIFS('⚡ Opportunities'!H:H,'⚡ Opportunities'!C:C,"&gt;="&amp;AA9,'⚡ Opportunities'!C:C,"&lt;"&amp;EDATE(AA9,1),'⚡ Opportunities'!F:F,TRUE,'⚡ Opportunities'!G:G,TRUE)</f>
        <v>79860</v>
      </c>
    </row>
    <row r="10" spans="1:47" ht="13" x14ac:dyDescent="0.3">
      <c r="A10" s="27"/>
      <c r="B10" s="67" t="s">
        <v>1998</v>
      </c>
      <c r="C10" s="55"/>
      <c r="D10" s="67" t="s">
        <v>1999</v>
      </c>
      <c r="E10" s="55"/>
      <c r="F10" s="67" t="s">
        <v>2000</v>
      </c>
      <c r="G10" s="55"/>
      <c r="H10" s="67" t="s">
        <v>2001</v>
      </c>
      <c r="I10" s="55"/>
      <c r="J10" s="67" t="s">
        <v>2002</v>
      </c>
      <c r="K10" s="55"/>
      <c r="L10" s="67" t="s">
        <v>2003</v>
      </c>
      <c r="M10" s="55"/>
      <c r="N10" s="67" t="s">
        <v>2004</v>
      </c>
      <c r="O10" s="55"/>
      <c r="P10" s="27"/>
      <c r="Q10" s="6"/>
      <c r="R10" s="13">
        <f ca="1"/>
        <v>46235</v>
      </c>
      <c r="S10" s="8">
        <f ca="1"/>
        <v>90.633557815468109</v>
      </c>
      <c r="T10" s="8">
        <f ca="1"/>
        <v>120.54904086549702</v>
      </c>
      <c r="U10" s="8">
        <f ca="1"/>
        <v>112.63848908582685</v>
      </c>
      <c r="V10" s="8">
        <f ca="1"/>
        <v>62.049859909124372</v>
      </c>
      <c r="W10" s="9">
        <f ca="1"/>
        <v>99836.21724110606</v>
      </c>
      <c r="X10" s="9">
        <f ca="1"/>
        <v>798051.96681486303</v>
      </c>
      <c r="Y10" s="9" t="str">
        <f ca="1"/>
        <v>$100k</v>
      </c>
      <c r="Z10" s="6"/>
      <c r="AA10" s="13">
        <f t="shared" ca="1" si="0"/>
        <v>45505</v>
      </c>
      <c r="AB10" s="8">
        <f ca="1">COUNTIFS('⚡ Leads'!D:D,"&gt;="&amp;AA10,'⚡ Leads'!D:D,"&lt;"&amp;EDATE(AA10,1))</f>
        <v>80</v>
      </c>
      <c r="AC10" s="8">
        <f ca="1">COUNTIFS('⚡ Events'!C:C,"&gt;="&amp;AA10,'⚡ Events'!C:C,"&lt;"&amp;EDATE(AA10,1))</f>
        <v>107</v>
      </c>
      <c r="AD10" s="8">
        <f ca="1">COUNTIFS('⚡ Opportunities'!C:C,"&gt;="&amp;AA10,'⚡ Opportunities'!C:C,"&lt;"&amp;EDATE(AA10,1))</f>
        <v>99</v>
      </c>
      <c r="AE10" s="8">
        <f ca="1">COUNTIFS('⚡ Opportunities'!C:C,"&gt;="&amp;AA10,'⚡ Opportunities'!C:C,"&lt;"&amp;EDATE(AA10,1),'⚡ Opportunities'!F:F,TRUE,'⚡ Opportunities'!G:G,TRUE)</f>
        <v>60</v>
      </c>
      <c r="AF10" s="9">
        <f ca="1">SUMIFS('⚡ Opportunities'!H:H,'⚡ Opportunities'!C:C,"&gt;="&amp;AA10,'⚡ Opportunities'!C:C,"&lt;"&amp;EDATE(AA10,1),'⚡ Opportunities'!F:F,TRUE,'⚡ Opportunities'!G:G,TRUE)</f>
        <v>128540</v>
      </c>
      <c r="AG10" s="6"/>
      <c r="AH10" s="13">
        <f t="shared" ca="1" si="1"/>
        <v>45505</v>
      </c>
      <c r="AI10" s="8">
        <f ca="1">COUNTIFS('⚡ Leads'!D:D,"&gt;="&amp;AA10,'⚡ Leads'!D:D,"&lt;"&amp;EDATE(AA10,1))</f>
        <v>80</v>
      </c>
      <c r="AJ10" s="8">
        <f ca="1">COUNTIFS('⚡ Events'!C:C,"&gt;="&amp;AA10,'⚡ Events'!C:C,"&lt;"&amp;EDATE(AA10,1))</f>
        <v>107</v>
      </c>
      <c r="AK10" s="8">
        <f ca="1">COUNTIFS('⚡ Opportunities'!C:C,"&gt;="&amp;AA10,'⚡ Opportunities'!C:C,"&lt;"&amp;EDATE(AA10,1))</f>
        <v>99</v>
      </c>
      <c r="AL10" s="8">
        <f ca="1">COUNTIFS('⚡ Opportunities'!C:C,"&gt;="&amp;AA10,'⚡ Opportunities'!C:C,"&lt;"&amp;EDATE(AA10,1),'⚡ Opportunities'!F:F,TRUE,'⚡ Opportunities'!G:G,TRUE)</f>
        <v>60</v>
      </c>
      <c r="AM10" s="9">
        <f ca="1">SUMIFS('⚡ Opportunities'!H:H,'⚡ Opportunities'!C:C,"&gt;="&amp;AA10,'⚡ Opportunities'!C:C,"&lt;"&amp;EDATE(AA10,1),'⚡ Opportunities'!F:F,TRUE,'⚡ Opportunities'!G:G,TRUE)</f>
        <v>128540</v>
      </c>
      <c r="AN10" s="6"/>
      <c r="AO10" s="13">
        <f t="shared" si="2"/>
        <v>45444</v>
      </c>
      <c r="AP10" s="8">
        <f ca="1">COUNTIFS('⚡ Leads'!D:D,"&gt;="&amp;AA10,'⚡ Leads'!D:D,"&lt;"&amp;EDATE(AA10,1))</f>
        <v>80</v>
      </c>
      <c r="AQ10" s="8">
        <f ca="1">COUNTIFS('⚡ Events'!C:C,"&gt;="&amp;AA10,'⚡ Events'!C:C,"&lt;"&amp;EDATE(AA10,1))</f>
        <v>107</v>
      </c>
      <c r="AR10" s="8">
        <f ca="1">COUNTIFS('⚡ Opportunities'!C:C,"&gt;="&amp;AA10,'⚡ Opportunities'!C:C,"&lt;"&amp;EDATE(AA10,1))</f>
        <v>99</v>
      </c>
      <c r="AS10" s="8">
        <f ca="1">COUNTIFS('⚡ Opportunities'!C:C,"&gt;="&amp;AA10,'⚡ Opportunities'!C:C,"&lt;"&amp;EDATE(AA10,1),'⚡ Opportunities'!F:F,TRUE,'⚡ Opportunities'!G:G,TRUE)</f>
        <v>60</v>
      </c>
      <c r="AT10" s="9">
        <f ca="1">SUMIFS('⚡ Opportunities'!H:H,'⚡ Opportunities'!C:C,"&gt;="&amp;AA10,'⚡ Opportunities'!C:C,"&lt;"&amp;EDATE(AA10,1),'⚡ Opportunities'!F:F,TRUE,'⚡ Opportunities'!G:G,TRUE)</f>
        <v>128540</v>
      </c>
    </row>
    <row r="11" spans="1:47" ht="57" customHeight="1" x14ac:dyDescent="0.3">
      <c r="A11" s="3"/>
      <c r="B11" s="56">
        <v>109</v>
      </c>
      <c r="C11" s="55"/>
      <c r="D11" s="54">
        <v>1691.8507890000001</v>
      </c>
      <c r="E11" s="55"/>
      <c r="F11" s="56">
        <f ca="1">SUM(D16:O16)</f>
        <v>1081.3696303433799</v>
      </c>
      <c r="G11" s="55"/>
      <c r="H11" s="56">
        <f ca="1">SUM(D17:O17)</f>
        <v>1438.7012144466887</v>
      </c>
      <c r="I11" s="55"/>
      <c r="J11" s="56">
        <f ca="1">SUM(D19:O19)</f>
        <v>741.06737583024642</v>
      </c>
      <c r="K11" s="55"/>
      <c r="L11" s="54">
        <f ca="1">O22</f>
        <v>1197230.7769162674</v>
      </c>
      <c r="M11" s="55"/>
      <c r="N11" s="54">
        <f ca="1">X26</f>
        <v>2392056.2374113919</v>
      </c>
      <c r="O11" s="55"/>
      <c r="P11" s="3"/>
      <c r="Q11" s="6"/>
      <c r="R11" s="13">
        <f ca="1"/>
        <v>46266</v>
      </c>
      <c r="S11" s="8">
        <f ca="1"/>
        <v>90.72818608944641</v>
      </c>
      <c r="T11" s="8">
        <f ca="1"/>
        <v>120.65619713572633</v>
      </c>
      <c r="U11" s="8">
        <f ca="1"/>
        <v>112.7688597371166</v>
      </c>
      <c r="V11" s="8">
        <f ca="1"/>
        <v>62.215739722567669</v>
      </c>
      <c r="W11" s="9">
        <f ca="1"/>
        <v>100041.73916768555</v>
      </c>
      <c r="X11" s="9">
        <f ca="1"/>
        <v>898093.70598254853</v>
      </c>
      <c r="Y11" s="9" t="str">
        <f ca="1"/>
        <v>$100k</v>
      </c>
      <c r="Z11" s="6"/>
      <c r="AA11" s="13">
        <f t="shared" ca="1" si="0"/>
        <v>45536</v>
      </c>
      <c r="AB11" s="8">
        <f ca="1">COUNTIFS('⚡ Leads'!D:D,"&gt;="&amp;AA11,'⚡ Leads'!D:D,"&lt;"&amp;EDATE(AA11,1))</f>
        <v>78</v>
      </c>
      <c r="AC11" s="8">
        <f ca="1">COUNTIFS('⚡ Events'!C:C,"&gt;="&amp;AA11,'⚡ Events'!C:C,"&lt;"&amp;EDATE(AA11,1))</f>
        <v>106</v>
      </c>
      <c r="AD11" s="8">
        <f ca="1">COUNTIFS('⚡ Opportunities'!C:C,"&gt;="&amp;AA11,'⚡ Opportunities'!C:C,"&lt;"&amp;EDATE(AA11,1))</f>
        <v>95</v>
      </c>
      <c r="AE11" s="8">
        <f ca="1">COUNTIFS('⚡ Opportunities'!C:C,"&gt;="&amp;AA11,'⚡ Opportunities'!C:C,"&lt;"&amp;EDATE(AA11,1),'⚡ Opportunities'!F:F,TRUE,'⚡ Opportunities'!G:G,TRUE)</f>
        <v>59</v>
      </c>
      <c r="AF11" s="9">
        <f ca="1">SUMIFS('⚡ Opportunities'!H:H,'⚡ Opportunities'!C:C,"&gt;="&amp;AA11,'⚡ Opportunities'!C:C,"&lt;"&amp;EDATE(AA11,1),'⚡ Opportunities'!F:F,TRUE,'⚡ Opportunities'!G:G,TRUE)</f>
        <v>108840</v>
      </c>
      <c r="AG11" s="6"/>
      <c r="AH11" s="13">
        <f t="shared" ca="1" si="1"/>
        <v>45536</v>
      </c>
      <c r="AI11" s="8">
        <f ca="1">COUNTIFS('⚡ Leads'!D:D,"&gt;="&amp;AA11,'⚡ Leads'!D:D,"&lt;"&amp;EDATE(AA11,1))</f>
        <v>78</v>
      </c>
      <c r="AJ11" s="8">
        <f ca="1">COUNTIFS('⚡ Events'!C:C,"&gt;="&amp;AA11,'⚡ Events'!C:C,"&lt;"&amp;EDATE(AA11,1))</f>
        <v>106</v>
      </c>
      <c r="AK11" s="8">
        <f ca="1">COUNTIFS('⚡ Opportunities'!C:C,"&gt;="&amp;AA11,'⚡ Opportunities'!C:C,"&lt;"&amp;EDATE(AA11,1))</f>
        <v>95</v>
      </c>
      <c r="AL11" s="8">
        <f ca="1">COUNTIFS('⚡ Opportunities'!C:C,"&gt;="&amp;AA11,'⚡ Opportunities'!C:C,"&lt;"&amp;EDATE(AA11,1),'⚡ Opportunities'!F:F,TRUE,'⚡ Opportunities'!G:G,TRUE)</f>
        <v>59</v>
      </c>
      <c r="AM11" s="9">
        <f ca="1">SUMIFS('⚡ Opportunities'!H:H,'⚡ Opportunities'!C:C,"&gt;="&amp;AA11,'⚡ Opportunities'!C:C,"&lt;"&amp;EDATE(AA11,1),'⚡ Opportunities'!F:F,TRUE,'⚡ Opportunities'!G:G,TRUE)</f>
        <v>108840</v>
      </c>
      <c r="AN11" s="6"/>
      <c r="AO11" s="13">
        <f t="shared" si="2"/>
        <v>45474</v>
      </c>
      <c r="AP11" s="8">
        <f ca="1">COUNTIFS('⚡ Leads'!D:D,"&gt;="&amp;AA11,'⚡ Leads'!D:D,"&lt;"&amp;EDATE(AA11,1))</f>
        <v>78</v>
      </c>
      <c r="AQ11" s="8">
        <f ca="1">COUNTIFS('⚡ Events'!C:C,"&gt;="&amp;AA11,'⚡ Events'!C:C,"&lt;"&amp;EDATE(AA11,1))</f>
        <v>106</v>
      </c>
      <c r="AR11" s="8">
        <f ca="1">COUNTIFS('⚡ Opportunities'!C:C,"&gt;="&amp;AA11,'⚡ Opportunities'!C:C,"&lt;"&amp;EDATE(AA11,1))</f>
        <v>95</v>
      </c>
      <c r="AS11" s="8">
        <f ca="1">COUNTIFS('⚡ Opportunities'!C:C,"&gt;="&amp;AA11,'⚡ Opportunities'!C:C,"&lt;"&amp;EDATE(AA11,1),'⚡ Opportunities'!F:F,TRUE,'⚡ Opportunities'!G:G,TRUE)</f>
        <v>59</v>
      </c>
      <c r="AT11" s="9">
        <f ca="1">SUMIFS('⚡ Opportunities'!H:H,'⚡ Opportunities'!C:C,"&gt;="&amp;AA11,'⚡ Opportunities'!C:C,"&lt;"&amp;EDATE(AA11,1),'⚡ Opportunities'!F:F,TRUE,'⚡ Opportunities'!G:G,TRUE)</f>
        <v>108840</v>
      </c>
    </row>
    <row r="12" spans="1:47" ht="1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46"/>
      <c r="L12" s="47"/>
      <c r="M12" s="3"/>
      <c r="N12" s="3"/>
      <c r="O12" s="3"/>
      <c r="P12" s="3"/>
      <c r="Q12" s="28"/>
      <c r="R12" s="29">
        <f ca="1"/>
        <v>46296</v>
      </c>
      <c r="S12" s="8">
        <f ca="1"/>
        <v>90.753632074387241</v>
      </c>
      <c r="T12" s="8">
        <f ca="1"/>
        <v>120.65552447115363</v>
      </c>
      <c r="U12" s="8">
        <f ca="1"/>
        <v>112.77631931387918</v>
      </c>
      <c r="V12" s="8">
        <f ca="1"/>
        <v>62.3392169818231</v>
      </c>
      <c r="W12" s="9">
        <f ca="1"/>
        <v>99855.706581510152</v>
      </c>
      <c r="X12" s="9">
        <f ca="1"/>
        <v>997949.41256405867</v>
      </c>
      <c r="Y12" s="9" t="str">
        <f ca="1"/>
        <v>$100k</v>
      </c>
      <c r="Z12" s="28"/>
      <c r="AA12" s="13">
        <f t="shared" ca="1" si="0"/>
        <v>45566</v>
      </c>
      <c r="AB12" s="8">
        <f ca="1">COUNTIFS('⚡ Leads'!D:D,"&gt;="&amp;AA12,'⚡ Leads'!D:D,"&lt;"&amp;EDATE(AA12,1))</f>
        <v>82</v>
      </c>
      <c r="AC12" s="8">
        <f ca="1">COUNTIFS('⚡ Events'!C:C,"&gt;="&amp;AA12,'⚡ Events'!C:C,"&lt;"&amp;EDATE(AA12,1))</f>
        <v>111</v>
      </c>
      <c r="AD12" s="8">
        <f ca="1">COUNTIFS('⚡ Opportunities'!C:C,"&gt;="&amp;AA12,'⚡ Opportunities'!C:C,"&lt;"&amp;EDATE(AA12,1))</f>
        <v>101</v>
      </c>
      <c r="AE12" s="8">
        <f ca="1">COUNTIFS('⚡ Opportunities'!C:C,"&gt;="&amp;AA12,'⚡ Opportunities'!C:C,"&lt;"&amp;EDATE(AA12,1),'⚡ Opportunities'!F:F,TRUE,'⚡ Opportunities'!G:G,TRUE)</f>
        <v>51</v>
      </c>
      <c r="AF12" s="9">
        <f ca="1">SUMIFS('⚡ Opportunities'!H:H,'⚡ Opportunities'!C:C,"&gt;="&amp;AA12,'⚡ Opportunities'!C:C,"&lt;"&amp;EDATE(AA12,1),'⚡ Opportunities'!F:F,TRUE,'⚡ Opportunities'!G:G,TRUE)</f>
        <v>95780</v>
      </c>
      <c r="AG12" s="28"/>
      <c r="AH12" s="13">
        <f t="shared" ca="1" si="1"/>
        <v>45566</v>
      </c>
      <c r="AI12" s="8">
        <f ca="1">COUNTIFS('⚡ Leads'!D:D,"&gt;="&amp;AA12,'⚡ Leads'!D:D,"&lt;"&amp;EDATE(AA12,1))</f>
        <v>82</v>
      </c>
      <c r="AJ12" s="8">
        <f ca="1">COUNTIFS('⚡ Events'!C:C,"&gt;="&amp;AA12,'⚡ Events'!C:C,"&lt;"&amp;EDATE(AA12,1))</f>
        <v>111</v>
      </c>
      <c r="AK12" s="8">
        <f ca="1">COUNTIFS('⚡ Opportunities'!C:C,"&gt;="&amp;AA12,'⚡ Opportunities'!C:C,"&lt;"&amp;EDATE(AA12,1))</f>
        <v>101</v>
      </c>
      <c r="AL12" s="8">
        <f ca="1">COUNTIFS('⚡ Opportunities'!C:C,"&gt;="&amp;AA12,'⚡ Opportunities'!C:C,"&lt;"&amp;EDATE(AA12,1),'⚡ Opportunities'!F:F,TRUE,'⚡ Opportunities'!G:G,TRUE)</f>
        <v>51</v>
      </c>
      <c r="AM12" s="9">
        <f ca="1">SUMIFS('⚡ Opportunities'!H:H,'⚡ Opportunities'!C:C,"&gt;="&amp;AA12,'⚡ Opportunities'!C:C,"&lt;"&amp;EDATE(AA12,1),'⚡ Opportunities'!F:F,TRUE,'⚡ Opportunities'!G:G,TRUE)</f>
        <v>95780</v>
      </c>
      <c r="AN12" s="28"/>
      <c r="AO12" s="13">
        <f t="shared" si="2"/>
        <v>45505</v>
      </c>
      <c r="AP12" s="8">
        <f ca="1">COUNTIFS('⚡ Leads'!D:D,"&gt;="&amp;AA12,'⚡ Leads'!D:D,"&lt;"&amp;EDATE(AA12,1))</f>
        <v>82</v>
      </c>
      <c r="AQ12" s="8">
        <f ca="1">COUNTIFS('⚡ Events'!C:C,"&gt;="&amp;AA12,'⚡ Events'!C:C,"&lt;"&amp;EDATE(AA12,1))</f>
        <v>111</v>
      </c>
      <c r="AR12" s="8">
        <f ca="1">COUNTIFS('⚡ Opportunities'!C:C,"&gt;="&amp;AA12,'⚡ Opportunities'!C:C,"&lt;"&amp;EDATE(AA12,1))</f>
        <v>101</v>
      </c>
      <c r="AS12" s="8">
        <f ca="1">COUNTIFS('⚡ Opportunities'!C:C,"&gt;="&amp;AA12,'⚡ Opportunities'!C:C,"&lt;"&amp;EDATE(AA12,1),'⚡ Opportunities'!F:F,TRUE,'⚡ Opportunities'!G:G,TRUE)</f>
        <v>51</v>
      </c>
      <c r="AT12" s="9">
        <f ca="1">SUMIFS('⚡ Opportunities'!H:H,'⚡ Opportunities'!C:C,"&gt;="&amp;AA12,'⚡ Opportunities'!C:C,"&lt;"&amp;EDATE(AA12,1),'⚡ Opportunities'!F:F,TRUE,'⚡ Opportunities'!G:G,TRUE)</f>
        <v>95780</v>
      </c>
    </row>
    <row r="13" spans="1:47" ht="1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28"/>
      <c r="R13" s="29">
        <f ca="1"/>
        <v>46327</v>
      </c>
      <c r="S13" s="8">
        <f ca="1"/>
        <v>90.676972769097404</v>
      </c>
      <c r="T13" s="8">
        <f ca="1"/>
        <v>120.54505133327373</v>
      </c>
      <c r="U13" s="8">
        <f ca="1"/>
        <v>112.66200837898195</v>
      </c>
      <c r="V13" s="8">
        <f ca="1"/>
        <v>62.336107224307725</v>
      </c>
      <c r="W13" s="9">
        <f ca="1"/>
        <v>99698.241766469961</v>
      </c>
      <c r="X13" s="9">
        <f ca="1"/>
        <v>1097647.6543305286</v>
      </c>
      <c r="Y13" s="9" t="str">
        <f ca="1"/>
        <v>$100k</v>
      </c>
      <c r="Z13" s="28"/>
      <c r="AA13" s="13">
        <f t="shared" ca="1" si="0"/>
        <v>45597</v>
      </c>
      <c r="AB13" s="8">
        <f ca="1">COUNTIFS('⚡ Leads'!D:D,"&gt;="&amp;AA13,'⚡ Leads'!D:D,"&lt;"&amp;EDATE(AA13,1))</f>
        <v>86</v>
      </c>
      <c r="AC13" s="8">
        <f ca="1">COUNTIFS('⚡ Events'!C:C,"&gt;="&amp;AA13,'⚡ Events'!C:C,"&lt;"&amp;EDATE(AA13,1))</f>
        <v>114</v>
      </c>
      <c r="AD13" s="8">
        <f ca="1">COUNTIFS('⚡ Opportunities'!C:C,"&gt;="&amp;AA13,'⚡ Opportunities'!C:C,"&lt;"&amp;EDATE(AA13,1))</f>
        <v>105</v>
      </c>
      <c r="AE13" s="8">
        <f ca="1">COUNTIFS('⚡ Opportunities'!C:C,"&gt;="&amp;AA13,'⚡ Opportunities'!C:C,"&lt;"&amp;EDATE(AA13,1),'⚡ Opportunities'!F:F,TRUE,'⚡ Opportunities'!G:G,TRUE)</f>
        <v>60</v>
      </c>
      <c r="AF13" s="9">
        <f ca="1">SUMIFS('⚡ Opportunities'!H:H,'⚡ Opportunities'!C:C,"&gt;="&amp;AA13,'⚡ Opportunities'!C:C,"&lt;"&amp;EDATE(AA13,1),'⚡ Opportunities'!F:F,TRUE,'⚡ Opportunities'!G:G,TRUE)</f>
        <v>155620</v>
      </c>
      <c r="AG13" s="28"/>
      <c r="AH13" s="13">
        <f t="shared" ca="1" si="1"/>
        <v>45597</v>
      </c>
      <c r="AI13" s="8">
        <f ca="1">COUNTIFS('⚡ Leads'!D:D,"&gt;="&amp;AA13,'⚡ Leads'!D:D,"&lt;"&amp;EDATE(AA13,1))</f>
        <v>86</v>
      </c>
      <c r="AJ13" s="8">
        <f ca="1">COUNTIFS('⚡ Events'!C:C,"&gt;="&amp;AA13,'⚡ Events'!C:C,"&lt;"&amp;EDATE(AA13,1))</f>
        <v>114</v>
      </c>
      <c r="AK13" s="8">
        <f ca="1">COUNTIFS('⚡ Opportunities'!C:C,"&gt;="&amp;AA13,'⚡ Opportunities'!C:C,"&lt;"&amp;EDATE(AA13,1))</f>
        <v>105</v>
      </c>
      <c r="AL13" s="8">
        <f ca="1">COUNTIFS('⚡ Opportunities'!C:C,"&gt;="&amp;AA13,'⚡ Opportunities'!C:C,"&lt;"&amp;EDATE(AA13,1),'⚡ Opportunities'!F:F,TRUE,'⚡ Opportunities'!G:G,TRUE)</f>
        <v>60</v>
      </c>
      <c r="AM13" s="9">
        <f ca="1">SUMIFS('⚡ Opportunities'!H:H,'⚡ Opportunities'!C:C,"&gt;="&amp;AA13,'⚡ Opportunities'!C:C,"&lt;"&amp;EDATE(AA13,1),'⚡ Opportunities'!F:F,TRUE,'⚡ Opportunities'!G:G,TRUE)</f>
        <v>155620</v>
      </c>
      <c r="AN13" s="28"/>
      <c r="AO13" s="13">
        <f t="shared" si="2"/>
        <v>45536</v>
      </c>
      <c r="AP13" s="8">
        <f ca="1">COUNTIFS('⚡ Leads'!D:D,"&gt;="&amp;AA13,'⚡ Leads'!D:D,"&lt;"&amp;EDATE(AA13,1))</f>
        <v>86</v>
      </c>
      <c r="AQ13" s="8">
        <f ca="1">COUNTIFS('⚡ Events'!C:C,"&gt;="&amp;AA13,'⚡ Events'!C:C,"&lt;"&amp;EDATE(AA13,1))</f>
        <v>114</v>
      </c>
      <c r="AR13" s="8">
        <f ca="1">COUNTIFS('⚡ Opportunities'!C:C,"&gt;="&amp;AA13,'⚡ Opportunities'!C:C,"&lt;"&amp;EDATE(AA13,1))</f>
        <v>105</v>
      </c>
      <c r="AS13" s="8">
        <f ca="1">COUNTIFS('⚡ Opportunities'!C:C,"&gt;="&amp;AA13,'⚡ Opportunities'!C:C,"&lt;"&amp;EDATE(AA13,1),'⚡ Opportunities'!F:F,TRUE,'⚡ Opportunities'!G:G,TRUE)</f>
        <v>60</v>
      </c>
      <c r="AT13" s="9">
        <f ca="1">SUMIFS('⚡ Opportunities'!H:H,'⚡ Opportunities'!C:C,"&gt;="&amp;AA13,'⚡ Opportunities'!C:C,"&lt;"&amp;EDATE(AA13,1),'⚡ Opportunities'!F:F,TRUE,'⚡ Opportunities'!G:G,TRUE)</f>
        <v>155620</v>
      </c>
    </row>
    <row r="14" spans="1:47" ht="21.75" customHeight="1" x14ac:dyDescent="0.3">
      <c r="A14" s="3"/>
      <c r="B14" s="57"/>
      <c r="C14" s="58"/>
      <c r="D14" s="30">
        <f ca="1">EOMONTH(TODAY(),-1)+1</f>
        <v>46023</v>
      </c>
      <c r="E14" s="30">
        <v>45778</v>
      </c>
      <c r="F14" s="30">
        <v>45809</v>
      </c>
      <c r="G14" s="30">
        <v>45839</v>
      </c>
      <c r="H14" s="30">
        <v>45870</v>
      </c>
      <c r="I14" s="30">
        <v>45901</v>
      </c>
      <c r="J14" s="30">
        <v>45931</v>
      </c>
      <c r="K14" s="30">
        <v>45962</v>
      </c>
      <c r="L14" s="30">
        <v>45992</v>
      </c>
      <c r="M14" s="30">
        <v>46023</v>
      </c>
      <c r="N14" s="30">
        <v>46054</v>
      </c>
      <c r="O14" s="31">
        <v>46082</v>
      </c>
      <c r="P14" s="3"/>
      <c r="Q14" s="28"/>
      <c r="R14" s="29">
        <f ca="1"/>
        <v>46357</v>
      </c>
      <c r="S14" s="8">
        <f ca="1"/>
        <v>90.561464381664592</v>
      </c>
      <c r="T14" s="8">
        <f ca="1"/>
        <v>120.39664920543741</v>
      </c>
      <c r="U14" s="8">
        <f ca="1"/>
        <v>112.50360748050548</v>
      </c>
      <c r="V14" s="8">
        <f ca="1"/>
        <v>62.272106492906651</v>
      </c>
      <c r="W14" s="9">
        <f ca="1"/>
        <v>99583.122585738834</v>
      </c>
      <c r="X14" s="9">
        <f ca="1"/>
        <v>1197230.7769162674</v>
      </c>
      <c r="Y14" s="9" t="str">
        <f ca="1"/>
        <v>$100k</v>
      </c>
      <c r="Z14" s="28"/>
      <c r="AA14" s="13">
        <f t="shared" ca="1" si="0"/>
        <v>45627</v>
      </c>
      <c r="AB14" s="8">
        <f ca="1">COUNTIFS('⚡ Leads'!D:D,"&gt;="&amp;AA14,'⚡ Leads'!D:D,"&lt;"&amp;EDATE(AA14,1))</f>
        <v>87</v>
      </c>
      <c r="AC14" s="8">
        <f ca="1">COUNTIFS('⚡ Events'!C:C,"&gt;="&amp;AA14,'⚡ Events'!C:C,"&lt;"&amp;EDATE(AA14,1))</f>
        <v>118</v>
      </c>
      <c r="AD14" s="8">
        <f ca="1">COUNTIFS('⚡ Opportunities'!C:C,"&gt;="&amp;AA14,'⚡ Opportunities'!C:C,"&lt;"&amp;EDATE(AA14,1))</f>
        <v>107</v>
      </c>
      <c r="AE14" s="8">
        <f ca="1">COUNTIFS('⚡ Opportunities'!C:C,"&gt;="&amp;AA14,'⚡ Opportunities'!C:C,"&lt;"&amp;EDATE(AA14,1),'⚡ Opportunities'!F:F,TRUE,'⚡ Opportunities'!G:G,TRUE)</f>
        <v>48</v>
      </c>
      <c r="AF14" s="9">
        <f ca="1">SUMIFS('⚡ Opportunities'!H:H,'⚡ Opportunities'!C:C,"&gt;="&amp;AA14,'⚡ Opportunities'!C:C,"&lt;"&amp;EDATE(AA14,1),'⚡ Opportunities'!F:F,TRUE,'⚡ Opportunities'!G:G,TRUE)</f>
        <v>63150</v>
      </c>
      <c r="AG14" s="28"/>
      <c r="AH14" s="13">
        <f t="shared" ca="1" si="1"/>
        <v>45627</v>
      </c>
      <c r="AI14" s="8">
        <f ca="1">COUNTIFS('⚡ Leads'!D:D,"&gt;="&amp;AA14,'⚡ Leads'!D:D,"&lt;"&amp;EDATE(AA14,1))</f>
        <v>87</v>
      </c>
      <c r="AJ14" s="8">
        <f ca="1">COUNTIFS('⚡ Events'!C:C,"&gt;="&amp;AA14,'⚡ Events'!C:C,"&lt;"&amp;EDATE(AA14,1))</f>
        <v>118</v>
      </c>
      <c r="AK14" s="8">
        <f ca="1">COUNTIFS('⚡ Opportunities'!C:C,"&gt;="&amp;AA14,'⚡ Opportunities'!C:C,"&lt;"&amp;EDATE(AA14,1))</f>
        <v>107</v>
      </c>
      <c r="AL14" s="8">
        <f ca="1">COUNTIFS('⚡ Opportunities'!C:C,"&gt;="&amp;AA14,'⚡ Opportunities'!C:C,"&lt;"&amp;EDATE(AA14,1),'⚡ Opportunities'!F:F,TRUE,'⚡ Opportunities'!G:G,TRUE)</f>
        <v>48</v>
      </c>
      <c r="AM14" s="9">
        <f ca="1">SUMIFS('⚡ Opportunities'!H:H,'⚡ Opportunities'!C:C,"&gt;="&amp;AA14,'⚡ Opportunities'!C:C,"&lt;"&amp;EDATE(AA14,1),'⚡ Opportunities'!F:F,TRUE,'⚡ Opportunities'!G:G,TRUE)</f>
        <v>63150</v>
      </c>
      <c r="AN14" s="28"/>
      <c r="AO14" s="13">
        <f t="shared" si="2"/>
        <v>45566</v>
      </c>
      <c r="AP14" s="8">
        <f ca="1">COUNTIFS('⚡ Leads'!D:D,"&gt;="&amp;AA14,'⚡ Leads'!D:D,"&lt;"&amp;EDATE(AA14,1))</f>
        <v>87</v>
      </c>
      <c r="AQ14" s="8">
        <f ca="1">COUNTIFS('⚡ Events'!C:C,"&gt;="&amp;AA14,'⚡ Events'!C:C,"&lt;"&amp;EDATE(AA14,1))</f>
        <v>118</v>
      </c>
      <c r="AR14" s="8">
        <f ca="1">COUNTIFS('⚡ Opportunities'!C:C,"&gt;="&amp;AA14,'⚡ Opportunities'!C:C,"&lt;"&amp;EDATE(AA14,1))</f>
        <v>107</v>
      </c>
      <c r="AS14" s="8">
        <f ca="1">COUNTIFS('⚡ Opportunities'!C:C,"&gt;="&amp;AA14,'⚡ Opportunities'!C:C,"&lt;"&amp;EDATE(AA14,1),'⚡ Opportunities'!F:F,TRUE,'⚡ Opportunities'!G:G,TRUE)</f>
        <v>48</v>
      </c>
      <c r="AT14" s="9">
        <f ca="1">SUMIFS('⚡ Opportunities'!H:H,'⚡ Opportunities'!C:C,"&gt;="&amp;AA14,'⚡ Opportunities'!C:C,"&lt;"&amp;EDATE(AA14,1),'⚡ Opportunities'!F:F,TRUE,'⚡ Opportunities'!G:G,TRUE)</f>
        <v>63150</v>
      </c>
    </row>
    <row r="15" spans="1:47" ht="11.25" customHeight="1" x14ac:dyDescent="0.3">
      <c r="A15" s="3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3"/>
      <c r="Q15" s="28"/>
      <c r="R15" s="29">
        <f ca="1"/>
        <v>46388</v>
      </c>
      <c r="S15" s="8">
        <f ca="1"/>
        <v>90.443624055040203</v>
      </c>
      <c r="T15" s="8">
        <f ca="1"/>
        <v>120.25122412927752</v>
      </c>
      <c r="U15" s="8">
        <f ca="1"/>
        <v>112.34566928001723</v>
      </c>
      <c r="V15" s="8">
        <f ca="1"/>
        <v>62.187433844950462</v>
      </c>
      <c r="W15" s="9">
        <f ca="1"/>
        <v>99513.779857774265</v>
      </c>
      <c r="X15" s="9">
        <f ca="1"/>
        <v>1296744.5567740416</v>
      </c>
      <c r="Y15" s="9" t="str">
        <f ca="1"/>
        <v>$100k</v>
      </c>
      <c r="Z15" s="28"/>
      <c r="AA15" s="13">
        <f t="shared" ca="1" si="0"/>
        <v>45658</v>
      </c>
      <c r="AB15" s="8">
        <f ca="1">COUNTIFS('⚡ Leads'!D:D,"&gt;="&amp;AA15,'⚡ Leads'!D:D,"&lt;"&amp;EDATE(AA15,1))</f>
        <v>90</v>
      </c>
      <c r="AC15" s="8">
        <f ca="1">COUNTIFS('⚡ Events'!C:C,"&gt;="&amp;AA15,'⚡ Events'!C:C,"&lt;"&amp;EDATE(AA15,1))</f>
        <v>119</v>
      </c>
      <c r="AD15" s="8">
        <f ca="1">COUNTIFS('⚡ Opportunities'!C:C,"&gt;="&amp;AA15,'⚡ Opportunities'!C:C,"&lt;"&amp;EDATE(AA15,1))</f>
        <v>111</v>
      </c>
      <c r="AE15" s="8">
        <f ca="1">COUNTIFS('⚡ Opportunities'!C:C,"&gt;="&amp;AA15,'⚡ Opportunities'!C:C,"&lt;"&amp;EDATE(AA15,1),'⚡ Opportunities'!F:F,TRUE,'⚡ Opportunities'!G:G,TRUE)</f>
        <v>56</v>
      </c>
      <c r="AF15" s="9">
        <f ca="1">SUMIFS('⚡ Opportunities'!H:H,'⚡ Opportunities'!C:C,"&gt;="&amp;AA15,'⚡ Opportunities'!C:C,"&lt;"&amp;EDATE(AA15,1),'⚡ Opportunities'!F:F,TRUE,'⚡ Opportunities'!G:G,TRUE)</f>
        <v>74090</v>
      </c>
      <c r="AG15" s="28"/>
      <c r="AH15" s="13">
        <f t="shared" ca="1" si="1"/>
        <v>45658</v>
      </c>
      <c r="AI15" s="8">
        <f ca="1">COUNTIFS('⚡ Leads'!D:D,"&gt;="&amp;AA15,'⚡ Leads'!D:D,"&lt;"&amp;EDATE(AA15,1))</f>
        <v>90</v>
      </c>
      <c r="AJ15" s="8">
        <f ca="1">COUNTIFS('⚡ Events'!C:C,"&gt;="&amp;AA15,'⚡ Events'!C:C,"&lt;"&amp;EDATE(AA15,1))</f>
        <v>119</v>
      </c>
      <c r="AK15" s="8">
        <f ca="1">COUNTIFS('⚡ Opportunities'!C:C,"&gt;="&amp;AA15,'⚡ Opportunities'!C:C,"&lt;"&amp;EDATE(AA15,1))</f>
        <v>111</v>
      </c>
      <c r="AL15" s="8">
        <f ca="1">COUNTIFS('⚡ Opportunities'!C:C,"&gt;="&amp;AA15,'⚡ Opportunities'!C:C,"&lt;"&amp;EDATE(AA15,1),'⚡ Opportunities'!F:F,TRUE,'⚡ Opportunities'!G:G,TRUE)</f>
        <v>56</v>
      </c>
      <c r="AM15" s="9">
        <f ca="1">SUMIFS('⚡ Opportunities'!H:H,'⚡ Opportunities'!C:C,"&gt;="&amp;AA15,'⚡ Opportunities'!C:C,"&lt;"&amp;EDATE(AA15,1),'⚡ Opportunities'!F:F,TRUE,'⚡ Opportunities'!G:G,TRUE)</f>
        <v>74090</v>
      </c>
      <c r="AN15" s="28"/>
      <c r="AO15" s="13">
        <f t="shared" si="2"/>
        <v>45597</v>
      </c>
      <c r="AP15" s="8">
        <f ca="1">COUNTIFS('⚡ Leads'!D:D,"&gt;="&amp;AA15,'⚡ Leads'!D:D,"&lt;"&amp;EDATE(AA15,1))</f>
        <v>90</v>
      </c>
      <c r="AQ15" s="8">
        <f ca="1">COUNTIFS('⚡ Events'!C:C,"&gt;="&amp;AA15,'⚡ Events'!C:C,"&lt;"&amp;EDATE(AA15,1))</f>
        <v>119</v>
      </c>
      <c r="AR15" s="8">
        <f ca="1">COUNTIFS('⚡ Opportunities'!C:C,"&gt;="&amp;AA15,'⚡ Opportunities'!C:C,"&lt;"&amp;EDATE(AA15,1))</f>
        <v>111</v>
      </c>
      <c r="AS15" s="8">
        <f ca="1">COUNTIFS('⚡ Opportunities'!C:C,"&gt;="&amp;AA15,'⚡ Opportunities'!C:C,"&lt;"&amp;EDATE(AA15,1),'⚡ Opportunities'!F:F,TRUE,'⚡ Opportunities'!G:G,TRUE)</f>
        <v>56</v>
      </c>
      <c r="AT15" s="9">
        <f ca="1">SUMIFS('⚡ Opportunities'!H:H,'⚡ Opportunities'!C:C,"&gt;="&amp;AA15,'⚡ Opportunities'!C:C,"&lt;"&amp;EDATE(AA15,1),'⚡ Opportunities'!F:F,TRUE,'⚡ Opportunities'!G:G,TRUE)</f>
        <v>74090</v>
      </c>
    </row>
    <row r="16" spans="1:47" ht="22" customHeight="1" x14ac:dyDescent="0.3">
      <c r="A16" s="27"/>
      <c r="B16" s="49" t="s">
        <v>4</v>
      </c>
      <c r="C16" s="50"/>
      <c r="D16" s="32">
        <f t="array" aca="1" ref="D16:O16" ca="1">TRANSPOSE(S3:S14)</f>
        <v>88.979183232961773</v>
      </c>
      <c r="E16" s="32">
        <f ca="1"/>
        <v>89.149742990549314</v>
      </c>
      <c r="F16" s="32">
        <f ca="1"/>
        <v>89.417364243566965</v>
      </c>
      <c r="G16" s="32">
        <f ca="1"/>
        <v>89.718724354728948</v>
      </c>
      <c r="H16" s="32">
        <f ca="1"/>
        <v>90.003562141949459</v>
      </c>
      <c r="I16" s="32">
        <f ca="1"/>
        <v>90.266768396925272</v>
      </c>
      <c r="J16" s="32">
        <f ca="1"/>
        <v>90.480471852634466</v>
      </c>
      <c r="K16" s="32">
        <f ca="1"/>
        <v>90.633557815468109</v>
      </c>
      <c r="L16" s="32">
        <f ca="1"/>
        <v>90.72818608944641</v>
      </c>
      <c r="M16" s="32">
        <f ca="1"/>
        <v>90.753632074387241</v>
      </c>
      <c r="N16" s="32">
        <f ca="1"/>
        <v>90.676972769097404</v>
      </c>
      <c r="O16" s="33">
        <f ca="1"/>
        <v>90.561464381664592</v>
      </c>
      <c r="P16" s="27"/>
      <c r="Q16" s="28"/>
      <c r="R16" s="29">
        <f ca="1"/>
        <v>46419</v>
      </c>
      <c r="S16" s="8">
        <f ca="1"/>
        <v>90.342502864686708</v>
      </c>
      <c r="T16" s="8">
        <f ca="1"/>
        <v>120.12944779279528</v>
      </c>
      <c r="U16" s="8">
        <f ca="1"/>
        <v>112.21145567481808</v>
      </c>
      <c r="V16" s="8">
        <f ca="1"/>
        <v>62.104786131346565</v>
      </c>
      <c r="W16" s="9">
        <f ca="1"/>
        <v>99487.151926097038</v>
      </c>
      <c r="X16" s="9">
        <f ca="1"/>
        <v>1396231.7087001386</v>
      </c>
      <c r="Y16" s="9" t="str">
        <f ca="1"/>
        <v>$99k</v>
      </c>
      <c r="Z16" s="28"/>
      <c r="AA16" s="13">
        <f t="shared" ca="1" si="0"/>
        <v>45689</v>
      </c>
      <c r="AB16" s="8">
        <f ca="1">COUNTIFS('⚡ Leads'!D:D,"&gt;="&amp;AA16,'⚡ Leads'!D:D,"&lt;"&amp;EDATE(AA16,1))</f>
        <v>92</v>
      </c>
      <c r="AC16" s="8">
        <f ca="1">COUNTIFS('⚡ Events'!C:C,"&gt;="&amp;AA16,'⚡ Events'!C:C,"&lt;"&amp;EDATE(AA16,1))</f>
        <v>121</v>
      </c>
      <c r="AD16" s="8">
        <f ca="1">COUNTIFS('⚡ Opportunities'!C:C,"&gt;="&amp;AA16,'⚡ Opportunities'!C:C,"&lt;"&amp;EDATE(AA16,1))</f>
        <v>114</v>
      </c>
      <c r="AE16" s="8">
        <f ca="1">COUNTIFS('⚡ Opportunities'!C:C,"&gt;="&amp;AA16,'⚡ Opportunities'!C:C,"&lt;"&amp;EDATE(AA16,1),'⚡ Opportunities'!F:F,TRUE,'⚡ Opportunities'!G:G,TRUE)</f>
        <v>67</v>
      </c>
      <c r="AF16" s="9">
        <f ca="1">SUMIFS('⚡ Opportunities'!H:H,'⚡ Opportunities'!C:C,"&gt;="&amp;AA16,'⚡ Opportunities'!C:C,"&lt;"&amp;EDATE(AA16,1),'⚡ Opportunities'!F:F,TRUE,'⚡ Opportunities'!G:G,TRUE)</f>
        <v>100160</v>
      </c>
      <c r="AG16" s="28"/>
      <c r="AH16" s="13">
        <f t="shared" ca="1" si="1"/>
        <v>45689</v>
      </c>
      <c r="AI16" s="8">
        <f ca="1">COUNTIFS('⚡ Leads'!D:D,"&gt;="&amp;AA16,'⚡ Leads'!D:D,"&lt;"&amp;EDATE(AA16,1))</f>
        <v>92</v>
      </c>
      <c r="AJ16" s="8">
        <f ca="1">COUNTIFS('⚡ Events'!C:C,"&gt;="&amp;AA16,'⚡ Events'!C:C,"&lt;"&amp;EDATE(AA16,1))</f>
        <v>121</v>
      </c>
      <c r="AK16" s="8">
        <f ca="1">COUNTIFS('⚡ Opportunities'!C:C,"&gt;="&amp;AA16,'⚡ Opportunities'!C:C,"&lt;"&amp;EDATE(AA16,1))</f>
        <v>114</v>
      </c>
      <c r="AL16" s="8">
        <f ca="1">COUNTIFS('⚡ Opportunities'!C:C,"&gt;="&amp;AA16,'⚡ Opportunities'!C:C,"&lt;"&amp;EDATE(AA16,1),'⚡ Opportunities'!F:F,TRUE,'⚡ Opportunities'!G:G,TRUE)</f>
        <v>67</v>
      </c>
      <c r="AM16" s="9">
        <f ca="1">SUMIFS('⚡ Opportunities'!H:H,'⚡ Opportunities'!C:C,"&gt;="&amp;AA16,'⚡ Opportunities'!C:C,"&lt;"&amp;EDATE(AA16,1),'⚡ Opportunities'!F:F,TRUE,'⚡ Opportunities'!G:G,TRUE)</f>
        <v>100160</v>
      </c>
      <c r="AN16" s="28"/>
      <c r="AO16" s="13">
        <f t="shared" si="2"/>
        <v>45627</v>
      </c>
      <c r="AP16" s="8">
        <f ca="1">COUNTIFS('⚡ Leads'!D:D,"&gt;="&amp;AA16,'⚡ Leads'!D:D,"&lt;"&amp;EDATE(AA16,1))</f>
        <v>92</v>
      </c>
      <c r="AQ16" s="8">
        <f ca="1">COUNTIFS('⚡ Events'!C:C,"&gt;="&amp;AA16,'⚡ Events'!C:C,"&lt;"&amp;EDATE(AA16,1))</f>
        <v>121</v>
      </c>
      <c r="AR16" s="8">
        <f ca="1">COUNTIFS('⚡ Opportunities'!C:C,"&gt;="&amp;AA16,'⚡ Opportunities'!C:C,"&lt;"&amp;EDATE(AA16,1))</f>
        <v>114</v>
      </c>
      <c r="AS16" s="8">
        <f ca="1">COUNTIFS('⚡ Opportunities'!C:C,"&gt;="&amp;AA16,'⚡ Opportunities'!C:C,"&lt;"&amp;EDATE(AA16,1),'⚡ Opportunities'!F:F,TRUE,'⚡ Opportunities'!G:G,TRUE)</f>
        <v>67</v>
      </c>
      <c r="AT16" s="9">
        <f ca="1">SUMIFS('⚡ Opportunities'!H:H,'⚡ Opportunities'!C:C,"&gt;="&amp;AA16,'⚡ Opportunities'!C:C,"&lt;"&amp;EDATE(AA16,1),'⚡ Opportunities'!F:F,TRUE,'⚡ Opportunities'!G:G,TRUE)</f>
        <v>100160</v>
      </c>
    </row>
    <row r="17" spans="1:46" ht="22" customHeight="1" x14ac:dyDescent="0.3">
      <c r="A17" s="27"/>
      <c r="B17" s="49" t="s">
        <v>5</v>
      </c>
      <c r="C17" s="50"/>
      <c r="D17" s="32">
        <f t="array" aca="1" ref="D17:O19" ca="1">TRANSPOSE(T3:V14)</f>
        <v>118.47633493350389</v>
      </c>
      <c r="E17" s="32">
        <f ca="1"/>
        <v>118.71601524463073</v>
      </c>
      <c r="F17" s="32">
        <f ca="1"/>
        <v>119.05735967288079</v>
      </c>
      <c r="G17" s="32">
        <f ca="1"/>
        <v>119.42522768222062</v>
      </c>
      <c r="H17" s="32">
        <f ca="1"/>
        <v>119.7833482977186</v>
      </c>
      <c r="I17" s="32">
        <f ca="1"/>
        <v>120.09082535832545</v>
      </c>
      <c r="J17" s="32">
        <f ca="1"/>
        <v>120.34964024632063</v>
      </c>
      <c r="K17" s="32">
        <f ca="1"/>
        <v>120.54904086549702</v>
      </c>
      <c r="L17" s="32">
        <f ca="1"/>
        <v>120.65619713572633</v>
      </c>
      <c r="M17" s="32">
        <f ca="1"/>
        <v>120.65552447115363</v>
      </c>
      <c r="N17" s="32">
        <f ca="1"/>
        <v>120.54505133327373</v>
      </c>
      <c r="O17" s="33">
        <f ca="1"/>
        <v>120.39664920543741</v>
      </c>
      <c r="P17" s="27"/>
      <c r="Q17" s="28"/>
      <c r="R17" s="29">
        <f ca="1"/>
        <v>46447</v>
      </c>
      <c r="S17" s="8">
        <f ca="1"/>
        <v>90.266218789920657</v>
      </c>
      <c r="T17" s="8">
        <f ca="1"/>
        <v>120.03970441863117</v>
      </c>
      <c r="U17" s="8">
        <f ca="1"/>
        <v>112.11079700652508</v>
      </c>
      <c r="V17" s="8">
        <f ca="1"/>
        <v>62.035740233414344</v>
      </c>
      <c r="W17" s="9">
        <f ca="1"/>
        <v>99493.346528710375</v>
      </c>
      <c r="X17" s="9">
        <f ca="1"/>
        <v>1495725.0552288489</v>
      </c>
      <c r="Y17" s="9" t="str">
        <f ca="1"/>
        <v>$99k</v>
      </c>
      <c r="Z17" s="28"/>
      <c r="AA17" s="13">
        <f t="shared" ca="1" si="0"/>
        <v>45717</v>
      </c>
      <c r="AB17" s="8">
        <f ca="1">COUNTIFS('⚡ Leads'!D:D,"&gt;="&amp;AA17,'⚡ Leads'!D:D,"&lt;"&amp;EDATE(AA17,1))</f>
        <v>93</v>
      </c>
      <c r="AC17" s="8">
        <f ca="1">COUNTIFS('⚡ Events'!C:C,"&gt;="&amp;AA17,'⚡ Events'!C:C,"&lt;"&amp;EDATE(AA17,1))</f>
        <v>125</v>
      </c>
      <c r="AD17" s="8">
        <f ca="1">COUNTIFS('⚡ Opportunities'!C:C,"&gt;="&amp;AA17,'⚡ Opportunities'!C:C,"&lt;"&amp;EDATE(AA17,1))</f>
        <v>117</v>
      </c>
      <c r="AE17" s="8">
        <f ca="1">COUNTIFS('⚡ Opportunities'!C:C,"&gt;="&amp;AA17,'⚡ Opportunities'!C:C,"&lt;"&amp;EDATE(AA17,1),'⚡ Opportunities'!F:F,TRUE,'⚡ Opportunities'!G:G,TRUE)</f>
        <v>58</v>
      </c>
      <c r="AF17" s="9">
        <f ca="1">SUMIFS('⚡ Opportunities'!H:H,'⚡ Opportunities'!C:C,"&gt;="&amp;AA17,'⚡ Opportunities'!C:C,"&lt;"&amp;EDATE(AA17,1),'⚡ Opportunities'!F:F,TRUE,'⚡ Opportunities'!G:G,TRUE)</f>
        <v>95800</v>
      </c>
      <c r="AG17" s="28"/>
      <c r="AH17" s="13">
        <f t="shared" ca="1" si="1"/>
        <v>45717</v>
      </c>
      <c r="AI17" s="8">
        <f ca="1">COUNTIFS('⚡ Leads'!D:D,"&gt;="&amp;AA17,'⚡ Leads'!D:D,"&lt;"&amp;EDATE(AA17,1))</f>
        <v>93</v>
      </c>
      <c r="AJ17" s="8">
        <f ca="1">COUNTIFS('⚡ Events'!C:C,"&gt;="&amp;AA17,'⚡ Events'!C:C,"&lt;"&amp;EDATE(AA17,1))</f>
        <v>125</v>
      </c>
      <c r="AK17" s="8">
        <f ca="1">COUNTIFS('⚡ Opportunities'!C:C,"&gt;="&amp;AA17,'⚡ Opportunities'!C:C,"&lt;"&amp;EDATE(AA17,1))</f>
        <v>117</v>
      </c>
      <c r="AL17" s="8">
        <f ca="1">COUNTIFS('⚡ Opportunities'!C:C,"&gt;="&amp;AA17,'⚡ Opportunities'!C:C,"&lt;"&amp;EDATE(AA17,1),'⚡ Opportunities'!F:F,TRUE,'⚡ Opportunities'!G:G,TRUE)</f>
        <v>58</v>
      </c>
      <c r="AM17" s="9">
        <f ca="1">SUMIFS('⚡ Opportunities'!H:H,'⚡ Opportunities'!C:C,"&gt;="&amp;AA17,'⚡ Opportunities'!C:C,"&lt;"&amp;EDATE(AA17,1),'⚡ Opportunities'!F:F,TRUE,'⚡ Opportunities'!G:G,TRUE)</f>
        <v>95800</v>
      </c>
      <c r="AN17" s="28"/>
      <c r="AO17" s="13">
        <f t="shared" si="2"/>
        <v>45658</v>
      </c>
      <c r="AP17" s="8">
        <f ca="1">COUNTIFS('⚡ Leads'!D:D,"&gt;="&amp;AA17,'⚡ Leads'!D:D,"&lt;"&amp;EDATE(AA17,1))</f>
        <v>93</v>
      </c>
      <c r="AQ17" s="8">
        <f ca="1">COUNTIFS('⚡ Events'!C:C,"&gt;="&amp;AA17,'⚡ Events'!C:C,"&lt;"&amp;EDATE(AA17,1))</f>
        <v>125</v>
      </c>
      <c r="AR17" s="8">
        <f ca="1">COUNTIFS('⚡ Opportunities'!C:C,"&gt;="&amp;AA17,'⚡ Opportunities'!C:C,"&lt;"&amp;EDATE(AA17,1))</f>
        <v>117</v>
      </c>
      <c r="AS17" s="8">
        <f ca="1">COUNTIFS('⚡ Opportunities'!C:C,"&gt;="&amp;AA17,'⚡ Opportunities'!C:C,"&lt;"&amp;EDATE(AA17,1),'⚡ Opportunities'!F:F,TRUE,'⚡ Opportunities'!G:G,TRUE)</f>
        <v>58</v>
      </c>
      <c r="AT17" s="9">
        <f ca="1">SUMIFS('⚡ Opportunities'!H:H,'⚡ Opportunities'!C:C,"&gt;="&amp;AA17,'⚡ Opportunities'!C:C,"&lt;"&amp;EDATE(AA17,1),'⚡ Opportunities'!F:F,TRUE,'⚡ Opportunities'!G:G,TRUE)</f>
        <v>95800</v>
      </c>
    </row>
    <row r="18" spans="1:46" ht="22" customHeight="1" x14ac:dyDescent="0.3">
      <c r="A18" s="27"/>
      <c r="B18" s="49" t="s">
        <v>6</v>
      </c>
      <c r="C18" s="50"/>
      <c r="D18" s="32">
        <f ca="1"/>
        <v>110.40166216407181</v>
      </c>
      <c r="E18" s="32">
        <f ca="1"/>
        <v>110.60535327149522</v>
      </c>
      <c r="F18" s="32">
        <f ca="1"/>
        <v>110.95189854886331</v>
      </c>
      <c r="G18" s="32">
        <f ca="1"/>
        <v>111.34621593015618</v>
      </c>
      <c r="H18" s="32">
        <f ca="1"/>
        <v>111.73633119907466</v>
      </c>
      <c r="I18" s="32">
        <f ca="1"/>
        <v>112.10414495772797</v>
      </c>
      <c r="J18" s="32">
        <f ca="1"/>
        <v>112.41138590532977</v>
      </c>
      <c r="K18" s="32">
        <f ca="1"/>
        <v>112.63848908582685</v>
      </c>
      <c r="L18" s="32">
        <f ca="1"/>
        <v>112.7688597371166</v>
      </c>
      <c r="M18" s="32">
        <f ca="1"/>
        <v>112.77631931387918</v>
      </c>
      <c r="N18" s="32">
        <f ca="1"/>
        <v>112.66200837898195</v>
      </c>
      <c r="O18" s="33">
        <f ca="1"/>
        <v>112.50360748050548</v>
      </c>
      <c r="P18" s="27"/>
      <c r="Q18" s="28"/>
      <c r="R18" s="29">
        <f ca="1"/>
        <v>46478</v>
      </c>
      <c r="S18" s="8">
        <f ca="1"/>
        <v>90.216405228149398</v>
      </c>
      <c r="T18" s="8">
        <f ca="1"/>
        <v>119.98305793477695</v>
      </c>
      <c r="U18" s="8">
        <f ca="1"/>
        <v>112.04517254764947</v>
      </c>
      <c r="V18" s="8">
        <f ca="1"/>
        <v>61.983894500601835</v>
      </c>
      <c r="W18" s="9">
        <f ca="1"/>
        <v>99519.181630644482</v>
      </c>
      <c r="X18" s="9">
        <f ca="1"/>
        <v>1595244.2368594934</v>
      </c>
      <c r="Y18" s="9" t="str">
        <f ca="1"/>
        <v>$100k</v>
      </c>
      <c r="Z18" s="28"/>
      <c r="AA18" s="13">
        <f t="shared" ca="1" si="0"/>
        <v>45748</v>
      </c>
      <c r="AB18" s="8">
        <f ca="1">COUNTIFS('⚡ Leads'!D:D,"&gt;="&amp;AA18,'⚡ Leads'!D:D,"&lt;"&amp;EDATE(AA18,1))</f>
        <v>95</v>
      </c>
      <c r="AC18" s="8">
        <f ca="1">COUNTIFS('⚡ Events'!C:C,"&gt;="&amp;AA18,'⚡ Events'!C:C,"&lt;"&amp;EDATE(AA18,1))</f>
        <v>128</v>
      </c>
      <c r="AD18" s="8">
        <f ca="1">COUNTIFS('⚡ Opportunities'!C:C,"&gt;="&amp;AA18,'⚡ Opportunities'!C:C,"&lt;"&amp;EDATE(AA18,1))</f>
        <v>121</v>
      </c>
      <c r="AE18" s="8">
        <f ca="1">COUNTIFS('⚡ Opportunities'!C:C,"&gt;="&amp;AA18,'⚡ Opportunities'!C:C,"&lt;"&amp;EDATE(AA18,1),'⚡ Opportunities'!F:F,TRUE,'⚡ Opportunities'!G:G,TRUE)</f>
        <v>63</v>
      </c>
      <c r="AF18" s="9">
        <f ca="1">SUMIFS('⚡ Opportunities'!H:H,'⚡ Opportunities'!C:C,"&gt;="&amp;AA18,'⚡ Opportunities'!C:C,"&lt;"&amp;EDATE(AA18,1),'⚡ Opportunities'!F:F,TRUE,'⚡ Opportunities'!G:G,TRUE)</f>
        <v>129830</v>
      </c>
      <c r="AG18" s="28"/>
      <c r="AH18" s="13">
        <f t="shared" ca="1" si="1"/>
        <v>45748</v>
      </c>
      <c r="AI18" s="8">
        <f ca="1">COUNTIFS('⚡ Leads'!D:D,"&gt;="&amp;AA18,'⚡ Leads'!D:D,"&lt;"&amp;EDATE(AA18,1))</f>
        <v>95</v>
      </c>
      <c r="AJ18" s="8">
        <f ca="1">COUNTIFS('⚡ Events'!C:C,"&gt;="&amp;AA18,'⚡ Events'!C:C,"&lt;"&amp;EDATE(AA18,1))</f>
        <v>128</v>
      </c>
      <c r="AK18" s="8">
        <f ca="1">COUNTIFS('⚡ Opportunities'!C:C,"&gt;="&amp;AA18,'⚡ Opportunities'!C:C,"&lt;"&amp;EDATE(AA18,1))</f>
        <v>121</v>
      </c>
      <c r="AL18" s="8">
        <f ca="1">COUNTIFS('⚡ Opportunities'!C:C,"&gt;="&amp;AA18,'⚡ Opportunities'!C:C,"&lt;"&amp;EDATE(AA18,1),'⚡ Opportunities'!F:F,TRUE,'⚡ Opportunities'!G:G,TRUE)</f>
        <v>63</v>
      </c>
      <c r="AM18" s="9">
        <f ca="1">SUMIFS('⚡ Opportunities'!H:H,'⚡ Opportunities'!C:C,"&gt;="&amp;AA18,'⚡ Opportunities'!C:C,"&lt;"&amp;EDATE(AA18,1),'⚡ Opportunities'!F:F,TRUE,'⚡ Opportunities'!G:G,TRUE)</f>
        <v>129830</v>
      </c>
      <c r="AN18" s="28"/>
      <c r="AO18" s="13">
        <f t="shared" si="2"/>
        <v>45689</v>
      </c>
      <c r="AP18" s="8">
        <f ca="1">COUNTIFS('⚡ Leads'!D:D,"&gt;="&amp;AA18,'⚡ Leads'!D:D,"&lt;"&amp;EDATE(AA18,1))</f>
        <v>95</v>
      </c>
      <c r="AQ18" s="8">
        <f ca="1">COUNTIFS('⚡ Events'!C:C,"&gt;="&amp;AA18,'⚡ Events'!C:C,"&lt;"&amp;EDATE(AA18,1))</f>
        <v>128</v>
      </c>
      <c r="AR18" s="8">
        <f ca="1">COUNTIFS('⚡ Opportunities'!C:C,"&gt;="&amp;AA18,'⚡ Opportunities'!C:C,"&lt;"&amp;EDATE(AA18,1))</f>
        <v>121</v>
      </c>
      <c r="AS18" s="8">
        <f ca="1">COUNTIFS('⚡ Opportunities'!C:C,"&gt;="&amp;AA18,'⚡ Opportunities'!C:C,"&lt;"&amp;EDATE(AA18,1),'⚡ Opportunities'!F:F,TRUE,'⚡ Opportunities'!G:G,TRUE)</f>
        <v>63</v>
      </c>
      <c r="AT18" s="9">
        <f ca="1">SUMIFS('⚡ Opportunities'!H:H,'⚡ Opportunities'!C:C,"&gt;="&amp;AA18,'⚡ Opportunities'!C:C,"&lt;"&amp;EDATE(AA18,1),'⚡ Opportunities'!F:F,TRUE,'⚡ Opportunities'!G:G,TRUE)</f>
        <v>129830</v>
      </c>
    </row>
    <row r="19" spans="1:46" ht="22" customHeight="1" x14ac:dyDescent="0.3">
      <c r="A19" s="27"/>
      <c r="B19" s="49" t="s">
        <v>11</v>
      </c>
      <c r="C19" s="50"/>
      <c r="D19" s="32">
        <f ca="1"/>
        <v>61.237095291889197</v>
      </c>
      <c r="E19" s="32">
        <f ca="1"/>
        <v>61.192973792111857</v>
      </c>
      <c r="F19" s="32">
        <f ca="1"/>
        <v>61.183476283961895</v>
      </c>
      <c r="G19" s="32">
        <f ca="1"/>
        <v>61.295683880782647</v>
      </c>
      <c r="H19" s="32">
        <f ca="1"/>
        <v>61.400693298013167</v>
      </c>
      <c r="I19" s="32">
        <f ca="1"/>
        <v>61.642356047068326</v>
      </c>
      <c r="J19" s="32">
        <f ca="1"/>
        <v>61.902066905689722</v>
      </c>
      <c r="K19" s="32">
        <f ca="1"/>
        <v>62.049859909124372</v>
      </c>
      <c r="L19" s="32">
        <f ca="1"/>
        <v>62.215739722567669</v>
      </c>
      <c r="M19" s="32">
        <f ca="1"/>
        <v>62.3392169818231</v>
      </c>
      <c r="N19" s="32">
        <f ca="1"/>
        <v>62.336107224307725</v>
      </c>
      <c r="O19" s="33">
        <f ca="1"/>
        <v>62.272106492906651</v>
      </c>
      <c r="P19" s="27"/>
      <c r="Q19" s="6"/>
      <c r="R19" s="13">
        <f ca="1"/>
        <v>46508</v>
      </c>
      <c r="S19" s="8">
        <f ca="1"/>
        <v>90.191199613453676</v>
      </c>
      <c r="T19" s="8">
        <f ca="1"/>
        <v>119.95644814662322</v>
      </c>
      <c r="U19" s="8">
        <f ca="1"/>
        <v>112.01183321769892</v>
      </c>
      <c r="V19" s="8">
        <f ca="1"/>
        <v>61.94817054501079</v>
      </c>
      <c r="W19" s="9">
        <f ca="1"/>
        <v>99549.678175960333</v>
      </c>
      <c r="X19" s="9">
        <f ca="1"/>
        <v>1694793.9150354539</v>
      </c>
      <c r="Y19" s="9" t="str">
        <f ca="1"/>
        <v>$100k</v>
      </c>
      <c r="Z19" s="6"/>
      <c r="AA19" s="13">
        <f t="shared" ca="1" si="0"/>
        <v>45778</v>
      </c>
      <c r="AB19" s="8">
        <f ca="1">COUNTIFS('⚡ Leads'!D:D,"&gt;="&amp;AA19,'⚡ Leads'!D:D,"&lt;"&amp;EDATE(AA19,1))</f>
        <v>99</v>
      </c>
      <c r="AC19" s="8">
        <f ca="1">COUNTIFS('⚡ Events'!C:C,"&gt;="&amp;AA19,'⚡ Events'!C:C,"&lt;"&amp;EDATE(AA19,1))</f>
        <v>130</v>
      </c>
      <c r="AD19" s="8">
        <f ca="1">COUNTIFS('⚡ Opportunities'!C:C,"&gt;="&amp;AA19,'⚡ Opportunities'!C:C,"&lt;"&amp;EDATE(AA19,1))</f>
        <v>123</v>
      </c>
      <c r="AE19" s="8">
        <f ca="1">COUNTIFS('⚡ Opportunities'!C:C,"&gt;="&amp;AA19,'⚡ Opportunities'!C:C,"&lt;"&amp;EDATE(AA19,1),'⚡ Opportunities'!F:F,TRUE,'⚡ Opportunities'!G:G,TRUE)</f>
        <v>71</v>
      </c>
      <c r="AF19" s="9">
        <f ca="1">SUMIFS('⚡ Opportunities'!H:H,'⚡ Opportunities'!C:C,"&gt;="&amp;AA19,'⚡ Opportunities'!C:C,"&lt;"&amp;EDATE(AA19,1),'⚡ Opportunities'!F:F,TRUE,'⚡ Opportunities'!G:G,TRUE)</f>
        <v>100590</v>
      </c>
      <c r="AG19" s="6"/>
      <c r="AH19" s="13">
        <f t="shared" ca="1" si="1"/>
        <v>45778</v>
      </c>
      <c r="AI19" s="8">
        <f ca="1">COUNTIFS('⚡ Leads'!D:D,"&gt;="&amp;AA19,'⚡ Leads'!D:D,"&lt;"&amp;EDATE(AA19,1))</f>
        <v>99</v>
      </c>
      <c r="AJ19" s="8">
        <f ca="1">COUNTIFS('⚡ Events'!C:C,"&gt;="&amp;AA19,'⚡ Events'!C:C,"&lt;"&amp;EDATE(AA19,1))</f>
        <v>130</v>
      </c>
      <c r="AK19" s="8">
        <f ca="1">COUNTIFS('⚡ Opportunities'!C:C,"&gt;="&amp;AA19,'⚡ Opportunities'!C:C,"&lt;"&amp;EDATE(AA19,1))</f>
        <v>123</v>
      </c>
      <c r="AL19" s="8">
        <f ca="1">COUNTIFS('⚡ Opportunities'!C:C,"&gt;="&amp;AA19,'⚡ Opportunities'!C:C,"&lt;"&amp;EDATE(AA19,1),'⚡ Opportunities'!F:F,TRUE,'⚡ Opportunities'!G:G,TRUE)</f>
        <v>71</v>
      </c>
      <c r="AM19" s="9">
        <f ca="1">SUMIFS('⚡ Opportunities'!H:H,'⚡ Opportunities'!C:C,"&gt;="&amp;AA19,'⚡ Opportunities'!C:C,"&lt;"&amp;EDATE(AA19,1),'⚡ Opportunities'!F:F,TRUE,'⚡ Opportunities'!G:G,TRUE)</f>
        <v>100590</v>
      </c>
      <c r="AN19" s="6"/>
      <c r="AO19" s="13">
        <f t="shared" si="2"/>
        <v>45717</v>
      </c>
      <c r="AP19" s="8">
        <f ca="1">COUNTIFS('⚡ Leads'!D:D,"&gt;="&amp;AA19,'⚡ Leads'!D:D,"&lt;"&amp;EDATE(AA19,1))</f>
        <v>99</v>
      </c>
      <c r="AQ19" s="8">
        <f ca="1">COUNTIFS('⚡ Events'!C:C,"&gt;="&amp;AA19,'⚡ Events'!C:C,"&lt;"&amp;EDATE(AA19,1))</f>
        <v>130</v>
      </c>
      <c r="AR19" s="8">
        <f ca="1">COUNTIFS('⚡ Opportunities'!C:C,"&gt;="&amp;AA19,'⚡ Opportunities'!C:C,"&lt;"&amp;EDATE(AA19,1))</f>
        <v>123</v>
      </c>
      <c r="AS19" s="8">
        <f ca="1">COUNTIFS('⚡ Opportunities'!C:C,"&gt;="&amp;AA19,'⚡ Opportunities'!C:C,"&lt;"&amp;EDATE(AA19,1),'⚡ Opportunities'!F:F,TRUE,'⚡ Opportunities'!G:G,TRUE)</f>
        <v>71</v>
      </c>
      <c r="AT19" s="9">
        <f ca="1">SUMIFS('⚡ Opportunities'!H:H,'⚡ Opportunities'!C:C,"&gt;="&amp;AA19,'⚡ Opportunities'!C:C,"&lt;"&amp;EDATE(AA19,1),'⚡ Opportunities'!F:F,TRUE,'⚡ Opportunities'!G:G,TRUE)</f>
        <v>100590</v>
      </c>
    </row>
    <row r="20" spans="1:46" ht="11.25" customHeight="1" x14ac:dyDescent="0.3">
      <c r="A20" s="27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27"/>
      <c r="Q20" s="6"/>
      <c r="R20" s="13">
        <f ca="1"/>
        <v>46539</v>
      </c>
      <c r="S20" s="8">
        <f ca="1"/>
        <v>90.186248877758587</v>
      </c>
      <c r="T20" s="8">
        <f ca="1"/>
        <v>119.9541125981079</v>
      </c>
      <c r="U20" s="8">
        <f ca="1"/>
        <v>112.00512779415605</v>
      </c>
      <c r="V20" s="8">
        <f ca="1"/>
        <v>61.927094095838875</v>
      </c>
      <c r="W20" s="9">
        <f ca="1"/>
        <v>99578.494482361843</v>
      </c>
      <c r="X20" s="9">
        <f ca="1"/>
        <v>1794372.4095178158</v>
      </c>
      <c r="Y20" s="9" t="str">
        <f ca="1"/>
        <v>$100k</v>
      </c>
      <c r="Z20" s="6"/>
      <c r="AA20" s="13">
        <f t="shared" ca="1" si="0"/>
        <v>45809</v>
      </c>
      <c r="AB20" s="8">
        <f ca="1">COUNTIFS('⚡ Leads'!D:D,"&gt;="&amp;AA20,'⚡ Leads'!D:D,"&lt;"&amp;EDATE(AA20,1))</f>
        <v>97</v>
      </c>
      <c r="AC20" s="8">
        <f ca="1">COUNTIFS('⚡ Events'!C:C,"&gt;="&amp;AA20,'⚡ Events'!C:C,"&lt;"&amp;EDATE(AA20,1))</f>
        <v>129</v>
      </c>
      <c r="AD20" s="8">
        <f ca="1">COUNTIFS('⚡ Opportunities'!C:C,"&gt;="&amp;AA20,'⚡ Opportunities'!C:C,"&lt;"&amp;EDATE(AA20,1))</f>
        <v>122</v>
      </c>
      <c r="AE20" s="8">
        <f ca="1">COUNTIFS('⚡ Opportunities'!C:C,"&gt;="&amp;AA20,'⚡ Opportunities'!C:C,"&lt;"&amp;EDATE(AA20,1),'⚡ Opportunities'!F:F,TRUE,'⚡ Opportunities'!G:G,TRUE)</f>
        <v>65</v>
      </c>
      <c r="AF20" s="9">
        <f ca="1">SUMIFS('⚡ Opportunities'!H:H,'⚡ Opportunities'!C:C,"&gt;="&amp;AA20,'⚡ Opportunities'!C:C,"&lt;"&amp;EDATE(AA20,1),'⚡ Opportunities'!F:F,TRUE,'⚡ Opportunities'!G:G,TRUE)</f>
        <v>98170</v>
      </c>
      <c r="AG20" s="6"/>
      <c r="AH20" s="13">
        <f t="shared" ca="1" si="1"/>
        <v>45809</v>
      </c>
      <c r="AI20" s="8">
        <f ca="1">COUNTIFS('⚡ Leads'!D:D,"&gt;="&amp;AA20,'⚡ Leads'!D:D,"&lt;"&amp;EDATE(AA20,1))</f>
        <v>97</v>
      </c>
      <c r="AJ20" s="8">
        <f ca="1">COUNTIFS('⚡ Events'!C:C,"&gt;="&amp;AA20,'⚡ Events'!C:C,"&lt;"&amp;EDATE(AA20,1))</f>
        <v>129</v>
      </c>
      <c r="AK20" s="8">
        <f ca="1">COUNTIFS('⚡ Opportunities'!C:C,"&gt;="&amp;AA20,'⚡ Opportunities'!C:C,"&lt;"&amp;EDATE(AA20,1))</f>
        <v>122</v>
      </c>
      <c r="AL20" s="8">
        <f ca="1">COUNTIFS('⚡ Opportunities'!C:C,"&gt;="&amp;AA20,'⚡ Opportunities'!C:C,"&lt;"&amp;EDATE(AA20,1),'⚡ Opportunities'!F:F,TRUE,'⚡ Opportunities'!G:G,TRUE)</f>
        <v>65</v>
      </c>
      <c r="AM20" s="9">
        <f ca="1">SUMIFS('⚡ Opportunities'!H:H,'⚡ Opportunities'!C:C,"&gt;="&amp;AA20,'⚡ Opportunities'!C:C,"&lt;"&amp;EDATE(AA20,1),'⚡ Opportunities'!F:F,TRUE,'⚡ Opportunities'!G:G,TRUE)</f>
        <v>98170</v>
      </c>
      <c r="AN20" s="6"/>
      <c r="AO20" s="13">
        <f t="shared" si="2"/>
        <v>45748</v>
      </c>
      <c r="AP20" s="8">
        <f ca="1">IFERROR(AP19*$G$6+(1-$G$6)*AVERAGE(AP3:AP19),"")</f>
        <v>95.28235294117647</v>
      </c>
      <c r="AQ20" s="8">
        <f t="shared" ref="AQ20:AT20" ca="1" si="3">IFERROR(AQ19*$G$6+(1-$G$6)*AVERAGE(AQ3:AQ19),"")</f>
        <v>125.64705882352941</v>
      </c>
      <c r="AR20" s="8">
        <f t="shared" ca="1" si="3"/>
        <v>118.35294117647059</v>
      </c>
      <c r="AS20" s="8">
        <f t="shared" ca="1" si="3"/>
        <v>67.564705882352939</v>
      </c>
      <c r="AT20" s="8">
        <f t="shared" ca="1" si="3"/>
        <v>98775.76470588235</v>
      </c>
    </row>
    <row r="21" spans="1:46" ht="22" customHeight="1" x14ac:dyDescent="0.3">
      <c r="A21" s="27"/>
      <c r="B21" s="49" t="s">
        <v>15</v>
      </c>
      <c r="C21" s="50"/>
      <c r="D21" s="34">
        <f t="array" aca="1" ref="D21:O22" ca="1">TRANSPOSE(W3:X14)</f>
        <v>99793.517418215008</v>
      </c>
      <c r="E21" s="34">
        <f ca="1"/>
        <v>99950.891669412144</v>
      </c>
      <c r="F21" s="34">
        <f ca="1"/>
        <v>99972.213325304125</v>
      </c>
      <c r="G21" s="34">
        <f ca="1"/>
        <v>100038.59080678599</v>
      </c>
      <c r="H21" s="34">
        <f ca="1"/>
        <v>99437.793860286605</v>
      </c>
      <c r="I21" s="34">
        <f ca="1"/>
        <v>99384.071524972838</v>
      </c>
      <c r="J21" s="34">
        <f ca="1"/>
        <v>99638.670968780309</v>
      </c>
      <c r="K21" s="34">
        <f ca="1"/>
        <v>99836.21724110606</v>
      </c>
      <c r="L21" s="34">
        <f ca="1"/>
        <v>100041.73916768555</v>
      </c>
      <c r="M21" s="34">
        <f ca="1"/>
        <v>99855.706581510152</v>
      </c>
      <c r="N21" s="34">
        <f ca="1"/>
        <v>99698.241766469961</v>
      </c>
      <c r="O21" s="35">
        <f ca="1"/>
        <v>99583.122585738834</v>
      </c>
      <c r="P21" s="27"/>
      <c r="Q21" s="6"/>
      <c r="R21" s="13">
        <f ca="1"/>
        <v>46569</v>
      </c>
      <c r="S21" s="8">
        <f ca="1"/>
        <v>90.196489061494248</v>
      </c>
      <c r="T21" s="8">
        <f ca="1"/>
        <v>119.96962977887922</v>
      </c>
      <c r="U21" s="8">
        <f ca="1"/>
        <v>112.01862775685215</v>
      </c>
      <c r="V21" s="8">
        <f ca="1"/>
        <v>61.918350569488979</v>
      </c>
      <c r="W21" s="9">
        <f ca="1"/>
        <v>99599.01784588478</v>
      </c>
      <c r="X21" s="9">
        <f ca="1"/>
        <v>1893971.4273637007</v>
      </c>
      <c r="Y21" s="9" t="str">
        <f ca="1"/>
        <v>$100k</v>
      </c>
      <c r="Z21" s="6"/>
      <c r="AA21" s="13">
        <f t="shared" ca="1" si="0"/>
        <v>45839</v>
      </c>
      <c r="AB21" s="8">
        <f ca="1">COUNTIFS('⚡ Leads'!D:D,"&gt;="&amp;AA21,'⚡ Leads'!D:D,"&lt;"&amp;EDATE(AA21,1))</f>
        <v>101</v>
      </c>
      <c r="AC21" s="8">
        <f ca="1">COUNTIFS('⚡ Events'!C:C,"&gt;="&amp;AA21,'⚡ Events'!C:C,"&lt;"&amp;EDATE(AA21,1))</f>
        <v>131</v>
      </c>
      <c r="AD21" s="8">
        <f ca="1">COUNTIFS('⚡ Opportunities'!C:C,"&gt;="&amp;AA21,'⚡ Opportunities'!C:C,"&lt;"&amp;EDATE(AA21,1))</f>
        <v>126</v>
      </c>
      <c r="AE21" s="8">
        <f ca="1">COUNTIFS('⚡ Opportunities'!C:C,"&gt;="&amp;AA21,'⚡ Opportunities'!C:C,"&lt;"&amp;EDATE(AA21,1),'⚡ Opportunities'!F:F,TRUE,'⚡ Opportunities'!G:G,TRUE)</f>
        <v>65</v>
      </c>
      <c r="AF21" s="9">
        <f ca="1">SUMIFS('⚡ Opportunities'!H:H,'⚡ Opportunities'!C:C,"&gt;="&amp;AA21,'⚡ Opportunities'!C:C,"&lt;"&amp;EDATE(AA21,1),'⚡ Opportunities'!F:F,TRUE,'⚡ Opportunities'!G:G,TRUE)</f>
        <v>107140</v>
      </c>
      <c r="AG21" s="6"/>
      <c r="AH21" s="13">
        <f t="shared" ca="1" si="1"/>
        <v>45839</v>
      </c>
      <c r="AI21" s="8">
        <f ca="1">COUNTIFS('⚡ Leads'!D:D,"&gt;="&amp;AA21,'⚡ Leads'!D:D,"&lt;"&amp;EDATE(AA21,1))</f>
        <v>101</v>
      </c>
      <c r="AJ21" s="8">
        <f ca="1">COUNTIFS('⚡ Events'!C:C,"&gt;="&amp;AA21,'⚡ Events'!C:C,"&lt;"&amp;EDATE(AA21,1))</f>
        <v>131</v>
      </c>
      <c r="AK21" s="8">
        <f ca="1">COUNTIFS('⚡ Opportunities'!C:C,"&gt;="&amp;AA21,'⚡ Opportunities'!C:C,"&lt;"&amp;EDATE(AA21,1))</f>
        <v>126</v>
      </c>
      <c r="AL21" s="8">
        <f ca="1">COUNTIFS('⚡ Opportunities'!C:C,"&gt;="&amp;AA21,'⚡ Opportunities'!C:C,"&lt;"&amp;EDATE(AA21,1),'⚡ Opportunities'!F:F,TRUE,'⚡ Opportunities'!G:G,TRUE)</f>
        <v>65</v>
      </c>
      <c r="AM21" s="9">
        <f ca="1">SUMIFS('⚡ Opportunities'!H:H,'⚡ Opportunities'!C:C,"&gt;="&amp;AA21,'⚡ Opportunities'!C:C,"&lt;"&amp;EDATE(AA21,1),'⚡ Opportunities'!F:F,TRUE,'⚡ Opportunities'!G:G,TRUE)</f>
        <v>107140</v>
      </c>
      <c r="AN21" s="6"/>
      <c r="AO21" s="13">
        <f t="shared" si="2"/>
        <v>45778</v>
      </c>
      <c r="AP21" s="8">
        <f t="shared" ref="AP21:AT21" ca="1" si="4">IFERROR(AP20*$G$6+(1-$G$6)*AVERAGE(AP4:AP20),"")</f>
        <v>92.723321799307968</v>
      </c>
      <c r="AQ21" s="8">
        <f t="shared" ca="1" si="4"/>
        <v>122.66643598615917</v>
      </c>
      <c r="AR21" s="8">
        <f t="shared" ca="1" si="4"/>
        <v>115.15709342560554</v>
      </c>
      <c r="AS21" s="8">
        <f t="shared" ca="1" si="4"/>
        <v>65.11723183391004</v>
      </c>
      <c r="AT21" s="8">
        <f t="shared" ca="1" si="4"/>
        <v>97649.150173010377</v>
      </c>
    </row>
    <row r="22" spans="1:46" ht="22" customHeight="1" x14ac:dyDescent="0.3">
      <c r="A22" s="27"/>
      <c r="B22" s="49" t="s">
        <v>16</v>
      </c>
      <c r="C22" s="50"/>
      <c r="D22" s="34">
        <f ca="1"/>
        <v>99793.517418215008</v>
      </c>
      <c r="E22" s="34">
        <f ca="1"/>
        <v>199744.40908762714</v>
      </c>
      <c r="F22" s="34">
        <f ca="1"/>
        <v>299716.62241293129</v>
      </c>
      <c r="G22" s="34">
        <f ca="1"/>
        <v>399755.21321971726</v>
      </c>
      <c r="H22" s="34">
        <f ca="1"/>
        <v>499193.00708000385</v>
      </c>
      <c r="I22" s="34">
        <f ca="1"/>
        <v>598577.07860497665</v>
      </c>
      <c r="J22" s="34">
        <f ca="1"/>
        <v>698215.74957375694</v>
      </c>
      <c r="K22" s="34">
        <f ca="1"/>
        <v>798051.96681486303</v>
      </c>
      <c r="L22" s="34">
        <f ca="1"/>
        <v>898093.70598254853</v>
      </c>
      <c r="M22" s="34">
        <f ca="1"/>
        <v>997949.41256405867</v>
      </c>
      <c r="N22" s="34">
        <f ca="1"/>
        <v>1097647.6543305286</v>
      </c>
      <c r="O22" s="35">
        <f ca="1"/>
        <v>1197230.7769162674</v>
      </c>
      <c r="P22" s="27"/>
      <c r="Q22" s="6"/>
      <c r="R22" s="13">
        <f ca="1"/>
        <v>46600</v>
      </c>
      <c r="S22" s="8">
        <f ca="1"/>
        <v>90.216995868140955</v>
      </c>
      <c r="T22" s="8">
        <f ca="1"/>
        <v>119.99679192978155</v>
      </c>
      <c r="U22" s="8">
        <f ca="1"/>
        <v>112.04605448566029</v>
      </c>
      <c r="V22" s="8">
        <f ca="1"/>
        <v>61.919889592848797</v>
      </c>
      <c r="W22" s="9">
        <f ca="1"/>
        <v>99611.296844661643</v>
      </c>
      <c r="X22" s="9">
        <f ca="1"/>
        <v>1993582.7242083624</v>
      </c>
      <c r="Y22" s="9" t="str">
        <f ca="1"/>
        <v>$100k</v>
      </c>
      <c r="Z22" s="6"/>
      <c r="AA22" s="13">
        <f t="shared" ca="1" si="0"/>
        <v>45870</v>
      </c>
      <c r="AB22" s="8">
        <f ca="1">COUNTIFS('⚡ Leads'!D:D,"&gt;="&amp;AA22,'⚡ Leads'!D:D,"&lt;"&amp;EDATE(AA22,1))</f>
        <v>104</v>
      </c>
      <c r="AC22" s="8">
        <f ca="1">COUNTIFS('⚡ Events'!C:C,"&gt;="&amp;AA22,'⚡ Events'!C:C,"&lt;"&amp;EDATE(AA22,1))</f>
        <v>135</v>
      </c>
      <c r="AD22" s="8">
        <f ca="1">COUNTIFS('⚡ Opportunities'!C:C,"&gt;="&amp;AA22,'⚡ Opportunities'!C:C,"&lt;"&amp;EDATE(AA22,1))</f>
        <v>130</v>
      </c>
      <c r="AE22" s="8">
        <f ca="1">COUNTIFS('⚡ Opportunities'!C:C,"&gt;="&amp;AA22,'⚡ Opportunities'!C:C,"&lt;"&amp;EDATE(AA22,1),'⚡ Opportunities'!F:F,TRUE,'⚡ Opportunities'!G:G,TRUE)</f>
        <v>69</v>
      </c>
      <c r="AF22" s="9">
        <f ca="1">SUMIFS('⚡ Opportunities'!H:H,'⚡ Opportunities'!C:C,"&gt;="&amp;AA22,'⚡ Opportunities'!C:C,"&lt;"&amp;EDATE(AA22,1),'⚡ Opportunities'!F:F,TRUE,'⚡ Opportunities'!G:G,TRUE)</f>
        <v>90170</v>
      </c>
      <c r="AG22" s="6"/>
      <c r="AH22" s="13">
        <f t="shared" ca="1" si="1"/>
        <v>45870</v>
      </c>
      <c r="AI22" s="8">
        <f ca="1">COUNTIFS('⚡ Leads'!D:D,"&gt;="&amp;AA22,'⚡ Leads'!D:D,"&lt;"&amp;EDATE(AA22,1))</f>
        <v>104</v>
      </c>
      <c r="AJ22" s="8">
        <f ca="1">COUNTIFS('⚡ Events'!C:C,"&gt;="&amp;AA22,'⚡ Events'!C:C,"&lt;"&amp;EDATE(AA22,1))</f>
        <v>135</v>
      </c>
      <c r="AK22" s="8">
        <f ca="1">COUNTIFS('⚡ Opportunities'!C:C,"&gt;="&amp;AA22,'⚡ Opportunities'!C:C,"&lt;"&amp;EDATE(AA22,1))</f>
        <v>130</v>
      </c>
      <c r="AL22" s="8">
        <f ca="1">COUNTIFS('⚡ Opportunities'!C:C,"&gt;="&amp;AA22,'⚡ Opportunities'!C:C,"&lt;"&amp;EDATE(AA22,1),'⚡ Opportunities'!F:F,TRUE,'⚡ Opportunities'!G:G,TRUE)</f>
        <v>69</v>
      </c>
      <c r="AM22" s="9">
        <f ca="1">SUMIFS('⚡ Opportunities'!H:H,'⚡ Opportunities'!C:C,"&gt;="&amp;AA22,'⚡ Opportunities'!C:C,"&lt;"&amp;EDATE(AA22,1),'⚡ Opportunities'!F:F,TRUE,'⚡ Opportunities'!G:G,TRUE)</f>
        <v>90170</v>
      </c>
      <c r="AN22" s="6"/>
      <c r="AO22" s="13">
        <f t="shared" si="2"/>
        <v>45809</v>
      </c>
      <c r="AP22" s="8">
        <f t="shared" ref="AP22:AT22" ca="1" si="5">IFERROR(AP21*$G$6+(1-$G$6)*AVERAGE(AP5:AP21),"")</f>
        <v>91.025783024628552</v>
      </c>
      <c r="AQ22" s="8">
        <f t="shared" ca="1" si="5"/>
        <v>120.71330755139427</v>
      </c>
      <c r="AR22" s="8">
        <f t="shared" ca="1" si="5"/>
        <v>113.01402808874415</v>
      </c>
      <c r="AS22" s="8">
        <f t="shared" ca="1" si="5"/>
        <v>63.454749440260542</v>
      </c>
      <c r="AT22" s="8">
        <f t="shared" ca="1" si="5"/>
        <v>97061.84854874821</v>
      </c>
    </row>
    <row r="23" spans="1:46" ht="13" x14ac:dyDescent="0.3">
      <c r="A23" s="3"/>
      <c r="B23" s="51"/>
      <c r="C23" s="52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"/>
      <c r="Q23" s="6"/>
      <c r="R23" s="13">
        <f ca="1"/>
        <v>46631</v>
      </c>
      <c r="S23" s="8">
        <f ca="1"/>
        <v>90.242808744335662</v>
      </c>
      <c r="T23" s="8">
        <f ca="1"/>
        <v>120.02957379470226</v>
      </c>
      <c r="U23" s="8">
        <f ca="1"/>
        <v>112.08086829149265</v>
      </c>
      <c r="V23" s="8">
        <f ca="1"/>
        <v>61.929784497523556</v>
      </c>
      <c r="W23" s="9">
        <f ca="1"/>
        <v>99616.873967440275</v>
      </c>
      <c r="X23" s="9">
        <f ca="1"/>
        <v>2093199.5981758027</v>
      </c>
      <c r="Y23" s="9" t="str">
        <f ca="1"/>
        <v>$100k</v>
      </c>
      <c r="Z23" s="6"/>
      <c r="AA23" s="13">
        <f t="shared" ca="1" si="0"/>
        <v>45901</v>
      </c>
      <c r="AB23" s="8">
        <f ca="1">COUNTIFS('⚡ Leads'!D:D,"&gt;="&amp;AA23,'⚡ Leads'!D:D,"&lt;"&amp;EDATE(AA23,1))</f>
        <v>102</v>
      </c>
      <c r="AC23" s="8">
        <f ca="1">COUNTIFS('⚡ Events'!C:C,"&gt;="&amp;AA23,'⚡ Events'!C:C,"&lt;"&amp;EDATE(AA23,1))</f>
        <v>133</v>
      </c>
      <c r="AD23" s="8">
        <f ca="1">COUNTIFS('⚡ Opportunities'!C:C,"&gt;="&amp;AA23,'⚡ Opportunities'!C:C,"&lt;"&amp;EDATE(AA23,1))</f>
        <v>127</v>
      </c>
      <c r="AE23" s="8">
        <f ca="1">COUNTIFS('⚡ Opportunities'!C:C,"&gt;="&amp;AA23,'⚡ Opportunities'!C:C,"&lt;"&amp;EDATE(AA23,1),'⚡ Opportunities'!F:F,TRUE,'⚡ Opportunities'!G:G,TRUE)</f>
        <v>70</v>
      </c>
      <c r="AF23" s="9">
        <f ca="1">SUMIFS('⚡ Opportunities'!H:H,'⚡ Opportunities'!C:C,"&gt;="&amp;AA23,'⚡ Opportunities'!C:C,"&lt;"&amp;EDATE(AA23,1),'⚡ Opportunities'!F:F,TRUE,'⚡ Opportunities'!G:G,TRUE)</f>
        <v>108190</v>
      </c>
      <c r="AG23" s="6"/>
      <c r="AH23" s="13">
        <f t="shared" ca="1" si="1"/>
        <v>45901</v>
      </c>
      <c r="AI23" s="8">
        <f ca="1">COUNTIFS('⚡ Leads'!D:D,"&gt;="&amp;AA23,'⚡ Leads'!D:D,"&lt;"&amp;EDATE(AA23,1))</f>
        <v>102</v>
      </c>
      <c r="AJ23" s="8">
        <f ca="1">COUNTIFS('⚡ Events'!C:C,"&gt;="&amp;AA23,'⚡ Events'!C:C,"&lt;"&amp;EDATE(AA23,1))</f>
        <v>133</v>
      </c>
      <c r="AK23" s="8">
        <f ca="1">COUNTIFS('⚡ Opportunities'!C:C,"&gt;="&amp;AA23,'⚡ Opportunities'!C:C,"&lt;"&amp;EDATE(AA23,1))</f>
        <v>127</v>
      </c>
      <c r="AL23" s="8">
        <f ca="1">COUNTIFS('⚡ Opportunities'!C:C,"&gt;="&amp;AA23,'⚡ Opportunities'!C:C,"&lt;"&amp;EDATE(AA23,1),'⚡ Opportunities'!F:F,TRUE,'⚡ Opportunities'!G:G,TRUE)</f>
        <v>70</v>
      </c>
      <c r="AM23" s="9">
        <f ca="1">SUMIFS('⚡ Opportunities'!H:H,'⚡ Opportunities'!C:C,"&gt;="&amp;AA23,'⚡ Opportunities'!C:C,"&lt;"&amp;EDATE(AA23,1),'⚡ Opportunities'!F:F,TRUE,'⚡ Opportunities'!G:G,TRUE)</f>
        <v>108190</v>
      </c>
      <c r="AN23" s="6"/>
      <c r="AO23" s="13">
        <f t="shared" si="2"/>
        <v>45839</v>
      </c>
      <c r="AP23" s="8">
        <f t="shared" ref="AP23:AT23" ca="1" si="6">IFERROR(AP22*$G$6+(1-$G$6)*AVERAGE(AP6:AP22),"")</f>
        <v>89.950408275762996</v>
      </c>
      <c r="AQ23" s="8">
        <f t="shared" ca="1" si="6"/>
        <v>119.47684371595169</v>
      </c>
      <c r="AR23" s="8">
        <f t="shared" ca="1" si="6"/>
        <v>111.64091732618144</v>
      </c>
      <c r="AS23" s="8">
        <f t="shared" ca="1" si="6"/>
        <v>62.353642930520479</v>
      </c>
      <c r="AT23" s="8">
        <f t="shared" ca="1" si="6"/>
        <v>97149.911349911999</v>
      </c>
    </row>
    <row r="24" spans="1:46" ht="19.5" x14ac:dyDescent="0.3">
      <c r="A24" s="3"/>
      <c r="B24" s="38"/>
      <c r="C24" s="38"/>
      <c r="D24" s="3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6"/>
      <c r="R24" s="13">
        <f ca="1"/>
        <v>46661</v>
      </c>
      <c r="S24" s="8">
        <f ca="1"/>
        <v>90.269624743992679</v>
      </c>
      <c r="T24" s="8">
        <f ca="1"/>
        <v>120.06290924090331</v>
      </c>
      <c r="U24" s="8">
        <f ca="1"/>
        <v>112.11736230511545</v>
      </c>
      <c r="V24" s="8">
        <f ca="1"/>
        <v>61.945160428519145</v>
      </c>
      <c r="W24" s="9">
        <f ca="1"/>
        <v>99616.37429108264</v>
      </c>
      <c r="X24" s="9">
        <f ca="1"/>
        <v>2192815.9724668856</v>
      </c>
      <c r="Y24" s="9" t="str">
        <f ca="1"/>
        <v>$100k</v>
      </c>
      <c r="Z24" s="6"/>
      <c r="AA24" s="13">
        <f t="shared" ca="1" si="0"/>
        <v>45931</v>
      </c>
      <c r="AB24" s="8">
        <f ca="1">COUNTIFS('⚡ Leads'!D:D,"&gt;="&amp;AA24,'⚡ Leads'!D:D,"&lt;"&amp;EDATE(AA24,1))</f>
        <v>107</v>
      </c>
      <c r="AC24" s="8">
        <f ca="1">COUNTIFS('⚡ Events'!C:C,"&gt;="&amp;AA24,'⚡ Events'!C:C,"&lt;"&amp;EDATE(AA24,1))</f>
        <v>137</v>
      </c>
      <c r="AD24" s="8">
        <f ca="1">COUNTIFS('⚡ Opportunities'!C:C,"&gt;="&amp;AA24,'⚡ Opportunities'!C:C,"&lt;"&amp;EDATE(AA24,1))</f>
        <v>133</v>
      </c>
      <c r="AE24" s="8">
        <f ca="1">COUNTIFS('⚡ Opportunities'!C:C,"&gt;="&amp;AA24,'⚡ Opportunities'!C:C,"&lt;"&amp;EDATE(AA24,1),'⚡ Opportunities'!F:F,TRUE,'⚡ Opportunities'!G:G,TRUE)</f>
        <v>72</v>
      </c>
      <c r="AF24" s="9">
        <f ca="1">SUMIFS('⚡ Opportunities'!H:H,'⚡ Opportunities'!C:C,"&gt;="&amp;AA24,'⚡ Opportunities'!C:C,"&lt;"&amp;EDATE(AA24,1),'⚡ Opportunities'!F:F,TRUE,'⚡ Opportunities'!G:G,TRUE)</f>
        <v>153340</v>
      </c>
      <c r="AG24" s="6"/>
      <c r="AH24" s="13">
        <f t="shared" ca="1" si="1"/>
        <v>45931</v>
      </c>
      <c r="AI24" s="8">
        <f ca="1">COUNTIFS('⚡ Leads'!D:D,"&gt;="&amp;AA24,'⚡ Leads'!D:D,"&lt;"&amp;EDATE(AA24,1))</f>
        <v>107</v>
      </c>
      <c r="AJ24" s="8">
        <f ca="1">COUNTIFS('⚡ Events'!C:C,"&gt;="&amp;AA24,'⚡ Events'!C:C,"&lt;"&amp;EDATE(AA24,1))</f>
        <v>137</v>
      </c>
      <c r="AK24" s="8">
        <f ca="1">COUNTIFS('⚡ Opportunities'!C:C,"&gt;="&amp;AA24,'⚡ Opportunities'!C:C,"&lt;"&amp;EDATE(AA24,1))</f>
        <v>133</v>
      </c>
      <c r="AL24" s="8">
        <f ca="1">COUNTIFS('⚡ Opportunities'!C:C,"&gt;="&amp;AA24,'⚡ Opportunities'!C:C,"&lt;"&amp;EDATE(AA24,1),'⚡ Opportunities'!F:F,TRUE,'⚡ Opportunities'!G:G,TRUE)</f>
        <v>72</v>
      </c>
      <c r="AM24" s="9">
        <f ca="1">SUMIFS('⚡ Opportunities'!H:H,'⚡ Opportunities'!C:C,"&gt;="&amp;AA24,'⚡ Opportunities'!C:C,"&lt;"&amp;EDATE(AA24,1),'⚡ Opportunities'!F:F,TRUE,'⚡ Opportunities'!G:G,TRUE)</f>
        <v>153340</v>
      </c>
      <c r="AN24" s="6"/>
      <c r="AO24" s="13">
        <f t="shared" si="2"/>
        <v>45870</v>
      </c>
      <c r="AP24" s="8">
        <f t="shared" ref="AP24:AT24" ca="1" si="7">IFERROR(AP23*$G$6+(1-$G$6)*AVERAGE(AP7:AP23),"")</f>
        <v>89.313054456385402</v>
      </c>
      <c r="AQ24" s="8">
        <f t="shared" ca="1" si="7"/>
        <v>118.7521061030794</v>
      </c>
      <c r="AR24" s="8">
        <f t="shared" ca="1" si="7"/>
        <v>110.84408656702753</v>
      </c>
      <c r="AS24" s="8">
        <f t="shared" ca="1" si="7"/>
        <v>61.74750646308749</v>
      </c>
      <c r="AT24" s="8">
        <f t="shared" ca="1" si="7"/>
        <v>97718.595842018462</v>
      </c>
    </row>
    <row r="25" spans="1:46" ht="19.5" x14ac:dyDescent="0.3">
      <c r="A25" s="3"/>
      <c r="B25" s="48" t="s">
        <v>17</v>
      </c>
      <c r="C25" s="47"/>
      <c r="D25" s="4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6"/>
      <c r="R25" s="13">
        <f ca="1"/>
        <v>46692</v>
      </c>
      <c r="S25" s="8">
        <f ca="1"/>
        <v>90.294207691977618</v>
      </c>
      <c r="T25" s="8">
        <f ca="1"/>
        <v>120.0928665501369</v>
      </c>
      <c r="U25" s="8">
        <f ca="1"/>
        <v>112.15104023490828</v>
      </c>
      <c r="V25" s="8">
        <f ca="1"/>
        <v>61.963866668968627</v>
      </c>
      <c r="W25" s="9">
        <f ca="1"/>
        <v>99618.075496241188</v>
      </c>
      <c r="X25" s="9">
        <f ca="1"/>
        <v>2292434.0479631266</v>
      </c>
      <c r="Y25" s="9" t="str">
        <f ca="1"/>
        <v>$100k</v>
      </c>
      <c r="Z25" s="6"/>
      <c r="AA25" s="13">
        <f t="shared" ca="1" si="0"/>
        <v>45962</v>
      </c>
      <c r="AB25" s="8">
        <f ca="1">COUNTIFS('⚡ Leads'!D:D,"&gt;="&amp;AA25,'⚡ Leads'!D:D,"&lt;"&amp;EDATE(AA25,1))</f>
        <v>108</v>
      </c>
      <c r="AC25" s="8">
        <f ca="1">COUNTIFS('⚡ Events'!C:C,"&gt;="&amp;AA25,'⚡ Events'!C:C,"&lt;"&amp;EDATE(AA25,1))</f>
        <v>138</v>
      </c>
      <c r="AD25" s="8">
        <f ca="1">COUNTIFS('⚡ Opportunities'!C:C,"&gt;="&amp;AA25,'⚡ Opportunities'!C:C,"&lt;"&amp;EDATE(AA25,1))</f>
        <v>136</v>
      </c>
      <c r="AE25" s="8">
        <f ca="1">COUNTIFS('⚡ Opportunities'!C:C,"&gt;="&amp;AA25,'⚡ Opportunities'!C:C,"&lt;"&amp;EDATE(AA25,1),'⚡ Opportunities'!F:F,TRUE,'⚡ Opportunities'!G:G,TRUE)</f>
        <v>61</v>
      </c>
      <c r="AF25" s="9">
        <f ca="1">SUMIFS('⚡ Opportunities'!H:H,'⚡ Opportunities'!C:C,"&gt;="&amp;AA25,'⚡ Opportunities'!C:C,"&lt;"&amp;EDATE(AA25,1),'⚡ Opportunities'!F:F,TRUE,'⚡ Opportunities'!G:G,TRUE)</f>
        <v>113700</v>
      </c>
      <c r="AG25" s="6"/>
      <c r="AH25" s="13">
        <f t="shared" ca="1" si="1"/>
        <v>45962</v>
      </c>
      <c r="AI25" s="8">
        <f ca="1">COUNTIFS('⚡ Leads'!D:D,"&gt;="&amp;AA25,'⚡ Leads'!D:D,"&lt;"&amp;EDATE(AA25,1))</f>
        <v>108</v>
      </c>
      <c r="AJ25" s="8">
        <f ca="1">COUNTIFS('⚡ Events'!C:C,"&gt;="&amp;AA25,'⚡ Events'!C:C,"&lt;"&amp;EDATE(AA25,1))</f>
        <v>138</v>
      </c>
      <c r="AK25" s="8">
        <f ca="1">COUNTIFS('⚡ Opportunities'!C:C,"&gt;="&amp;AA25,'⚡ Opportunities'!C:C,"&lt;"&amp;EDATE(AA25,1))</f>
        <v>136</v>
      </c>
      <c r="AL25" s="8">
        <f ca="1">COUNTIFS('⚡ Opportunities'!C:C,"&gt;="&amp;AA25,'⚡ Opportunities'!C:C,"&lt;"&amp;EDATE(AA25,1),'⚡ Opportunities'!F:F,TRUE,'⚡ Opportunities'!G:G,TRUE)</f>
        <v>61</v>
      </c>
      <c r="AM25" s="9">
        <f ca="1">SUMIFS('⚡ Opportunities'!H:H,'⚡ Opportunities'!C:C,"&gt;="&amp;AA25,'⚡ Opportunities'!C:C,"&lt;"&amp;EDATE(AA25,1),'⚡ Opportunities'!F:F,TRUE,'⚡ Opportunities'!G:G,TRUE)</f>
        <v>113700</v>
      </c>
      <c r="AN25" s="6"/>
      <c r="AO25" s="13">
        <f t="shared" si="2"/>
        <v>45901</v>
      </c>
      <c r="AP25" s="8">
        <f t="shared" ref="AP25:AT25" ca="1" si="8">IFERROR(AP24*$G$6+(1-$G$6)*AVERAGE(AP8:AP24),"")</f>
        <v>88.971560276840819</v>
      </c>
      <c r="AQ25" s="8">
        <f t="shared" ca="1" si="8"/>
        <v>118.39292902575897</v>
      </c>
      <c r="AR25" s="8">
        <f t="shared" ca="1" si="8"/>
        <v>110.41655238990472</v>
      </c>
      <c r="AS25" s="8">
        <f t="shared" ca="1" si="8"/>
        <v>61.494920894589185</v>
      </c>
      <c r="AT25" s="8">
        <f t="shared" ca="1" si="8"/>
        <v>98683.762210315603</v>
      </c>
    </row>
    <row r="26" spans="1:46" ht="13" x14ac:dyDescent="0.3">
      <c r="A26" s="3"/>
      <c r="B26" s="46"/>
      <c r="C26" s="4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6"/>
      <c r="R26" s="13">
        <f ca="1"/>
        <v>46722</v>
      </c>
      <c r="S26" s="8">
        <f ca="1"/>
        <v>90.314196865601474</v>
      </c>
      <c r="T26" s="8">
        <f ca="1"/>
        <v>120.11685641154509</v>
      </c>
      <c r="U26" s="8">
        <f ca="1"/>
        <v>112.17853428788584</v>
      </c>
      <c r="V26" s="8">
        <f ca="1"/>
        <v>61.982614139232922</v>
      </c>
      <c r="W26" s="9">
        <f ca="1"/>
        <v>99622.189448265301</v>
      </c>
      <c r="X26" s="9">
        <f ca="1"/>
        <v>2392056.2374113919</v>
      </c>
      <c r="Y26" s="9" t="str">
        <f ca="1"/>
        <v>$100k</v>
      </c>
      <c r="Z26" s="6"/>
      <c r="AA26" s="13">
        <f t="shared" ca="1" si="0"/>
        <v>45992</v>
      </c>
      <c r="AB26" s="8">
        <f ca="1">COUNTIFS('⚡ Leads'!D:D,"&gt;="&amp;AA26,'⚡ Leads'!D:D,"&lt;"&amp;EDATE(AA26,1))</f>
        <v>112</v>
      </c>
      <c r="AC26" s="8">
        <f ca="1">COUNTIFS('⚡ Events'!C:C,"&gt;="&amp;AA26,'⚡ Events'!C:C,"&lt;"&amp;EDATE(AA26,1))</f>
        <v>143</v>
      </c>
      <c r="AD26" s="8">
        <f ca="1">COUNTIFS('⚡ Opportunities'!C:C,"&gt;="&amp;AA26,'⚡ Opportunities'!C:C,"&lt;"&amp;EDATE(AA26,1))</f>
        <v>140</v>
      </c>
      <c r="AE26" s="8">
        <f ca="1">COUNTIFS('⚡ Opportunities'!C:C,"&gt;="&amp;AA26,'⚡ Opportunities'!C:C,"&lt;"&amp;EDATE(AA26,1),'⚡ Opportunities'!F:F,TRUE,'⚡ Opportunities'!G:G,TRUE)</f>
        <v>77</v>
      </c>
      <c r="AF26" s="9">
        <f ca="1">SUMIFS('⚡ Opportunities'!H:H,'⚡ Opportunities'!C:C,"&gt;="&amp;AA26,'⚡ Opportunities'!C:C,"&lt;"&amp;EDATE(AA26,1),'⚡ Opportunities'!F:F,TRUE,'⚡ Opportunities'!G:G,TRUE)</f>
        <v>131910</v>
      </c>
      <c r="AG26" s="6"/>
      <c r="AH26" s="13">
        <f t="shared" ca="1" si="1"/>
        <v>45992</v>
      </c>
      <c r="AI26" s="8">
        <f ca="1">COUNTIFS('⚡ Leads'!D:D,"&gt;="&amp;AA26,'⚡ Leads'!D:D,"&lt;"&amp;EDATE(AA26,1))</f>
        <v>112</v>
      </c>
      <c r="AJ26" s="8">
        <f ca="1">COUNTIFS('⚡ Events'!C:C,"&gt;="&amp;AA26,'⚡ Events'!C:C,"&lt;"&amp;EDATE(AA26,1))</f>
        <v>143</v>
      </c>
      <c r="AK26" s="8">
        <f ca="1">COUNTIFS('⚡ Opportunities'!C:C,"&gt;="&amp;AA26,'⚡ Opportunities'!C:C,"&lt;"&amp;EDATE(AA26,1))</f>
        <v>140</v>
      </c>
      <c r="AL26" s="8">
        <f ca="1">COUNTIFS('⚡ Opportunities'!C:C,"&gt;="&amp;AA26,'⚡ Opportunities'!C:C,"&lt;"&amp;EDATE(AA26,1),'⚡ Opportunities'!F:F,TRUE,'⚡ Opportunities'!G:G,TRUE)</f>
        <v>77</v>
      </c>
      <c r="AM26" s="9">
        <f ca="1">SUMIFS('⚡ Opportunities'!H:H,'⚡ Opportunities'!C:C,"&gt;="&amp;AA26,'⚡ Opportunities'!C:C,"&lt;"&amp;EDATE(AA26,1),'⚡ Opportunities'!F:F,TRUE,'⚡ Opportunities'!G:G,TRUE)</f>
        <v>131910</v>
      </c>
      <c r="AN26" s="6"/>
      <c r="AO26" s="13">
        <f t="shared" si="2"/>
        <v>45931</v>
      </c>
      <c r="AP26" s="8">
        <f t="shared" ref="AP26:AT26" ca="1" si="9">IFERROR(AP25*$G$6+(1-$G$6)*AVERAGE(AP9:AP25),"")</f>
        <v>88.898030348226797</v>
      </c>
      <c r="AQ26" s="8">
        <f t="shared" ca="1" si="9"/>
        <v>118.3455041759704</v>
      </c>
      <c r="AR26" s="8">
        <f t="shared" ca="1" si="9"/>
        <v>110.31471978220534</v>
      </c>
      <c r="AS26" s="8">
        <f t="shared" ca="1" si="9"/>
        <v>61.31043974443277</v>
      </c>
      <c r="AT26" s="8">
        <f t="shared" ca="1" si="9"/>
        <v>99174.057213309978</v>
      </c>
    </row>
    <row r="27" spans="1:46" ht="13" x14ac:dyDescent="0.3">
      <c r="A27" s="3"/>
      <c r="B27" s="46"/>
      <c r="C27" s="4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6"/>
      <c r="R27" s="7"/>
      <c r="S27" s="8"/>
      <c r="T27" s="8"/>
      <c r="U27" s="8"/>
      <c r="V27" s="8"/>
      <c r="W27" s="9"/>
      <c r="X27" s="9"/>
      <c r="Y27" s="9"/>
      <c r="Z27" s="6"/>
      <c r="AA27" s="13">
        <f ca="1">D14</f>
        <v>46023</v>
      </c>
      <c r="AB27" s="8">
        <f ca="1">_xlfn.FORECAST.LINEAR($AA27,AB$3:AB26,$AA$3:$AA26)</f>
        <v>113.68631731701998</v>
      </c>
      <c r="AC27" s="8">
        <f ca="1">_xlfn.FORECAST.LINEAR($AA27,AC$3:AC26,$AA$3:$AA26)</f>
        <v>146.57512953124751</v>
      </c>
      <c r="AD27" s="8">
        <f ca="1">_xlfn.FORECAST.LINEAR($AA27,AD$3:AD26,$AA$3:$AA26)</f>
        <v>142.17011228101273</v>
      </c>
      <c r="AE27" s="8">
        <f ca="1">_xlfn.FORECAST.LINEAR($AA27,AE$3:AE26,$AA$3:$AA26)</f>
        <v>74.829845870370718</v>
      </c>
      <c r="AF27" s="9">
        <f ca="1">_xlfn.FORECAST.LINEAR($AA27,AF$3:AF26,$AA$3:$AA26)</f>
        <v>127961.33560291072</v>
      </c>
      <c r="AG27" s="6"/>
      <c r="AH27" s="13">
        <f ca="1">D14</f>
        <v>46023</v>
      </c>
      <c r="AI27" s="8">
        <f ca="1">IFERROR(AVERAGE(OFFSET(AI26,-$I$6+1,0,$I$6,1)),"")</f>
        <v>100</v>
      </c>
      <c r="AJ27" s="8">
        <f t="shared" ref="AJ27:AJ50" ca="1" si="10">IFERROR(AVERAGE(OFFSET(AJ26,-$I$6+1,0,$I$6,1)),"")</f>
        <v>130.75</v>
      </c>
      <c r="AK27" s="8">
        <f t="shared" ref="AK27:AK50" ca="1" si="11">IFERROR(AVERAGE(OFFSET(AK26,-$I$6+1,0,$I$6,1)),"")</f>
        <v>125</v>
      </c>
      <c r="AL27" s="8">
        <f t="shared" ref="AL27:AL50" ca="1" si="12">IFERROR(AVERAGE(OFFSET(AL26,-$I$6+1,0,$I$6,1)),"")</f>
        <v>66.166666666666671</v>
      </c>
      <c r="AM27" s="9">
        <f t="shared" ref="AM27:AM50" ca="1" si="13">IFERROR(AVERAGE(OFFSET(AM26,-$I$6+1,0,$I$6,1)),"")</f>
        <v>108590.83333333333</v>
      </c>
      <c r="AN27" s="6"/>
      <c r="AO27" s="13">
        <f>K14</f>
        <v>45962</v>
      </c>
      <c r="AP27" s="8">
        <f t="shared" ref="AP27:AT27" ca="1" si="14">IFERROR(AP26*$G$6+(1-$G$6)*AVERAGE(AP10:AP26),"")</f>
        <v>88.979183232961773</v>
      </c>
      <c r="AQ27" s="8">
        <f t="shared" ca="1" si="14"/>
        <v>118.47633493350389</v>
      </c>
      <c r="AR27" s="8">
        <f t="shared" ca="1" si="14"/>
        <v>110.40166216407181</v>
      </c>
      <c r="AS27" s="8">
        <f t="shared" ca="1" si="14"/>
        <v>61.237095291889197</v>
      </c>
      <c r="AT27" s="8">
        <f t="shared" ca="1" si="14"/>
        <v>99793.517418215008</v>
      </c>
    </row>
    <row r="28" spans="1:46" ht="13" x14ac:dyDescent="0.3">
      <c r="A28" s="3"/>
      <c r="B28" s="46"/>
      <c r="C28" s="4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6"/>
      <c r="R28" s="7"/>
      <c r="S28" s="8"/>
      <c r="T28" s="8"/>
      <c r="U28" s="8"/>
      <c r="V28" s="8"/>
      <c r="W28" s="9"/>
      <c r="X28" s="9"/>
      <c r="Y28" s="9"/>
      <c r="Z28" s="6"/>
      <c r="AA28" s="13" cm="1">
        <f t="array" aca="1" ref="AA28:AA50" ca="1">IFERROR(_xlfn.BYROW(_xlfn.SEQUENCE(23),_xlfn.LAMBDA(_xlpm.x,IFERROR(DATE(YEAR(AA27),MONTH(AA27)+_xlpm.x,1),"Month "&amp;(_xlpm.x+1)))),"")</f>
        <v>46054</v>
      </c>
      <c r="AB28" s="8">
        <f ca="1">_xlfn.FORECAST.LINEAR($AA28,AB$3:AB27,$AA$3:$AA27)</f>
        <v>115.82327555929669</v>
      </c>
      <c r="AC28" s="8">
        <f ca="1">_xlfn.FORECAST.LINEAR($AA28,AC$3:AC27,$AA$3:$AA27)</f>
        <v>149.05554680341447</v>
      </c>
      <c r="AD28" s="8">
        <f ca="1">_xlfn.FORECAST.LINEAR($AA28,AD$3:AD27,$AA$3:$AA27)</f>
        <v>144.88873938981078</v>
      </c>
      <c r="AE28" s="8">
        <f ca="1">_xlfn.FORECAST.LINEAR($AA28,AE$3:AE27,$AA$3:$AA27)</f>
        <v>76.192125044605746</v>
      </c>
      <c r="AF28" s="9">
        <f ca="1">_xlfn.FORECAST.LINEAR($AA28,AF$3:AF27,$AA$3:$AA27)</f>
        <v>130376.77335586911</v>
      </c>
      <c r="AG28" s="6"/>
      <c r="AH28" s="13" cm="1">
        <f t="array" aca="1" ref="AH28:AH50" ca="1">IFERROR(_xlfn.BYROW(_xlfn.SEQUENCE(23),_xlfn.LAMBDA(_xlpm.x,IFERROR(DATE(YEAR(AH27),MONTH(AH27)+_xlpm.x,1),"Month "&amp;(_xlpm.x+1)))),"")</f>
        <v>46054</v>
      </c>
      <c r="AI28" s="8">
        <f t="shared" ref="AI28:AI50" ca="1" si="15">IFERROR(AVERAGE(OFFSET(AI27,-$I$6+1,0,$I$6,1)),"")</f>
        <v>100.83333333333333</v>
      </c>
      <c r="AJ28" s="8">
        <f t="shared" ca="1" si="10"/>
        <v>131.72916666666666</v>
      </c>
      <c r="AK28" s="8">
        <f t="shared" ca="1" si="11"/>
        <v>126.16666666666667</v>
      </c>
      <c r="AL28" s="8">
        <f t="shared" ca="1" si="12"/>
        <v>67.013888888888886</v>
      </c>
      <c r="AM28" s="9">
        <f t="shared" ca="1" si="13"/>
        <v>111465.90277777777</v>
      </c>
      <c r="AN28" s="6"/>
      <c r="AO28" s="13" cm="1">
        <f t="array" ref="AO28:AO50">IFERROR(_xlfn.BYROW(_xlfn.SEQUENCE(23),_xlfn.LAMBDA(_xlpm.x,IFERROR(DATE(YEAR(AO27),MONTH(AO27)+_xlpm.x,1),"Month "&amp;(_xlpm.x+1)))),"")</f>
        <v>45992</v>
      </c>
      <c r="AP28" s="8">
        <f t="shared" ref="AP28:AT28" ca="1" si="16">IFERROR(AP27*$G$6+(1-$G$6)*AVERAGE(AP11:AP27),"")</f>
        <v>89.149742990549314</v>
      </c>
      <c r="AQ28" s="8">
        <f t="shared" ca="1" si="16"/>
        <v>118.71601524463073</v>
      </c>
      <c r="AR28" s="8">
        <f t="shared" ca="1" si="16"/>
        <v>110.60535327149522</v>
      </c>
      <c r="AS28" s="8">
        <f t="shared" ca="1" si="16"/>
        <v>61.192973792111857</v>
      </c>
      <c r="AT28" s="8">
        <f t="shared" ca="1" si="16"/>
        <v>99950.891669412144</v>
      </c>
    </row>
    <row r="29" spans="1:46" ht="13" x14ac:dyDescent="0.3">
      <c r="A29" s="3"/>
      <c r="B29" s="46"/>
      <c r="C29" s="4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6"/>
      <c r="R29" s="7"/>
      <c r="S29" s="8"/>
      <c r="T29" s="8"/>
      <c r="U29" s="8"/>
      <c r="V29" s="8"/>
      <c r="W29" s="9"/>
      <c r="X29" s="9"/>
      <c r="Y29" s="9"/>
      <c r="Z29" s="6"/>
      <c r="AA29" s="13">
        <f ca="1"/>
        <v>46082</v>
      </c>
      <c r="AB29" s="8">
        <f ca="1">_xlfn.FORECAST.LINEAR($AA29,AB$3:AB28,$AA$3:$AA28)</f>
        <v>117.75343139103052</v>
      </c>
      <c r="AC29" s="8">
        <f ca="1">_xlfn.FORECAST.LINEAR($AA29,AC$3:AC28,$AA$3:$AA28)</f>
        <v>151.29592369440525</v>
      </c>
      <c r="AD29" s="8">
        <f ca="1">_xlfn.FORECAST.LINEAR($AA29,AD$3:AD28,$AA$3:$AA28)</f>
        <v>147.34427355259686</v>
      </c>
      <c r="AE29" s="8">
        <f ca="1">_xlfn.FORECAST.LINEAR($AA29,AE$3:AE28,$AA$3:$AA28)</f>
        <v>77.422570750366731</v>
      </c>
      <c r="AF29" s="9">
        <f ca="1">_xlfn.FORECAST.LINEAR($AA29,AF$3:AF28,$AA$3:$AA28)</f>
        <v>132558.45906821964</v>
      </c>
      <c r="AG29" s="6"/>
      <c r="AH29" s="13">
        <f ca="1"/>
        <v>46082</v>
      </c>
      <c r="AI29" s="8">
        <f t="shared" ca="1" si="15"/>
        <v>101.56944444444444</v>
      </c>
      <c r="AJ29" s="8">
        <f t="shared" ca="1" si="10"/>
        <v>132.62326388888889</v>
      </c>
      <c r="AK29" s="8">
        <f t="shared" ca="1" si="11"/>
        <v>127.18055555555556</v>
      </c>
      <c r="AL29" s="8">
        <f t="shared" ca="1" si="12"/>
        <v>67.015046296296291</v>
      </c>
      <c r="AM29" s="9">
        <f t="shared" ca="1" si="13"/>
        <v>112408.06134259258</v>
      </c>
      <c r="AN29" s="6"/>
      <c r="AO29" s="13">
        <v>46023</v>
      </c>
      <c r="AP29" s="8">
        <f t="shared" ref="AP29:AT29" ca="1" si="17">IFERROR(AP28*$G$6+(1-$G$6)*AVERAGE(AP12:AP28),"")</f>
        <v>89.417364243566965</v>
      </c>
      <c r="AQ29" s="8">
        <f t="shared" ca="1" si="17"/>
        <v>119.05735967288079</v>
      </c>
      <c r="AR29" s="8">
        <f t="shared" ca="1" si="17"/>
        <v>110.95189854886331</v>
      </c>
      <c r="AS29" s="8">
        <f t="shared" ca="1" si="17"/>
        <v>61.183476283961895</v>
      </c>
      <c r="AT29" s="8">
        <f t="shared" ca="1" si="17"/>
        <v>99972.213325304125</v>
      </c>
    </row>
    <row r="30" spans="1:46" ht="13" x14ac:dyDescent="0.3">
      <c r="A30" s="3"/>
      <c r="B30" s="46"/>
      <c r="C30" s="4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6"/>
      <c r="R30" s="7"/>
      <c r="S30" s="8"/>
      <c r="T30" s="8"/>
      <c r="U30" s="8"/>
      <c r="V30" s="8"/>
      <c r="W30" s="9"/>
      <c r="X30" s="9"/>
      <c r="Y30" s="9"/>
      <c r="Z30" s="6"/>
      <c r="AA30" s="13">
        <f ca="1"/>
        <v>46113</v>
      </c>
      <c r="AB30" s="8">
        <f ca="1">_xlfn.FORECAST.LINEAR($AA30,AB$3:AB29,$AA$3:$AA29)</f>
        <v>119.89038963330722</v>
      </c>
      <c r="AC30" s="8">
        <f ca="1">_xlfn.FORECAST.LINEAR($AA30,AC$3:AC29,$AA$3:$AA29)</f>
        <v>153.77634096657357</v>
      </c>
      <c r="AD30" s="8">
        <f ca="1">_xlfn.FORECAST.LINEAR($AA30,AD$3:AD29,$AA$3:$AA29)</f>
        <v>150.06290066139582</v>
      </c>
      <c r="AE30" s="8">
        <f ca="1">_xlfn.FORECAST.LINEAR($AA30,AE$3:AE29,$AA$3:$AA29)</f>
        <v>78.784849924602213</v>
      </c>
      <c r="AF30" s="9">
        <f ca="1">_xlfn.FORECAST.LINEAR($AA30,AF$3:AF29,$AA$3:$AA29)</f>
        <v>134973.89682117896</v>
      </c>
      <c r="AG30" s="6"/>
      <c r="AH30" s="13">
        <f ca="1"/>
        <v>46113</v>
      </c>
      <c r="AI30" s="8">
        <f t="shared" ca="1" si="15"/>
        <v>102.2835648148148</v>
      </c>
      <c r="AJ30" s="8">
        <f t="shared" ca="1" si="10"/>
        <v>133.25853587962965</v>
      </c>
      <c r="AK30" s="8">
        <f t="shared" ca="1" si="11"/>
        <v>128.02893518518519</v>
      </c>
      <c r="AL30" s="8">
        <f t="shared" ca="1" si="12"/>
        <v>67.766300154320987</v>
      </c>
      <c r="AM30" s="9">
        <f t="shared" ca="1" si="13"/>
        <v>113792.06645447529</v>
      </c>
      <c r="AN30" s="6"/>
      <c r="AO30" s="13">
        <v>46054</v>
      </c>
      <c r="AP30" s="8">
        <f t="shared" ref="AP30:AT30" ca="1" si="18">IFERROR(AP29*$G$6+(1-$G$6)*AVERAGE(AP13:AP29),"")</f>
        <v>89.718724354728948</v>
      </c>
      <c r="AQ30" s="8">
        <f t="shared" ca="1" si="18"/>
        <v>119.42522768222062</v>
      </c>
      <c r="AR30" s="8">
        <f t="shared" ca="1" si="18"/>
        <v>111.34621593015618</v>
      </c>
      <c r="AS30" s="8">
        <f t="shared" ca="1" si="18"/>
        <v>61.295683880782647</v>
      </c>
      <c r="AT30" s="8">
        <f t="shared" ca="1" si="18"/>
        <v>100038.59080678599</v>
      </c>
    </row>
    <row r="31" spans="1:46" ht="1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6"/>
      <c r="R31" s="7"/>
      <c r="S31" s="8"/>
      <c r="T31" s="8"/>
      <c r="U31" s="8"/>
      <c r="V31" s="8"/>
      <c r="W31" s="9"/>
      <c r="X31" s="9"/>
      <c r="Y31" s="9"/>
      <c r="Z31" s="6"/>
      <c r="AA31" s="13">
        <f ca="1"/>
        <v>46143</v>
      </c>
      <c r="AB31" s="8">
        <f ca="1">_xlfn.FORECAST.LINEAR($AA31,AB$3:AB30,$AA$3:$AA30)</f>
        <v>121.958413738736</v>
      </c>
      <c r="AC31" s="8">
        <f ca="1">_xlfn.FORECAST.LINEAR($AA31,AC$3:AC30,$AA$3:$AA30)</f>
        <v>156.17674477834862</v>
      </c>
      <c r="AD31" s="8">
        <f ca="1">_xlfn.FORECAST.LINEAR($AA31,AD$3:AD30,$AA$3:$AA30)</f>
        <v>152.69383012152321</v>
      </c>
      <c r="AE31" s="8">
        <f ca="1">_xlfn.FORECAST.LINEAR($AA31,AE$3:AE30,$AA$3:$AA30)</f>
        <v>80.103184609345817</v>
      </c>
      <c r="AF31" s="9">
        <f ca="1">_xlfn.FORECAST.LINEAR($AA31,AF$3:AF30,$AA$3:$AA30)</f>
        <v>137311.41722726868</v>
      </c>
      <c r="AG31" s="6"/>
      <c r="AH31" s="13">
        <f ca="1"/>
        <v>46143</v>
      </c>
      <c r="AI31" s="8">
        <f t="shared" ca="1" si="15"/>
        <v>102.89052854938269</v>
      </c>
      <c r="AJ31" s="8">
        <f t="shared" ca="1" si="10"/>
        <v>133.6967472029321</v>
      </c>
      <c r="AK31" s="8">
        <f t="shared" ca="1" si="11"/>
        <v>128.61467978395063</v>
      </c>
      <c r="AL31" s="8">
        <f t="shared" ca="1" si="12"/>
        <v>68.163491833847743</v>
      </c>
      <c r="AM31" s="9">
        <f t="shared" ca="1" si="13"/>
        <v>112455.57199234825</v>
      </c>
      <c r="AN31" s="6"/>
      <c r="AO31" s="13">
        <v>46082</v>
      </c>
      <c r="AP31" s="8">
        <f t="shared" ref="AP31:AT31" ca="1" si="19">IFERROR(AP30*$G$6+(1-$G$6)*AVERAGE(AP14:AP30),"")</f>
        <v>90.003562141949459</v>
      </c>
      <c r="AQ31" s="8">
        <f t="shared" ca="1" si="19"/>
        <v>119.7833482977186</v>
      </c>
      <c r="AR31" s="8">
        <f t="shared" ca="1" si="19"/>
        <v>111.73633119907466</v>
      </c>
      <c r="AS31" s="8">
        <f t="shared" ca="1" si="19"/>
        <v>61.400693298013167</v>
      </c>
      <c r="AT31" s="8">
        <f t="shared" ca="1" si="19"/>
        <v>99437.793860286605</v>
      </c>
    </row>
    <row r="32" spans="1:46" ht="1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6"/>
      <c r="R32" s="7"/>
      <c r="S32" s="8"/>
      <c r="T32" s="8"/>
      <c r="U32" s="8"/>
      <c r="V32" s="8"/>
      <c r="W32" s="9"/>
      <c r="X32" s="9"/>
      <c r="Y32" s="9"/>
      <c r="Z32" s="6"/>
      <c r="AA32" s="13">
        <f ca="1"/>
        <v>46174</v>
      </c>
      <c r="AB32" s="8">
        <f ca="1">_xlfn.FORECAST.LINEAR($AA32,AB$3:AB31,$AA$3:$AA31)</f>
        <v>124.09537198101361</v>
      </c>
      <c r="AC32" s="8">
        <f ca="1">_xlfn.FORECAST.LINEAR($AA32,AC$3:AC31,$AA$3:$AA31)</f>
        <v>158.65716205051694</v>
      </c>
      <c r="AD32" s="8">
        <f ca="1">_xlfn.FORECAST.LINEAR($AA32,AD$3:AD31,$AA$3:$AA31)</f>
        <v>155.41245723032262</v>
      </c>
      <c r="AE32" s="8">
        <f ca="1">_xlfn.FORECAST.LINEAR($AA32,AE$3:AE31,$AA$3:$AA31)</f>
        <v>81.465463783581299</v>
      </c>
      <c r="AF32" s="9">
        <f ca="1">_xlfn.FORECAST.LINEAR($AA32,AF$3:AF31,$AA$3:$AA31)</f>
        <v>139726.854980228</v>
      </c>
      <c r="AG32" s="6"/>
      <c r="AH32" s="13">
        <f ca="1"/>
        <v>46174</v>
      </c>
      <c r="AI32" s="8">
        <f t="shared" ca="1" si="15"/>
        <v>103.21473926183127</v>
      </c>
      <c r="AJ32" s="8">
        <f t="shared" ca="1" si="10"/>
        <v>134.00480946984311</v>
      </c>
      <c r="AK32" s="8">
        <f t="shared" ca="1" si="11"/>
        <v>129.08256976594652</v>
      </c>
      <c r="AL32" s="8">
        <f t="shared" ca="1" si="12"/>
        <v>67.927116153335049</v>
      </c>
      <c r="AM32" s="9">
        <f t="shared" ca="1" si="13"/>
        <v>113444.36965837727</v>
      </c>
      <c r="AN32" s="6"/>
      <c r="AO32" s="13">
        <v>46113</v>
      </c>
      <c r="AP32" s="8">
        <f t="shared" ref="AP32:AT32" ca="1" si="20">IFERROR(AP31*$G$6+(1-$G$6)*AVERAGE(AP15:AP31),"")</f>
        <v>90.266768396925272</v>
      </c>
      <c r="AQ32" s="8">
        <f t="shared" ca="1" si="20"/>
        <v>120.09082535832545</v>
      </c>
      <c r="AR32" s="8">
        <f t="shared" ca="1" si="20"/>
        <v>112.10414495772797</v>
      </c>
      <c r="AS32" s="8">
        <f t="shared" ca="1" si="20"/>
        <v>61.642356047068326</v>
      </c>
      <c r="AT32" s="8">
        <f t="shared" ca="1" si="20"/>
        <v>99384.071524972838</v>
      </c>
    </row>
    <row r="33" spans="1:46" ht="1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6"/>
      <c r="R33" s="7"/>
      <c r="S33" s="8"/>
      <c r="T33" s="8"/>
      <c r="U33" s="8"/>
      <c r="V33" s="8"/>
      <c r="W33" s="9"/>
      <c r="X33" s="9"/>
      <c r="Y33" s="9"/>
      <c r="Z33" s="6"/>
      <c r="AA33" s="13">
        <f ca="1"/>
        <v>46204</v>
      </c>
      <c r="AB33" s="8">
        <f ca="1">_xlfn.FORECAST.LINEAR($AA33,AB$3:AB32,$AA$3:$AA32)</f>
        <v>126.16339608644239</v>
      </c>
      <c r="AC33" s="8">
        <f ca="1">_xlfn.FORECAST.LINEAR($AA33,AC$3:AC32,$AA$3:$AA32)</f>
        <v>161.05756586229199</v>
      </c>
      <c r="AD33" s="8">
        <f ca="1">_xlfn.FORECAST.LINEAR($AA33,AD$3:AD32,$AA$3:$AA32)</f>
        <v>158.04338669045001</v>
      </c>
      <c r="AE33" s="8">
        <f ca="1">_xlfn.FORECAST.LINEAR($AA33,AE$3:AE32,$AA$3:$AA32)</f>
        <v>82.783798468325131</v>
      </c>
      <c r="AF33" s="9">
        <f ca="1">_xlfn.FORECAST.LINEAR($AA33,AF$3:AF32,$AA$3:$AA32)</f>
        <v>142064.37538631726</v>
      </c>
      <c r="AG33" s="6"/>
      <c r="AH33" s="13">
        <f ca="1"/>
        <v>46204</v>
      </c>
      <c r="AI33" s="8">
        <f t="shared" ca="1" si="15"/>
        <v>103.73263420031721</v>
      </c>
      <c r="AJ33" s="8">
        <f t="shared" ca="1" si="10"/>
        <v>134.42187692566338</v>
      </c>
      <c r="AK33" s="8">
        <f t="shared" ca="1" si="11"/>
        <v>129.67278391310873</v>
      </c>
      <c r="AL33" s="8">
        <f t="shared" ca="1" si="12"/>
        <v>68.171042499446301</v>
      </c>
      <c r="AM33" s="9">
        <f t="shared" ca="1" si="13"/>
        <v>114717.23379657538</v>
      </c>
      <c r="AN33" s="6"/>
      <c r="AO33" s="13">
        <v>46143</v>
      </c>
      <c r="AP33" s="8">
        <f t="shared" ref="AP33:AT33" ca="1" si="21">IFERROR(AP32*$G$6+(1-$G$6)*AVERAGE(AP16:AP32),"")</f>
        <v>90.480471852634466</v>
      </c>
      <c r="AQ33" s="8">
        <f t="shared" ca="1" si="21"/>
        <v>120.34964024632063</v>
      </c>
      <c r="AR33" s="8">
        <f t="shared" ca="1" si="21"/>
        <v>112.41138590532977</v>
      </c>
      <c r="AS33" s="8">
        <f t="shared" ca="1" si="21"/>
        <v>61.902066905689722</v>
      </c>
      <c r="AT33" s="8">
        <f t="shared" ca="1" si="21"/>
        <v>99638.670968780309</v>
      </c>
    </row>
    <row r="34" spans="1:46" ht="1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6"/>
      <c r="R34" s="7"/>
      <c r="S34" s="8"/>
      <c r="T34" s="8"/>
      <c r="U34" s="8"/>
      <c r="V34" s="8"/>
      <c r="W34" s="9"/>
      <c r="X34" s="9"/>
      <c r="Y34" s="9"/>
      <c r="Z34" s="6"/>
      <c r="AA34" s="13">
        <f ca="1"/>
        <v>46235</v>
      </c>
      <c r="AB34" s="8">
        <f ca="1">_xlfn.FORECAST.LINEAR($AA34,AB$3:AB33,$AA$3:$AA33)</f>
        <v>128.3003543287191</v>
      </c>
      <c r="AC34" s="8">
        <f ca="1">_xlfn.FORECAST.LINEAR($AA34,AC$3:AC33,$AA$3:$AA33)</f>
        <v>163.53798313445986</v>
      </c>
      <c r="AD34" s="8">
        <f ca="1">_xlfn.FORECAST.LINEAR($AA34,AD$3:AD33,$AA$3:$AA33)</f>
        <v>160.76201379924896</v>
      </c>
      <c r="AE34" s="8">
        <f ca="1">_xlfn.FORECAST.LINEAR($AA34,AE$3:AE33,$AA$3:$AA33)</f>
        <v>84.146077642560385</v>
      </c>
      <c r="AF34" s="9">
        <f ca="1">_xlfn.FORECAST.LINEAR($AA34,AF$3:AF33,$AA$3:$AA33)</f>
        <v>144479.81313927658</v>
      </c>
      <c r="AG34" s="6"/>
      <c r="AH34" s="13">
        <f ca="1"/>
        <v>46235</v>
      </c>
      <c r="AI34" s="8">
        <f t="shared" ca="1" si="15"/>
        <v>103.96035371701032</v>
      </c>
      <c r="AJ34" s="8">
        <f t="shared" ca="1" si="10"/>
        <v>134.70703333613531</v>
      </c>
      <c r="AK34" s="8">
        <f t="shared" ca="1" si="11"/>
        <v>129.97884923920111</v>
      </c>
      <c r="AL34" s="8">
        <f t="shared" ca="1" si="12"/>
        <v>68.435296041066835</v>
      </c>
      <c r="AM34" s="9">
        <f t="shared" ca="1" si="13"/>
        <v>115348.66994628999</v>
      </c>
      <c r="AN34" s="6"/>
      <c r="AO34" s="13">
        <v>46174</v>
      </c>
      <c r="AP34" s="8">
        <f t="shared" ref="AP34:AT34" ca="1" si="22">IFERROR(AP33*$G$6+(1-$G$6)*AVERAGE(AP17:AP33),"")</f>
        <v>90.633557815468109</v>
      </c>
      <c r="AQ34" s="8">
        <f t="shared" ca="1" si="22"/>
        <v>120.54904086549702</v>
      </c>
      <c r="AR34" s="8">
        <f t="shared" ca="1" si="22"/>
        <v>112.63848908582685</v>
      </c>
      <c r="AS34" s="8">
        <f t="shared" ca="1" si="22"/>
        <v>62.049859909124372</v>
      </c>
      <c r="AT34" s="8">
        <f t="shared" ca="1" si="22"/>
        <v>99836.21724110606</v>
      </c>
    </row>
    <row r="35" spans="1:46" ht="19.5" x14ac:dyDescent="0.3">
      <c r="A35" s="3"/>
      <c r="B35" s="3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6"/>
      <c r="R35" s="7"/>
      <c r="S35" s="8"/>
      <c r="T35" s="8"/>
      <c r="U35" s="8"/>
      <c r="V35" s="8"/>
      <c r="W35" s="9"/>
      <c r="X35" s="9"/>
      <c r="Y35" s="9"/>
      <c r="Z35" s="6"/>
      <c r="AA35" s="13">
        <f ca="1"/>
        <v>46266</v>
      </c>
      <c r="AB35" s="8">
        <f ca="1">_xlfn.FORECAST.LINEAR($AA35,AB$3:AB34,$AA$3:$AA34)</f>
        <v>130.4373125709958</v>
      </c>
      <c r="AC35" s="8">
        <f ca="1">_xlfn.FORECAST.LINEAR($AA35,AC$3:AC34,$AA$3:$AA34)</f>
        <v>166.01840040662773</v>
      </c>
      <c r="AD35" s="8">
        <f ca="1">_xlfn.FORECAST.LINEAR($AA35,AD$3:AD34,$AA$3:$AA34)</f>
        <v>163.48064090804792</v>
      </c>
      <c r="AE35" s="8">
        <f ca="1">_xlfn.FORECAST.LINEAR($AA35,AE$3:AE34,$AA$3:$AA34)</f>
        <v>85.50835681679564</v>
      </c>
      <c r="AF35" s="9">
        <f ca="1">_xlfn.FORECAST.LINEAR($AA35,AF$3:AF34,$AA$3:$AA34)</f>
        <v>146895.25089223543</v>
      </c>
      <c r="AG35" s="6"/>
      <c r="AH35" s="13">
        <f ca="1"/>
        <v>46266</v>
      </c>
      <c r="AI35" s="8">
        <f t="shared" ca="1" si="15"/>
        <v>103.95704986009451</v>
      </c>
      <c r="AJ35" s="8">
        <f t="shared" ca="1" si="10"/>
        <v>134.68261944747994</v>
      </c>
      <c r="AK35" s="8">
        <f t="shared" ca="1" si="11"/>
        <v>129.97708667580119</v>
      </c>
      <c r="AL35" s="8">
        <f t="shared" ca="1" si="12"/>
        <v>68.388237377822406</v>
      </c>
      <c r="AM35" s="9">
        <f t="shared" ca="1" si="13"/>
        <v>117446.89244181417</v>
      </c>
      <c r="AN35" s="6"/>
      <c r="AO35" s="13">
        <v>46204</v>
      </c>
      <c r="AP35" s="8">
        <f t="shared" ref="AP35:AT35" ca="1" si="23">IFERROR(AP34*$G$6+(1-$G$6)*AVERAGE(AP18:AP34),"")</f>
        <v>90.72818608944641</v>
      </c>
      <c r="AQ35" s="8">
        <f t="shared" ca="1" si="23"/>
        <v>120.65619713572633</v>
      </c>
      <c r="AR35" s="8">
        <f t="shared" ca="1" si="23"/>
        <v>112.7688597371166</v>
      </c>
      <c r="AS35" s="8">
        <f t="shared" ca="1" si="23"/>
        <v>62.215739722567669</v>
      </c>
      <c r="AT35" s="8">
        <f t="shared" ca="1" si="23"/>
        <v>100041.73916768555</v>
      </c>
    </row>
    <row r="36" spans="1:46" ht="1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6"/>
      <c r="R36" s="7"/>
      <c r="S36" s="8"/>
      <c r="T36" s="8"/>
      <c r="U36" s="8"/>
      <c r="V36" s="8"/>
      <c r="W36" s="9"/>
      <c r="X36" s="9"/>
      <c r="Y36" s="9"/>
      <c r="Z36" s="6"/>
      <c r="AA36" s="13">
        <f ca="1"/>
        <v>46296</v>
      </c>
      <c r="AB36" s="8">
        <f ca="1">_xlfn.FORECAST.LINEAR($AA36,AB$3:AB35,$AA$3:$AA35)</f>
        <v>132.50533667642503</v>
      </c>
      <c r="AC36" s="8">
        <f ca="1">_xlfn.FORECAST.LINEAR($AA36,AC$3:AC35,$AA$3:$AA35)</f>
        <v>168.41880421840324</v>
      </c>
      <c r="AD36" s="8">
        <f ca="1">_xlfn.FORECAST.LINEAR($AA36,AD$3:AD35,$AA$3:$AA35)</f>
        <v>166.11157036817531</v>
      </c>
      <c r="AE36" s="8">
        <f ca="1">_xlfn.FORECAST.LINEAR($AA36,AE$3:AE35,$AA$3:$AA35)</f>
        <v>86.826691501539244</v>
      </c>
      <c r="AF36" s="9">
        <f ca="1">_xlfn.FORECAST.LINEAR($AA36,AF$3:AF35,$AA$3:$AA35)</f>
        <v>149232.77129832515</v>
      </c>
      <c r="AG36" s="6"/>
      <c r="AH36" s="13">
        <f ca="1"/>
        <v>46296</v>
      </c>
      <c r="AI36" s="8">
        <f t="shared" ca="1" si="15"/>
        <v>104.12013734843572</v>
      </c>
      <c r="AJ36" s="8">
        <f t="shared" ca="1" si="10"/>
        <v>134.82283773476993</v>
      </c>
      <c r="AK36" s="8">
        <f t="shared" ca="1" si="11"/>
        <v>130.22517723211797</v>
      </c>
      <c r="AL36" s="8">
        <f t="shared" ca="1" si="12"/>
        <v>68.253923825974269</v>
      </c>
      <c r="AM36" s="9">
        <f t="shared" ca="1" si="13"/>
        <v>118218.30014529866</v>
      </c>
      <c r="AN36" s="6"/>
      <c r="AO36" s="13">
        <v>46235</v>
      </c>
      <c r="AP36" s="8">
        <f t="shared" ref="AP36:AT36" ca="1" si="24">IFERROR(AP35*$G$6+(1-$G$6)*AVERAGE(AP19:AP35),"")</f>
        <v>90.753632074387241</v>
      </c>
      <c r="AQ36" s="8">
        <f t="shared" ca="1" si="24"/>
        <v>120.65552447115363</v>
      </c>
      <c r="AR36" s="8">
        <f t="shared" ca="1" si="24"/>
        <v>112.77631931387918</v>
      </c>
      <c r="AS36" s="8">
        <f t="shared" ca="1" si="24"/>
        <v>62.3392169818231</v>
      </c>
      <c r="AT36" s="8">
        <f t="shared" ca="1" si="24"/>
        <v>99855.706581510152</v>
      </c>
    </row>
    <row r="37" spans="1:46" ht="1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6"/>
      <c r="R37" s="7"/>
      <c r="S37" s="8"/>
      <c r="T37" s="8"/>
      <c r="U37" s="8"/>
      <c r="V37" s="8"/>
      <c r="W37" s="9"/>
      <c r="X37" s="9"/>
      <c r="Y37" s="9"/>
      <c r="Z37" s="6"/>
      <c r="AA37" s="13">
        <f ca="1"/>
        <v>46327</v>
      </c>
      <c r="AB37" s="8">
        <f ca="1">_xlfn.FORECAST.LINEAR($AA37,AB$3:AB36,$AA$3:$AA36)</f>
        <v>134.64229491870219</v>
      </c>
      <c r="AC37" s="8">
        <f ca="1">_xlfn.FORECAST.LINEAR($AA37,AC$3:AC36,$AA$3:$AA36)</f>
        <v>170.89922149057111</v>
      </c>
      <c r="AD37" s="8">
        <f ca="1">_xlfn.FORECAST.LINEAR($AA37,AD$3:AD36,$AA$3:$AA36)</f>
        <v>168.83019747697381</v>
      </c>
      <c r="AE37" s="8">
        <f ca="1">_xlfn.FORECAST.LINEAR($AA37,AE$3:AE36,$AA$3:$AA36)</f>
        <v>88.188970675774499</v>
      </c>
      <c r="AF37" s="9">
        <f ca="1">_xlfn.FORECAST.LINEAR($AA37,AF$3:AF36,$AA$3:$AA36)</f>
        <v>151648.20905128494</v>
      </c>
      <c r="AG37" s="6"/>
      <c r="AH37" s="13">
        <f ca="1"/>
        <v>46327</v>
      </c>
      <c r="AI37" s="8">
        <f t="shared" ca="1" si="15"/>
        <v>103.88014879413868</v>
      </c>
      <c r="AJ37" s="8">
        <f t="shared" ca="1" si="10"/>
        <v>134.64140754600075</v>
      </c>
      <c r="AK37" s="8">
        <f t="shared" ca="1" si="11"/>
        <v>129.99394200146114</v>
      </c>
      <c r="AL37" s="8">
        <f t="shared" ca="1" si="12"/>
        <v>67.941750811472133</v>
      </c>
      <c r="AM37" s="9">
        <f t="shared" ca="1" si="13"/>
        <v>115291.49182407354</v>
      </c>
      <c r="AN37" s="6"/>
      <c r="AO37" s="13">
        <v>46266</v>
      </c>
      <c r="AP37" s="8">
        <f t="shared" ref="AP37:AT37" ca="1" si="25">IFERROR(AP36*$G$6+(1-$G$6)*AVERAGE(AP20:AP36),"")</f>
        <v>90.676972769097404</v>
      </c>
      <c r="AQ37" s="8">
        <f t="shared" ca="1" si="25"/>
        <v>120.54505133327373</v>
      </c>
      <c r="AR37" s="8">
        <f t="shared" ca="1" si="25"/>
        <v>112.66200837898195</v>
      </c>
      <c r="AS37" s="8">
        <f t="shared" ca="1" si="25"/>
        <v>62.336107224307725</v>
      </c>
      <c r="AT37" s="8">
        <f t="shared" ca="1" si="25"/>
        <v>99698.241766469961</v>
      </c>
    </row>
    <row r="38" spans="1:46" ht="19.5" x14ac:dyDescent="0.3">
      <c r="A38" s="3"/>
      <c r="B38" s="3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6"/>
      <c r="R38" s="7"/>
      <c r="S38" s="8"/>
      <c r="T38" s="8"/>
      <c r="U38" s="8"/>
      <c r="V38" s="8"/>
      <c r="W38" s="9"/>
      <c r="X38" s="9"/>
      <c r="Y38" s="9"/>
      <c r="Z38" s="6"/>
      <c r="AA38" s="13">
        <f ca="1"/>
        <v>46357</v>
      </c>
      <c r="AB38" s="8">
        <f ca="1">_xlfn.FORECAST.LINEAR($AA38,AB$3:AB37,$AA$3:$AA37)</f>
        <v>136.71031902413097</v>
      </c>
      <c r="AC38" s="8">
        <f ca="1">_xlfn.FORECAST.LINEAR($AA38,AC$3:AC37,$AA$3:$AA37)</f>
        <v>173.29962530234661</v>
      </c>
      <c r="AD38" s="8">
        <f ca="1">_xlfn.FORECAST.LINEAR($AA38,AD$3:AD37,$AA$3:$AA37)</f>
        <v>171.46112693710211</v>
      </c>
      <c r="AE38" s="8">
        <f ca="1">_xlfn.FORECAST.LINEAR($AA38,AE$3:AE37,$AA$3:$AA37)</f>
        <v>89.507305360518558</v>
      </c>
      <c r="AF38" s="9">
        <f ca="1">_xlfn.FORECAST.LINEAR($AA38,AF$3:AF37,$AA$3:$AA37)</f>
        <v>153985.72945737466</v>
      </c>
      <c r="AG38" s="6"/>
      <c r="AH38" s="13">
        <f ca="1"/>
        <v>46357</v>
      </c>
      <c r="AI38" s="8">
        <f t="shared" ca="1" si="15"/>
        <v>103.53682786031692</v>
      </c>
      <c r="AJ38" s="8">
        <f t="shared" ca="1" si="10"/>
        <v>134.36152484150082</v>
      </c>
      <c r="AK38" s="8">
        <f t="shared" ca="1" si="11"/>
        <v>129.49343716824959</v>
      </c>
      <c r="AL38" s="8">
        <f t="shared" ca="1" si="12"/>
        <v>68.52023004576148</v>
      </c>
      <c r="AM38" s="9">
        <f t="shared" ca="1" si="13"/>
        <v>115424.11614274635</v>
      </c>
      <c r="AN38" s="6"/>
      <c r="AO38" s="13">
        <v>46296</v>
      </c>
      <c r="AP38" s="8">
        <f t="shared" ref="AP38:AT38" ca="1" si="26">IFERROR(AP37*$G$6+(1-$G$6)*AVERAGE(AP21:AP37),"")</f>
        <v>90.561464381664592</v>
      </c>
      <c r="AQ38" s="8">
        <f t="shared" ca="1" si="26"/>
        <v>120.39664920543741</v>
      </c>
      <c r="AR38" s="8">
        <f t="shared" ca="1" si="26"/>
        <v>112.50360748050548</v>
      </c>
      <c r="AS38" s="8">
        <f t="shared" ca="1" si="26"/>
        <v>62.272106492906651</v>
      </c>
      <c r="AT38" s="8">
        <f t="shared" ca="1" si="26"/>
        <v>99583.122585738834</v>
      </c>
    </row>
    <row r="39" spans="1:46" ht="1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6"/>
      <c r="R39" s="7"/>
      <c r="S39" s="8"/>
      <c r="T39" s="8"/>
      <c r="U39" s="8"/>
      <c r="V39" s="8"/>
      <c r="W39" s="9"/>
      <c r="X39" s="9"/>
      <c r="Y39" s="9"/>
      <c r="Z39" s="6"/>
      <c r="AA39" s="13">
        <f ca="1"/>
        <v>46388</v>
      </c>
      <c r="AB39" s="8">
        <f ca="1">_xlfn.FORECAST.LINEAR($AA39,AB$3:AB38,$AA$3:$AA38)</f>
        <v>138.84727726640767</v>
      </c>
      <c r="AC39" s="8">
        <f ca="1">_xlfn.FORECAST.LINEAR($AA39,AC$3:AC38,$AA$3:$AA38)</f>
        <v>175.78004257451448</v>
      </c>
      <c r="AD39" s="8">
        <f ca="1">_xlfn.FORECAST.LINEAR($AA39,AD$3:AD38,$AA$3:$AA38)</f>
        <v>174.17975404590061</v>
      </c>
      <c r="AE39" s="8">
        <f ca="1">_xlfn.FORECAST.LINEAR($AA39,AE$3:AE38,$AA$3:$AA38)</f>
        <v>90.869584534753585</v>
      </c>
      <c r="AF39" s="9">
        <f ca="1">_xlfn.FORECAST.LINEAR($AA39,AF$3:AF38,$AA$3:$AA38)</f>
        <v>156401.16721033305</v>
      </c>
      <c r="AG39" s="6"/>
      <c r="AH39" s="13">
        <f ca="1"/>
        <v>46388</v>
      </c>
      <c r="AI39" s="8">
        <f t="shared" ca="1" si="15"/>
        <v>102.83156351534332</v>
      </c>
      <c r="AJ39" s="8">
        <f t="shared" ca="1" si="10"/>
        <v>133.64165191162587</v>
      </c>
      <c r="AK39" s="8">
        <f t="shared" ca="1" si="11"/>
        <v>128.61789026560368</v>
      </c>
      <c r="AL39" s="8">
        <f t="shared" ca="1" si="12"/>
        <v>67.813582549574917</v>
      </c>
      <c r="AM39" s="9">
        <f t="shared" ca="1" si="13"/>
        <v>114050.29248797521</v>
      </c>
      <c r="AN39" s="6"/>
      <c r="AO39" s="13">
        <v>46327</v>
      </c>
      <c r="AP39" s="8">
        <f t="shared" ref="AP39:AT39" ca="1" si="27">IFERROR(AP38*$G$6+(1-$G$6)*AVERAGE(AP22:AP38),"")</f>
        <v>90.443624055040203</v>
      </c>
      <c r="AQ39" s="8">
        <f t="shared" ca="1" si="27"/>
        <v>120.25122412927752</v>
      </c>
      <c r="AR39" s="8">
        <f t="shared" ca="1" si="27"/>
        <v>112.34566928001723</v>
      </c>
      <c r="AS39" s="8">
        <f t="shared" ca="1" si="27"/>
        <v>62.187433844950462</v>
      </c>
      <c r="AT39" s="8">
        <f t="shared" ca="1" si="27"/>
        <v>99513.779857774265</v>
      </c>
    </row>
    <row r="40" spans="1:46" ht="1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6"/>
      <c r="R40" s="7"/>
      <c r="S40" s="8"/>
      <c r="T40" s="8"/>
      <c r="U40" s="8"/>
      <c r="V40" s="8"/>
      <c r="W40" s="9"/>
      <c r="X40" s="9"/>
      <c r="Y40" s="9"/>
      <c r="Z40" s="6"/>
      <c r="AA40" s="13">
        <f ca="1"/>
        <v>46419</v>
      </c>
      <c r="AB40" s="8">
        <f ca="1">_xlfn.FORECAST.LINEAR($AA40,AB$3:AB39,$AA$3:$AA39)</f>
        <v>140.98423550868483</v>
      </c>
      <c r="AC40" s="8">
        <f ca="1">_xlfn.FORECAST.LINEAR($AA40,AC$3:AC39,$AA$3:$AA39)</f>
        <v>178.26045984668281</v>
      </c>
      <c r="AD40" s="8">
        <f ca="1">_xlfn.FORECAST.LINEAR($AA40,AD$3:AD39,$AA$3:$AA39)</f>
        <v>176.89838115469956</v>
      </c>
      <c r="AE40" s="8">
        <f ca="1">_xlfn.FORECAST.LINEAR($AA40,AE$3:AE39,$AA$3:$AA39)</f>
        <v>92.231863708989295</v>
      </c>
      <c r="AF40" s="9">
        <f ca="1">_xlfn.FORECAST.LINEAR($AA40,AF$3:AF39,$AA$3:$AA39)</f>
        <v>158816.6049632933</v>
      </c>
      <c r="AG40" s="6"/>
      <c r="AH40" s="13">
        <f ca="1"/>
        <v>46419</v>
      </c>
      <c r="AI40" s="8">
        <f t="shared" ca="1" si="15"/>
        <v>103.06752714162194</v>
      </c>
      <c r="AJ40" s="8">
        <f t="shared" ca="1" si="10"/>
        <v>133.88262290426135</v>
      </c>
      <c r="AK40" s="8">
        <f t="shared" ca="1" si="11"/>
        <v>128.91938112107064</v>
      </c>
      <c r="AL40" s="8">
        <f t="shared" ca="1" si="12"/>
        <v>67.950825539817274</v>
      </c>
      <c r="AM40" s="9">
        <f t="shared" ca="1" si="13"/>
        <v>114505.24741752871</v>
      </c>
      <c r="AN40" s="6"/>
      <c r="AO40" s="13">
        <v>46357</v>
      </c>
      <c r="AP40" s="8">
        <f t="shared" ref="AP40:AT40" ca="1" si="28">IFERROR(AP39*$G$6+(1-$G$6)*AVERAGE(AP23:AP39),"")</f>
        <v>90.342502864686708</v>
      </c>
      <c r="AQ40" s="8">
        <f t="shared" ca="1" si="28"/>
        <v>120.12944779279528</v>
      </c>
      <c r="AR40" s="8">
        <f t="shared" ca="1" si="28"/>
        <v>112.21145567481808</v>
      </c>
      <c r="AS40" s="8">
        <f t="shared" ca="1" si="28"/>
        <v>62.104786131346565</v>
      </c>
      <c r="AT40" s="8">
        <f t="shared" ca="1" si="28"/>
        <v>99487.151926097038</v>
      </c>
    </row>
    <row r="41" spans="1:46" ht="1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6"/>
      <c r="R41" s="7"/>
      <c r="S41" s="8"/>
      <c r="T41" s="8"/>
      <c r="U41" s="8"/>
      <c r="V41" s="8"/>
      <c r="W41" s="9"/>
      <c r="X41" s="9"/>
      <c r="Y41" s="9"/>
      <c r="Z41" s="6"/>
      <c r="AA41" s="13">
        <f ca="1"/>
        <v>46447</v>
      </c>
      <c r="AB41" s="8">
        <f ca="1">_xlfn.FORECAST.LINEAR($AA41,AB$3:AB40,$AA$3:$AA40)</f>
        <v>142.91439134041821</v>
      </c>
      <c r="AC41" s="8">
        <f ca="1">_xlfn.FORECAST.LINEAR($AA41,AC$3:AC40,$AA$3:$AA40)</f>
        <v>180.50083673767267</v>
      </c>
      <c r="AD41" s="8">
        <f ca="1">_xlfn.FORECAST.LINEAR($AA41,AD$3:AD40,$AA$3:$AA40)</f>
        <v>179.35391531748519</v>
      </c>
      <c r="AE41" s="8">
        <f ca="1">_xlfn.FORECAST.LINEAR($AA41,AE$3:AE40,$AA$3:$AA40)</f>
        <v>93.462309414749825</v>
      </c>
      <c r="AF41" s="9">
        <f ca="1">_xlfn.FORECAST.LINEAR($AA41,AF$3:AF40,$AA$3:$AA40)</f>
        <v>160998.2906756429</v>
      </c>
      <c r="AG41" s="6"/>
      <c r="AH41" s="13">
        <f ca="1"/>
        <v>46447</v>
      </c>
      <c r="AI41" s="8">
        <f t="shared" ca="1" si="15"/>
        <v>103.2537099589793</v>
      </c>
      <c r="AJ41" s="8">
        <f t="shared" ca="1" si="10"/>
        <v>134.06207759072757</v>
      </c>
      <c r="AK41" s="8">
        <f t="shared" ca="1" si="11"/>
        <v>129.14877399227097</v>
      </c>
      <c r="AL41" s="8">
        <f t="shared" ca="1" si="12"/>
        <v>68.028903594061305</v>
      </c>
      <c r="AM41" s="9">
        <f t="shared" ca="1" si="13"/>
        <v>114758.52613750794</v>
      </c>
      <c r="AN41" s="6"/>
      <c r="AO41" s="13">
        <v>46388</v>
      </c>
      <c r="AP41" s="8">
        <f t="shared" ref="AP41:AT41" ca="1" si="29">IFERROR(AP40*$G$6+(1-$G$6)*AVERAGE(AP24:AP40),"")</f>
        <v>90.266218789920657</v>
      </c>
      <c r="AQ41" s="8">
        <f t="shared" ca="1" si="29"/>
        <v>120.03970441863117</v>
      </c>
      <c r="AR41" s="8">
        <f t="shared" ca="1" si="29"/>
        <v>112.11079700652508</v>
      </c>
      <c r="AS41" s="8">
        <f t="shared" ca="1" si="29"/>
        <v>62.035740233414344</v>
      </c>
      <c r="AT41" s="8">
        <f t="shared" ca="1" si="29"/>
        <v>99493.346528710375</v>
      </c>
    </row>
    <row r="42" spans="1:46" ht="1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6"/>
      <c r="R42" s="7"/>
      <c r="S42" s="8"/>
      <c r="T42" s="8"/>
      <c r="U42" s="8"/>
      <c r="V42" s="8"/>
      <c r="W42" s="9"/>
      <c r="X42" s="9"/>
      <c r="Y42" s="9"/>
      <c r="Z42" s="6"/>
      <c r="AA42" s="13">
        <f ca="1"/>
        <v>46478</v>
      </c>
      <c r="AB42" s="8">
        <f ca="1">_xlfn.FORECAST.LINEAR($AA42,AB$3:AB41,$AA$3:$AA41)</f>
        <v>145.05134958269537</v>
      </c>
      <c r="AC42" s="8">
        <f ca="1">_xlfn.FORECAST.LINEAR($AA42,AC$3:AC41,$AA$3:$AA41)</f>
        <v>182.981254009841</v>
      </c>
      <c r="AD42" s="8">
        <f ca="1">_xlfn.FORECAST.LINEAR($AA42,AD$3:AD41,$AA$3:$AA41)</f>
        <v>182.07254242628414</v>
      </c>
      <c r="AE42" s="8">
        <f ca="1">_xlfn.FORECAST.LINEAR($AA42,AE$3:AE41,$AA$3:$AA41)</f>
        <v>94.82458858898508</v>
      </c>
      <c r="AF42" s="9">
        <f ca="1">_xlfn.FORECAST.LINEAR($AA42,AF$3:AF41,$AA$3:$AA41)</f>
        <v>163413.72842860268</v>
      </c>
      <c r="AG42" s="6"/>
      <c r="AH42" s="13">
        <f ca="1"/>
        <v>46478</v>
      </c>
      <c r="AI42" s="8">
        <f t="shared" ca="1" si="15"/>
        <v>103.39406541852388</v>
      </c>
      <c r="AJ42" s="8">
        <f t="shared" ca="1" si="10"/>
        <v>134.18197873254746</v>
      </c>
      <c r="AK42" s="8">
        <f t="shared" ca="1" si="11"/>
        <v>129.31279219533062</v>
      </c>
      <c r="AL42" s="8">
        <f t="shared" ca="1" si="12"/>
        <v>68.113391702208375</v>
      </c>
      <c r="AM42" s="9">
        <f t="shared" ca="1" si="13"/>
        <v>114954.3982037509</v>
      </c>
      <c r="AN42" s="6"/>
      <c r="AO42" s="13">
        <v>46419</v>
      </c>
      <c r="AP42" s="8">
        <f t="shared" ref="AP42:AT42" ca="1" si="30">IFERROR(AP41*$G$6+(1-$G$6)*AVERAGE(AP25:AP41),"")</f>
        <v>90.216405228149398</v>
      </c>
      <c r="AQ42" s="8">
        <f t="shared" ca="1" si="30"/>
        <v>119.98305793477695</v>
      </c>
      <c r="AR42" s="8">
        <f t="shared" ca="1" si="30"/>
        <v>112.04517254764947</v>
      </c>
      <c r="AS42" s="8">
        <f t="shared" ca="1" si="30"/>
        <v>61.983894500601835</v>
      </c>
      <c r="AT42" s="8">
        <f t="shared" ca="1" si="30"/>
        <v>99519.181630644482</v>
      </c>
    </row>
    <row r="43" spans="1:46" ht="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6"/>
      <c r="R43" s="7"/>
      <c r="S43" s="8"/>
      <c r="T43" s="8"/>
      <c r="U43" s="8"/>
      <c r="V43" s="8"/>
      <c r="W43" s="9"/>
      <c r="X43" s="9"/>
      <c r="Y43" s="9"/>
      <c r="Z43" s="6"/>
      <c r="AA43" s="13">
        <f ca="1"/>
        <v>46508</v>
      </c>
      <c r="AB43" s="8">
        <f ca="1">_xlfn.FORECAST.LINEAR($AA43,AB$3:AB42,$AA$3:$AA42)</f>
        <v>147.11937368812414</v>
      </c>
      <c r="AC43" s="8">
        <f ca="1">_xlfn.FORECAST.LINEAR($AA43,AC$3:AC42,$AA$3:$AA42)</f>
        <v>185.38165782161559</v>
      </c>
      <c r="AD43" s="8">
        <f ca="1">_xlfn.FORECAST.LINEAR($AA43,AD$3:AD42,$AA$3:$AA42)</f>
        <v>184.70347188641153</v>
      </c>
      <c r="AE43" s="8">
        <f ca="1">_xlfn.FORECAST.LINEAR($AA43,AE$3:AE42,$AA$3:$AA42)</f>
        <v>96.142923273728684</v>
      </c>
      <c r="AF43" s="9">
        <f ca="1">_xlfn.FORECAST.LINEAR($AA43,AF$3:AF42,$AA$3:$AA42)</f>
        <v>165751.24883469148</v>
      </c>
      <c r="AG43" s="6"/>
      <c r="AH43" s="13">
        <f ca="1"/>
        <v>46508</v>
      </c>
      <c r="AI43" s="8">
        <f t="shared" ca="1" si="15"/>
        <v>103.48660713549964</v>
      </c>
      <c r="AJ43" s="8">
        <f t="shared" ca="1" si="10"/>
        <v>134.25893230362396</v>
      </c>
      <c r="AK43" s="8">
        <f t="shared" ca="1" si="11"/>
        <v>129.41978027950938</v>
      </c>
      <c r="AL43" s="8">
        <f t="shared" ca="1" si="12"/>
        <v>68.142315997865651</v>
      </c>
      <c r="AM43" s="9">
        <f t="shared" ca="1" si="13"/>
        <v>115051.25918285719</v>
      </c>
      <c r="AN43" s="6"/>
      <c r="AO43" s="13">
        <v>46447</v>
      </c>
      <c r="AP43" s="8">
        <f t="shared" ref="AP43:AT43" ca="1" si="31">IFERROR(AP42*$G$6+(1-$G$6)*AVERAGE(AP26:AP42),"")</f>
        <v>90.191199613453676</v>
      </c>
      <c r="AQ43" s="8">
        <f t="shared" ca="1" si="31"/>
        <v>119.95644814662322</v>
      </c>
      <c r="AR43" s="8">
        <f t="shared" ca="1" si="31"/>
        <v>112.01183321769892</v>
      </c>
      <c r="AS43" s="8">
        <f t="shared" ca="1" si="31"/>
        <v>61.94817054501079</v>
      </c>
      <c r="AT43" s="8">
        <f t="shared" ca="1" si="31"/>
        <v>99549.678175960333</v>
      </c>
    </row>
    <row r="44" spans="1:46" ht="1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6"/>
      <c r="R44" s="7"/>
      <c r="S44" s="8"/>
      <c r="T44" s="8"/>
      <c r="U44" s="8"/>
      <c r="V44" s="8"/>
      <c r="W44" s="9"/>
      <c r="X44" s="9"/>
      <c r="Y44" s="9"/>
      <c r="Z44" s="6"/>
      <c r="AA44" s="13">
        <f ca="1"/>
        <v>46539</v>
      </c>
      <c r="AB44" s="8">
        <f ca="1">_xlfn.FORECAST.LINEAR($AA44,AB$3:AB43,$AA$3:$AA43)</f>
        <v>149.25633193040039</v>
      </c>
      <c r="AC44" s="8">
        <f ca="1">_xlfn.FORECAST.LINEAR($AA44,AC$3:AC43,$AA$3:$AA43)</f>
        <v>187.86207509378391</v>
      </c>
      <c r="AD44" s="8">
        <f ca="1">_xlfn.FORECAST.LINEAR($AA44,AD$3:AD43,$AA$3:$AA43)</f>
        <v>187.42209899521049</v>
      </c>
      <c r="AE44" s="8">
        <f ca="1">_xlfn.FORECAST.LINEAR($AA44,AE$3:AE43,$AA$3:$AA43)</f>
        <v>97.505202447964166</v>
      </c>
      <c r="AF44" s="9">
        <f ca="1">_xlfn.FORECAST.LINEAR($AA44,AF$3:AF43,$AA$3:$AA43)</f>
        <v>168166.68658765079</v>
      </c>
      <c r="AG44" s="6"/>
      <c r="AH44" s="13">
        <f ca="1"/>
        <v>46539</v>
      </c>
      <c r="AI44" s="8">
        <f t="shared" ca="1" si="15"/>
        <v>103.5362803510094</v>
      </c>
      <c r="AJ44" s="8">
        <f t="shared" ca="1" si="10"/>
        <v>134.30578106201494</v>
      </c>
      <c r="AK44" s="8">
        <f t="shared" ca="1" si="11"/>
        <v>129.4868719874726</v>
      </c>
      <c r="AL44" s="8">
        <f t="shared" ca="1" si="12"/>
        <v>68.140551344867163</v>
      </c>
      <c r="AM44" s="9">
        <f t="shared" ca="1" si="13"/>
        <v>115267.56644873292</v>
      </c>
      <c r="AN44" s="6"/>
      <c r="AO44" s="13">
        <v>46478</v>
      </c>
      <c r="AP44" s="8">
        <f t="shared" ref="AP44:AT44" ca="1" si="32">IFERROR(AP43*$G$6+(1-$G$6)*AVERAGE(AP27:AP43),"")</f>
        <v>90.186248877758587</v>
      </c>
      <c r="AQ44" s="8">
        <f t="shared" ca="1" si="32"/>
        <v>119.9541125981079</v>
      </c>
      <c r="AR44" s="8">
        <f t="shared" ca="1" si="32"/>
        <v>112.00512779415605</v>
      </c>
      <c r="AS44" s="8">
        <f t="shared" ca="1" si="32"/>
        <v>61.927094095838875</v>
      </c>
      <c r="AT44" s="8">
        <f t="shared" ca="1" si="32"/>
        <v>99578.494482361843</v>
      </c>
    </row>
    <row r="45" spans="1:46" ht="19.5" x14ac:dyDescent="0.3">
      <c r="A45" s="3"/>
      <c r="B45" s="48"/>
      <c r="C45" s="47"/>
      <c r="D45" s="4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6"/>
      <c r="R45" s="7"/>
      <c r="S45" s="8"/>
      <c r="T45" s="8"/>
      <c r="U45" s="8"/>
      <c r="V45" s="8"/>
      <c r="W45" s="9"/>
      <c r="X45" s="9"/>
      <c r="Y45" s="9"/>
      <c r="Z45" s="6"/>
      <c r="AA45" s="13">
        <f ca="1"/>
        <v>46569</v>
      </c>
      <c r="AB45" s="8">
        <f ca="1">_xlfn.FORECAST.LINEAR($AA45,AB$3:AB44,$AA$3:$AA44)</f>
        <v>151.32435603583053</v>
      </c>
      <c r="AC45" s="8">
        <f ca="1">_xlfn.FORECAST.LINEAR($AA45,AC$3:AC44,$AA$3:$AA44)</f>
        <v>190.26247890555942</v>
      </c>
      <c r="AD45" s="8">
        <f ca="1">_xlfn.FORECAST.LINEAR($AA45,AD$3:AD44,$AA$3:$AA44)</f>
        <v>190.05302845533879</v>
      </c>
      <c r="AE45" s="8">
        <f ca="1">_xlfn.FORECAST.LINEAR($AA45,AE$3:AE44,$AA$3:$AA44)</f>
        <v>98.823537132707997</v>
      </c>
      <c r="AF45" s="9">
        <f ca="1">_xlfn.FORECAST.LINEAR($AA45,AF$3:AF44,$AA$3:$AA44)</f>
        <v>170504.20699374098</v>
      </c>
      <c r="AG45" s="6"/>
      <c r="AH45" s="13">
        <f ca="1"/>
        <v>46569</v>
      </c>
      <c r="AI45" s="8">
        <f t="shared" ca="1" si="15"/>
        <v>103.56307544177423</v>
      </c>
      <c r="AJ45" s="8">
        <f t="shared" ca="1" si="10"/>
        <v>134.33086202802929</v>
      </c>
      <c r="AK45" s="8">
        <f t="shared" ca="1" si="11"/>
        <v>129.52056383926643</v>
      </c>
      <c r="AL45" s="8">
        <f t="shared" ca="1" si="12"/>
        <v>68.15833761082817</v>
      </c>
      <c r="AM45" s="9">
        <f t="shared" ca="1" si="13"/>
        <v>115419.4995145959</v>
      </c>
      <c r="AN45" s="6"/>
      <c r="AO45" s="13">
        <v>46508</v>
      </c>
      <c r="AP45" s="8">
        <f t="shared" ref="AP45:AT45" ca="1" si="33">IFERROR(AP44*$G$6+(1-$G$6)*AVERAGE(AP28:AP44),"")</f>
        <v>90.196489061494248</v>
      </c>
      <c r="AQ45" s="8">
        <f t="shared" ca="1" si="33"/>
        <v>119.96962977887922</v>
      </c>
      <c r="AR45" s="8">
        <f t="shared" ca="1" si="33"/>
        <v>112.01862775685215</v>
      </c>
      <c r="AS45" s="8">
        <f t="shared" ca="1" si="33"/>
        <v>61.918350569488979</v>
      </c>
      <c r="AT45" s="8">
        <f t="shared" ca="1" si="33"/>
        <v>99599.01784588478</v>
      </c>
    </row>
    <row r="46" spans="1:46" ht="13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6"/>
      <c r="R46" s="7"/>
      <c r="S46" s="8"/>
      <c r="T46" s="8"/>
      <c r="U46" s="8"/>
      <c r="V46" s="8"/>
      <c r="W46" s="9"/>
      <c r="X46" s="9"/>
      <c r="Y46" s="9"/>
      <c r="Z46" s="6"/>
      <c r="AA46" s="13">
        <f ca="1"/>
        <v>46600</v>
      </c>
      <c r="AB46" s="8">
        <f ca="1">_xlfn.FORECAST.LINEAR($AA46,AB$3:AB45,$AA$3:$AA45)</f>
        <v>153.46131427810724</v>
      </c>
      <c r="AC46" s="8">
        <f ca="1">_xlfn.FORECAST.LINEAR($AA46,AC$3:AC45,$AA$3:$AA45)</f>
        <v>192.74289617772729</v>
      </c>
      <c r="AD46" s="8">
        <f ca="1">_xlfn.FORECAST.LINEAR($AA46,AD$3:AD45,$AA$3:$AA45)</f>
        <v>192.77165556413775</v>
      </c>
      <c r="AE46" s="8">
        <f ca="1">_xlfn.FORECAST.LINEAR($AA46,AE$3:AE45,$AA$3:$AA45)</f>
        <v>100.18581630694325</v>
      </c>
      <c r="AF46" s="9">
        <f ca="1">_xlfn.FORECAST.LINEAR($AA46,AF$3:AF45,$AA$3:$AA45)</f>
        <v>172919.64474669984</v>
      </c>
      <c r="AG46" s="6"/>
      <c r="AH46" s="13">
        <f ca="1"/>
        <v>46600</v>
      </c>
      <c r="AI46" s="8">
        <f t="shared" ca="1" si="15"/>
        <v>103.548945545229</v>
      </c>
      <c r="AJ46" s="8">
        <f t="shared" ca="1" si="10"/>
        <v>134.32327745322644</v>
      </c>
      <c r="AK46" s="8">
        <f t="shared" ca="1" si="11"/>
        <v>129.50787883311293</v>
      </c>
      <c r="AL46" s="8">
        <f t="shared" ca="1" si="12"/>
        <v>68.157278870110005</v>
      </c>
      <c r="AM46" s="9">
        <f t="shared" ca="1" si="13"/>
        <v>115478.02165776427</v>
      </c>
      <c r="AN46" s="6"/>
      <c r="AO46" s="13">
        <v>46539</v>
      </c>
      <c r="AP46" s="8">
        <f t="shared" ref="AP46:AT46" ca="1" si="34">IFERROR(AP45*$G$6+(1-$G$6)*AVERAGE(AP29:AP45),"")</f>
        <v>90.216995868140955</v>
      </c>
      <c r="AQ46" s="8">
        <f t="shared" ca="1" si="34"/>
        <v>119.99679192978155</v>
      </c>
      <c r="AR46" s="8">
        <f t="shared" ca="1" si="34"/>
        <v>112.04605448566029</v>
      </c>
      <c r="AS46" s="8">
        <f t="shared" ca="1" si="34"/>
        <v>61.919889592848797</v>
      </c>
      <c r="AT46" s="8">
        <f t="shared" ca="1" si="34"/>
        <v>99611.296844661643</v>
      </c>
    </row>
    <row r="47" spans="1:46" ht="13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6"/>
      <c r="R47" s="7"/>
      <c r="S47" s="8"/>
      <c r="T47" s="8"/>
      <c r="U47" s="8"/>
      <c r="V47" s="8"/>
      <c r="W47" s="9"/>
      <c r="X47" s="9"/>
      <c r="Y47" s="9"/>
      <c r="Z47" s="6"/>
      <c r="AA47" s="13">
        <f ca="1"/>
        <v>46631</v>
      </c>
      <c r="AB47" s="8">
        <f ca="1">_xlfn.FORECAST.LINEAR($AA47,AB$3:AB46,$AA$3:$AA46)</f>
        <v>155.59827252038303</v>
      </c>
      <c r="AC47" s="8">
        <f ca="1">_xlfn.FORECAST.LINEAR($AA47,AC$3:AC46,$AA$3:$AA46)</f>
        <v>195.22331344989516</v>
      </c>
      <c r="AD47" s="8">
        <f ca="1">_xlfn.FORECAST.LINEAR($AA47,AD$3:AD46,$AA$3:$AA46)</f>
        <v>195.49028267293579</v>
      </c>
      <c r="AE47" s="8">
        <f ca="1">_xlfn.FORECAST.LINEAR($AA47,AE$3:AE46,$AA$3:$AA46)</f>
        <v>101.54809548117851</v>
      </c>
      <c r="AF47" s="9">
        <f ca="1">_xlfn.FORECAST.LINEAR($AA47,AF$3:AF46,$AA$3:$AA46)</f>
        <v>175335.08249965869</v>
      </c>
      <c r="AG47" s="6"/>
      <c r="AH47" s="13">
        <f ca="1"/>
        <v>46631</v>
      </c>
      <c r="AI47" s="8">
        <f t="shared" ca="1" si="15"/>
        <v>103.51466153091387</v>
      </c>
      <c r="AJ47" s="8">
        <f t="shared" ca="1" si="10"/>
        <v>134.29129779631737</v>
      </c>
      <c r="AK47" s="8">
        <f t="shared" ca="1" si="11"/>
        <v>129.46863129927229</v>
      </c>
      <c r="AL47" s="8">
        <f t="shared" ca="1" si="12"/>
        <v>68.134110772530263</v>
      </c>
      <c r="AM47" s="9">
        <f t="shared" ca="1" si="13"/>
        <v>115488.8009670538</v>
      </c>
      <c r="AN47" s="6"/>
      <c r="AO47" s="13">
        <v>46569</v>
      </c>
      <c r="AP47" s="8">
        <f t="shared" ref="AP47:AT47" ca="1" si="35">IFERROR(AP46*$G$6+(1-$G$6)*AVERAGE(AP30:AP46),"")</f>
        <v>90.242808744335662</v>
      </c>
      <c r="AQ47" s="8">
        <f t="shared" ca="1" si="35"/>
        <v>120.02957379470226</v>
      </c>
      <c r="AR47" s="8">
        <f t="shared" ca="1" si="35"/>
        <v>112.08086829149265</v>
      </c>
      <c r="AS47" s="8">
        <f t="shared" ca="1" si="35"/>
        <v>61.929784497523556</v>
      </c>
      <c r="AT47" s="8">
        <f t="shared" ca="1" si="35"/>
        <v>99616.873967440275</v>
      </c>
    </row>
    <row r="48" spans="1:46" ht="19.5" x14ac:dyDescent="0.3">
      <c r="A48" s="3"/>
      <c r="B48" s="48"/>
      <c r="C48" s="47"/>
      <c r="D48" s="4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6"/>
      <c r="R48" s="7"/>
      <c r="S48" s="8"/>
      <c r="T48" s="8"/>
      <c r="U48" s="8"/>
      <c r="V48" s="8"/>
      <c r="W48" s="9"/>
      <c r="X48" s="9"/>
      <c r="Y48" s="9"/>
      <c r="Z48" s="6"/>
      <c r="AA48" s="13">
        <f ca="1"/>
        <v>46661</v>
      </c>
      <c r="AB48" s="8">
        <f ca="1">_xlfn.FORECAST.LINEAR($AA48,AB$3:AB47,$AA$3:$AA47)</f>
        <v>157.66629662581227</v>
      </c>
      <c r="AC48" s="8">
        <f ca="1">_xlfn.FORECAST.LINEAR($AA48,AC$3:AC47,$AA$3:$AA47)</f>
        <v>197.62371726167066</v>
      </c>
      <c r="AD48" s="8">
        <f ca="1">_xlfn.FORECAST.LINEAR($AA48,AD$3:AD47,$AA$3:$AA47)</f>
        <v>198.12121213306318</v>
      </c>
      <c r="AE48" s="8">
        <f ca="1">_xlfn.FORECAST.LINEAR($AA48,AE$3:AE47,$AA$3:$AA47)</f>
        <v>102.86643016592234</v>
      </c>
      <c r="AF48" s="9">
        <f ca="1">_xlfn.FORECAST.LINEAR($AA48,AF$3:AF47,$AA$3:$AA47)</f>
        <v>177672.60290574841</v>
      </c>
      <c r="AG48" s="6"/>
      <c r="AH48" s="13">
        <f ca="1"/>
        <v>46661</v>
      </c>
      <c r="AI48" s="8">
        <f t="shared" ca="1" si="15"/>
        <v>103.4777958368155</v>
      </c>
      <c r="AJ48" s="8">
        <f t="shared" ca="1" si="10"/>
        <v>134.25868765872045</v>
      </c>
      <c r="AK48" s="8">
        <f t="shared" ca="1" si="11"/>
        <v>129.42626001789486</v>
      </c>
      <c r="AL48" s="8">
        <f t="shared" ca="1" si="12"/>
        <v>68.112933555422586</v>
      </c>
      <c r="AM48" s="9">
        <f t="shared" ca="1" si="13"/>
        <v>115325.62667749044</v>
      </c>
      <c r="AN48" s="6"/>
      <c r="AO48" s="13">
        <v>46600</v>
      </c>
      <c r="AP48" s="8">
        <f t="shared" ref="AP48:AT48" ca="1" si="36">IFERROR(AP47*$G$6+(1-$G$6)*AVERAGE(AP31:AP47),"")</f>
        <v>90.269624743992679</v>
      </c>
      <c r="AQ48" s="8">
        <f t="shared" ca="1" si="36"/>
        <v>120.06290924090331</v>
      </c>
      <c r="AR48" s="8">
        <f t="shared" ca="1" si="36"/>
        <v>112.11736230511545</v>
      </c>
      <c r="AS48" s="8">
        <f t="shared" ca="1" si="36"/>
        <v>61.945160428519145</v>
      </c>
      <c r="AT48" s="8">
        <f t="shared" ca="1" si="36"/>
        <v>99616.37429108264</v>
      </c>
    </row>
    <row r="49" spans="1:46" ht="19.5" x14ac:dyDescent="0.3">
      <c r="A49" s="3"/>
      <c r="B49" s="48" t="s">
        <v>18</v>
      </c>
      <c r="C49" s="47"/>
      <c r="D49" s="4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"/>
      <c r="R49" s="7"/>
      <c r="S49" s="8"/>
      <c r="T49" s="8"/>
      <c r="U49" s="8"/>
      <c r="V49" s="8"/>
      <c r="W49" s="9"/>
      <c r="X49" s="9"/>
      <c r="Y49" s="9"/>
      <c r="Z49" s="6"/>
      <c r="AA49" s="13">
        <f ca="1"/>
        <v>46692</v>
      </c>
      <c r="AB49" s="8">
        <f ca="1">_xlfn.FORECAST.LINEAR($AA49,AB$3:AB48,$AA$3:$AA48)</f>
        <v>159.80325486808943</v>
      </c>
      <c r="AC49" s="8">
        <f ca="1">_xlfn.FORECAST.LINEAR($AA49,AC$3:AC48,$AA$3:$AA48)</f>
        <v>200.10413453383853</v>
      </c>
      <c r="AD49" s="8">
        <f ca="1">_xlfn.FORECAST.LINEAR($AA49,AD$3:AD48,$AA$3:$AA48)</f>
        <v>200.83983924186259</v>
      </c>
      <c r="AE49" s="8">
        <f ca="1">_xlfn.FORECAST.LINEAR($AA49,AE$3:AE48,$AA$3:$AA48)</f>
        <v>104.22870934015782</v>
      </c>
      <c r="AF49" s="9">
        <f ca="1">_xlfn.FORECAST.LINEAR($AA49,AF$3:AF48,$AA$3:$AA48)</f>
        <v>180088.0406587082</v>
      </c>
      <c r="AG49" s="6"/>
      <c r="AH49" s="13">
        <f ca="1"/>
        <v>46692</v>
      </c>
      <c r="AI49" s="8">
        <f t="shared" ca="1" si="15"/>
        <v>103.42426737751379</v>
      </c>
      <c r="AJ49" s="8">
        <f t="shared" ca="1" si="10"/>
        <v>134.21167515238304</v>
      </c>
      <c r="AK49" s="8">
        <f t="shared" ca="1" si="11"/>
        <v>129.3596835833763</v>
      </c>
      <c r="AL49" s="8">
        <f t="shared" ca="1" si="12"/>
        <v>68.101184366209949</v>
      </c>
      <c r="AM49" s="9">
        <f t="shared" ca="1" si="13"/>
        <v>115084.57055517309</v>
      </c>
      <c r="AN49" s="6"/>
      <c r="AO49" s="13">
        <v>46631</v>
      </c>
      <c r="AP49" s="8">
        <f t="shared" ref="AP49:AT49" ca="1" si="37">IFERROR(AP48*$G$6+(1-$G$6)*AVERAGE(AP32:AP48),"")</f>
        <v>90.294207691977618</v>
      </c>
      <c r="AQ49" s="8">
        <f t="shared" ca="1" si="37"/>
        <v>120.0928665501369</v>
      </c>
      <c r="AR49" s="8">
        <f t="shared" ca="1" si="37"/>
        <v>112.15104023490828</v>
      </c>
      <c r="AS49" s="8">
        <f t="shared" ca="1" si="37"/>
        <v>61.963866668968627</v>
      </c>
      <c r="AT49" s="8">
        <f t="shared" ca="1" si="37"/>
        <v>99618.075496241188</v>
      </c>
    </row>
    <row r="50" spans="1:46" ht="19.5" x14ac:dyDescent="0.3">
      <c r="A50" s="3"/>
      <c r="B50" s="48"/>
      <c r="C50" s="47"/>
      <c r="D50" s="4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6"/>
      <c r="R50" s="7"/>
      <c r="S50" s="8"/>
      <c r="T50" s="8"/>
      <c r="U50" s="8"/>
      <c r="V50" s="8"/>
      <c r="W50" s="9"/>
      <c r="X50" s="9"/>
      <c r="Y50" s="9"/>
      <c r="Z50" s="6"/>
      <c r="AA50" s="13">
        <f ca="1"/>
        <v>46722</v>
      </c>
      <c r="AB50" s="8">
        <f ca="1">_xlfn.FORECAST.LINEAR($AA50,AB$3:AB49,$AA$3:$AA49)</f>
        <v>161.8712789735182</v>
      </c>
      <c r="AC50" s="8">
        <f ca="1">_xlfn.FORECAST.LINEAR($AA50,AC$3:AC49,$AA$3:$AA49)</f>
        <v>202.50453834561404</v>
      </c>
      <c r="AD50" s="8">
        <f ca="1">_xlfn.FORECAST.LINEAR($AA50,AD$3:AD49,$AA$3:$AA49)</f>
        <v>203.47076870199044</v>
      </c>
      <c r="AE50" s="8">
        <f ca="1">_xlfn.FORECAST.LINEAR($AA50,AE$3:AE49,$AA$3:$AA49)</f>
        <v>105.54704402490165</v>
      </c>
      <c r="AF50" s="9">
        <f ca="1">_xlfn.FORECAST.LINEAR($AA50,AF$3:AF49,$AA$3:$AA49)</f>
        <v>182425.56106479745</v>
      </c>
      <c r="AG50" s="6"/>
      <c r="AH50" s="13">
        <f ca="1"/>
        <v>46722</v>
      </c>
      <c r="AI50" s="8">
        <f t="shared" ca="1" si="15"/>
        <v>103.38627725946174</v>
      </c>
      <c r="AJ50" s="8">
        <f t="shared" ca="1" si="10"/>
        <v>134.17586411958155</v>
      </c>
      <c r="AK50" s="8">
        <f t="shared" ca="1" si="11"/>
        <v>129.30682871520253</v>
      </c>
      <c r="AL50" s="8">
        <f t="shared" ca="1" si="12"/>
        <v>68.114470495771428</v>
      </c>
      <c r="AM50" s="9">
        <f t="shared" ca="1" si="13"/>
        <v>115067.32711609807</v>
      </c>
      <c r="AN50" s="6"/>
      <c r="AO50" s="13">
        <v>46661</v>
      </c>
      <c r="AP50" s="8">
        <f t="shared" ref="AP50:AT50" ca="1" si="38">IFERROR(AP49*$G$6+(1-$G$6)*AVERAGE(AP33:AP49),"")</f>
        <v>90.314196865601474</v>
      </c>
      <c r="AQ50" s="8">
        <f t="shared" ca="1" si="38"/>
        <v>120.11685641154509</v>
      </c>
      <c r="AR50" s="8">
        <f t="shared" ca="1" si="38"/>
        <v>112.17853428788584</v>
      </c>
      <c r="AS50" s="8">
        <f t="shared" ca="1" si="38"/>
        <v>61.982614139232922</v>
      </c>
      <c r="AT50" s="8">
        <f t="shared" ca="1" si="38"/>
        <v>99622.189448265301</v>
      </c>
    </row>
    <row r="51" spans="1:46" ht="13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6"/>
      <c r="R51" s="7"/>
      <c r="S51" s="8"/>
      <c r="T51" s="8"/>
      <c r="U51" s="8"/>
      <c r="V51" s="8"/>
      <c r="W51" s="9"/>
      <c r="X51" s="9"/>
      <c r="Y51" s="9"/>
      <c r="Z51" s="6"/>
      <c r="AA51" s="7"/>
      <c r="AB51" s="8"/>
      <c r="AC51" s="8"/>
      <c r="AD51" s="8"/>
      <c r="AE51" s="8"/>
      <c r="AF51" s="9"/>
      <c r="AG51" s="6"/>
      <c r="AH51" s="7"/>
      <c r="AI51" s="8"/>
      <c r="AJ51" s="8"/>
      <c r="AK51" s="8"/>
      <c r="AL51" s="8"/>
      <c r="AM51" s="9"/>
      <c r="AN51" s="6"/>
      <c r="AO51" s="7"/>
      <c r="AP51" s="8"/>
      <c r="AQ51" s="8"/>
      <c r="AR51" s="8"/>
      <c r="AS51" s="8"/>
      <c r="AT51" s="9"/>
    </row>
    <row r="52" spans="1:46" ht="13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6"/>
      <c r="R52" s="7"/>
      <c r="S52" s="8"/>
      <c r="T52" s="8"/>
      <c r="U52" s="8"/>
      <c r="V52" s="8"/>
      <c r="W52" s="9"/>
      <c r="X52" s="9"/>
      <c r="Y52" s="9"/>
      <c r="Z52" s="6"/>
      <c r="AA52" s="7"/>
      <c r="AB52" s="8"/>
      <c r="AC52" s="8"/>
      <c r="AD52" s="8"/>
      <c r="AE52" s="8"/>
      <c r="AF52" s="9"/>
      <c r="AG52" s="6"/>
      <c r="AH52" s="7"/>
      <c r="AI52" s="8"/>
      <c r="AJ52" s="8"/>
      <c r="AK52" s="8"/>
      <c r="AL52" s="8"/>
      <c r="AM52" s="9"/>
      <c r="AN52" s="6"/>
      <c r="AO52" s="7"/>
      <c r="AP52" s="8"/>
      <c r="AQ52" s="8"/>
      <c r="AR52" s="8"/>
      <c r="AS52" s="8"/>
      <c r="AT52" s="9"/>
    </row>
    <row r="53" spans="1:46" ht="13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6"/>
      <c r="R53" s="7"/>
      <c r="S53" s="8"/>
      <c r="T53" s="8"/>
      <c r="U53" s="8"/>
      <c r="V53" s="8"/>
      <c r="W53" s="9"/>
      <c r="X53" s="9"/>
      <c r="Y53" s="9"/>
      <c r="Z53" s="6"/>
      <c r="AA53" s="7"/>
      <c r="AB53" s="8"/>
      <c r="AC53" s="8"/>
      <c r="AD53" s="8"/>
      <c r="AE53" s="8"/>
      <c r="AF53" s="9"/>
      <c r="AG53" s="6"/>
      <c r="AH53" s="7"/>
      <c r="AI53" s="8"/>
      <c r="AJ53" s="8"/>
      <c r="AK53" s="8"/>
      <c r="AL53" s="8"/>
      <c r="AM53" s="9"/>
      <c r="AN53" s="6"/>
      <c r="AO53" s="7"/>
      <c r="AP53" s="8"/>
      <c r="AQ53" s="8"/>
      <c r="AR53" s="8"/>
      <c r="AS53" s="8"/>
      <c r="AT53" s="9"/>
    </row>
    <row r="54" spans="1:46" ht="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6"/>
      <c r="R54" s="7"/>
      <c r="S54" s="8"/>
      <c r="T54" s="8"/>
      <c r="U54" s="8"/>
      <c r="V54" s="8"/>
      <c r="W54" s="9"/>
      <c r="X54" s="9"/>
      <c r="Y54" s="9"/>
      <c r="Z54" s="6"/>
      <c r="AA54" s="7"/>
      <c r="AB54" s="8"/>
      <c r="AC54" s="8"/>
      <c r="AD54" s="8"/>
      <c r="AE54" s="8"/>
      <c r="AF54" s="9"/>
      <c r="AG54" s="6"/>
      <c r="AH54" s="7"/>
      <c r="AI54" s="8"/>
      <c r="AJ54" s="8"/>
      <c r="AK54" s="8"/>
      <c r="AL54" s="8"/>
      <c r="AM54" s="9"/>
      <c r="AN54" s="6"/>
      <c r="AO54" s="7"/>
      <c r="AP54" s="8"/>
      <c r="AQ54" s="8"/>
      <c r="AR54" s="8"/>
      <c r="AS54" s="8"/>
      <c r="AT54" s="9"/>
    </row>
    <row r="55" spans="1:46" ht="13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6"/>
      <c r="R55" s="7"/>
      <c r="S55" s="8"/>
      <c r="T55" s="8"/>
      <c r="U55" s="8"/>
      <c r="V55" s="8"/>
      <c r="W55" s="9"/>
      <c r="X55" s="9"/>
      <c r="Y55" s="9"/>
      <c r="Z55" s="6"/>
      <c r="AA55" s="7"/>
      <c r="AB55" s="8"/>
      <c r="AC55" s="8"/>
      <c r="AD55" s="8"/>
      <c r="AE55" s="8"/>
      <c r="AF55" s="9"/>
      <c r="AG55" s="6"/>
      <c r="AH55" s="7"/>
      <c r="AI55" s="8"/>
      <c r="AJ55" s="8"/>
      <c r="AK55" s="8"/>
      <c r="AL55" s="8"/>
      <c r="AM55" s="9"/>
      <c r="AN55" s="6"/>
      <c r="AO55" s="7"/>
      <c r="AP55" s="8"/>
      <c r="AQ55" s="8"/>
      <c r="AR55" s="8"/>
      <c r="AS55" s="8"/>
      <c r="AT55" s="9"/>
    </row>
    <row r="56" spans="1:46" ht="1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6"/>
      <c r="R56" s="7"/>
      <c r="S56" s="8"/>
      <c r="T56" s="8"/>
      <c r="U56" s="8"/>
      <c r="V56" s="8"/>
      <c r="W56" s="9"/>
      <c r="X56" s="9"/>
      <c r="Y56" s="9"/>
      <c r="Z56" s="6"/>
      <c r="AA56" s="7"/>
      <c r="AB56" s="8"/>
      <c r="AC56" s="8"/>
      <c r="AD56" s="8"/>
      <c r="AE56" s="8"/>
      <c r="AF56" s="9"/>
      <c r="AG56" s="6"/>
      <c r="AH56" s="7"/>
      <c r="AI56" s="8"/>
      <c r="AJ56" s="8"/>
      <c r="AK56" s="8"/>
      <c r="AL56" s="8"/>
      <c r="AM56" s="9"/>
      <c r="AN56" s="6"/>
      <c r="AO56" s="7"/>
      <c r="AP56" s="8"/>
      <c r="AQ56" s="8"/>
      <c r="AR56" s="8"/>
      <c r="AS56" s="8"/>
      <c r="AT56" s="9"/>
    </row>
    <row r="57" spans="1:46" ht="1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6"/>
      <c r="R57" s="7"/>
      <c r="S57" s="8"/>
      <c r="T57" s="8"/>
      <c r="U57" s="8"/>
      <c r="V57" s="8"/>
      <c r="W57" s="9"/>
      <c r="X57" s="9"/>
      <c r="Y57" s="9"/>
      <c r="Z57" s="6"/>
      <c r="AA57" s="7"/>
      <c r="AB57" s="8"/>
      <c r="AC57" s="8"/>
      <c r="AD57" s="8"/>
      <c r="AE57" s="8"/>
      <c r="AF57" s="9"/>
      <c r="AG57" s="6"/>
      <c r="AH57" s="7"/>
      <c r="AI57" s="8"/>
      <c r="AJ57" s="8"/>
      <c r="AK57" s="8"/>
      <c r="AL57" s="8"/>
      <c r="AM57" s="9"/>
      <c r="AN57" s="6"/>
      <c r="AO57" s="7"/>
      <c r="AP57" s="8"/>
      <c r="AQ57" s="8"/>
      <c r="AR57" s="8"/>
      <c r="AS57" s="8"/>
      <c r="AT57" s="9"/>
    </row>
    <row r="58" spans="1:46" ht="1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6"/>
      <c r="R58" s="7"/>
      <c r="S58" s="8"/>
      <c r="T58" s="8"/>
      <c r="U58" s="8"/>
      <c r="V58" s="8"/>
      <c r="W58" s="9"/>
      <c r="X58" s="9"/>
      <c r="Y58" s="9"/>
      <c r="Z58" s="6"/>
      <c r="AA58" s="7"/>
      <c r="AB58" s="8"/>
      <c r="AC58" s="8"/>
      <c r="AD58" s="8"/>
      <c r="AE58" s="8"/>
      <c r="AF58" s="9"/>
      <c r="AG58" s="6"/>
      <c r="AH58" s="7"/>
      <c r="AI58" s="8"/>
      <c r="AJ58" s="8"/>
      <c r="AK58" s="8"/>
      <c r="AL58" s="8"/>
      <c r="AM58" s="9"/>
      <c r="AN58" s="6"/>
      <c r="AO58" s="7"/>
      <c r="AP58" s="8"/>
      <c r="AQ58" s="8"/>
      <c r="AR58" s="8"/>
      <c r="AS58" s="8"/>
      <c r="AT58" s="9"/>
    </row>
    <row r="59" spans="1:46" ht="1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6"/>
      <c r="R59" s="7"/>
      <c r="S59" s="8"/>
      <c r="T59" s="8"/>
      <c r="U59" s="8"/>
      <c r="V59" s="8"/>
      <c r="W59" s="9"/>
      <c r="X59" s="9"/>
      <c r="Y59" s="9"/>
      <c r="Z59" s="6"/>
      <c r="AA59" s="7"/>
      <c r="AB59" s="8"/>
      <c r="AC59" s="8"/>
      <c r="AD59" s="8"/>
      <c r="AE59" s="8"/>
      <c r="AF59" s="9"/>
      <c r="AG59" s="6"/>
      <c r="AH59" s="7"/>
      <c r="AI59" s="8"/>
      <c r="AJ59" s="8"/>
      <c r="AK59" s="8"/>
      <c r="AL59" s="8"/>
      <c r="AM59" s="9"/>
      <c r="AN59" s="6"/>
      <c r="AO59" s="7"/>
      <c r="AP59" s="8"/>
      <c r="AQ59" s="8"/>
      <c r="AR59" s="8"/>
      <c r="AS59" s="8"/>
      <c r="AT59" s="9"/>
    </row>
    <row r="60" spans="1:46" ht="1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"/>
      <c r="R60" s="7"/>
      <c r="S60" s="8"/>
      <c r="T60" s="8"/>
      <c r="U60" s="8"/>
      <c r="V60" s="8"/>
      <c r="W60" s="9"/>
      <c r="X60" s="9"/>
      <c r="Y60" s="9"/>
      <c r="Z60" s="6"/>
      <c r="AA60" s="7"/>
      <c r="AB60" s="8"/>
      <c r="AC60" s="8"/>
      <c r="AD60" s="8"/>
      <c r="AE60" s="8"/>
      <c r="AF60" s="9"/>
      <c r="AG60" s="6"/>
      <c r="AH60" s="7"/>
      <c r="AI60" s="8"/>
      <c r="AJ60" s="8"/>
      <c r="AK60" s="8"/>
      <c r="AL60" s="8"/>
      <c r="AM60" s="9"/>
      <c r="AN60" s="6"/>
      <c r="AO60" s="7"/>
      <c r="AP60" s="8"/>
      <c r="AQ60" s="8"/>
      <c r="AR60" s="8"/>
      <c r="AS60" s="8"/>
      <c r="AT60" s="9"/>
    </row>
    <row r="61" spans="1:46" ht="13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"/>
      <c r="R61" s="7"/>
      <c r="S61" s="8"/>
      <c r="T61" s="8"/>
      <c r="U61" s="8"/>
      <c r="V61" s="8"/>
      <c r="W61" s="9"/>
      <c r="X61" s="9"/>
      <c r="Y61" s="9"/>
      <c r="Z61" s="6"/>
      <c r="AA61" s="7"/>
      <c r="AB61" s="8"/>
      <c r="AC61" s="8"/>
      <c r="AD61" s="8"/>
      <c r="AE61" s="8"/>
      <c r="AF61" s="9"/>
      <c r="AG61" s="6"/>
      <c r="AH61" s="7"/>
      <c r="AI61" s="8"/>
      <c r="AJ61" s="8"/>
      <c r="AK61" s="8"/>
      <c r="AL61" s="8"/>
      <c r="AM61" s="9"/>
      <c r="AN61" s="6"/>
      <c r="AO61" s="7"/>
      <c r="AP61" s="8"/>
      <c r="AQ61" s="8"/>
      <c r="AR61" s="8"/>
      <c r="AS61" s="8"/>
      <c r="AT61" s="9"/>
    </row>
    <row r="62" spans="1:46" ht="13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"/>
      <c r="R62" s="7"/>
      <c r="S62" s="8"/>
      <c r="T62" s="8"/>
      <c r="U62" s="8"/>
      <c r="V62" s="8"/>
      <c r="W62" s="9"/>
      <c r="X62" s="9"/>
      <c r="Y62" s="9"/>
      <c r="Z62" s="6"/>
      <c r="AA62" s="7"/>
      <c r="AB62" s="8"/>
      <c r="AC62" s="8"/>
      <c r="AD62" s="8"/>
      <c r="AE62" s="8"/>
      <c r="AF62" s="9"/>
      <c r="AG62" s="6"/>
      <c r="AH62" s="7"/>
      <c r="AI62" s="8"/>
      <c r="AJ62" s="8"/>
      <c r="AK62" s="8"/>
      <c r="AL62" s="8"/>
      <c r="AM62" s="9"/>
      <c r="AN62" s="6"/>
      <c r="AO62" s="7"/>
      <c r="AP62" s="8"/>
      <c r="AQ62" s="8"/>
      <c r="AR62" s="8"/>
      <c r="AS62" s="8"/>
      <c r="AT62" s="9"/>
    </row>
    <row r="63" spans="1:46" ht="13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6"/>
      <c r="R63" s="7"/>
      <c r="S63" s="8"/>
      <c r="T63" s="8"/>
      <c r="U63" s="8"/>
      <c r="V63" s="8"/>
      <c r="W63" s="9"/>
      <c r="X63" s="9"/>
      <c r="Y63" s="9"/>
      <c r="Z63" s="6"/>
      <c r="AA63" s="7"/>
      <c r="AB63" s="8"/>
      <c r="AC63" s="8"/>
      <c r="AD63" s="8"/>
      <c r="AE63" s="8"/>
      <c r="AF63" s="9"/>
      <c r="AG63" s="6"/>
      <c r="AH63" s="7"/>
      <c r="AI63" s="8"/>
      <c r="AJ63" s="8"/>
      <c r="AK63" s="8"/>
      <c r="AL63" s="8"/>
      <c r="AM63" s="9"/>
      <c r="AN63" s="6"/>
      <c r="AO63" s="7"/>
      <c r="AP63" s="8"/>
      <c r="AQ63" s="8"/>
      <c r="AR63" s="8"/>
      <c r="AS63" s="8"/>
      <c r="AT63" s="9"/>
    </row>
    <row r="64" spans="1:46" ht="1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40"/>
      <c r="T64" s="40"/>
      <c r="U64" s="40"/>
      <c r="V64" s="40"/>
      <c r="W64" s="41"/>
      <c r="X64" s="41"/>
      <c r="Y64" s="41"/>
      <c r="Z64" s="3"/>
      <c r="AA64" s="3"/>
      <c r="AB64" s="40"/>
      <c r="AC64" s="40"/>
      <c r="AD64" s="40"/>
      <c r="AE64" s="40"/>
      <c r="AF64" s="41"/>
      <c r="AG64" s="3"/>
      <c r="AH64" s="3"/>
      <c r="AI64" s="40"/>
      <c r="AJ64" s="40"/>
      <c r="AK64" s="40"/>
      <c r="AL64" s="40"/>
      <c r="AM64" s="41"/>
      <c r="AN64" s="3"/>
      <c r="AO64" s="3"/>
      <c r="AP64" s="40"/>
      <c r="AQ64" s="40"/>
      <c r="AR64" s="40"/>
      <c r="AS64" s="40"/>
      <c r="AT64" s="41"/>
    </row>
    <row r="65" spans="1:46" ht="1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40"/>
      <c r="T65" s="40"/>
      <c r="U65" s="40"/>
      <c r="V65" s="40"/>
      <c r="W65" s="41"/>
      <c r="X65" s="41"/>
      <c r="Y65" s="41"/>
      <c r="Z65" s="3"/>
      <c r="AA65" s="3"/>
      <c r="AB65" s="40"/>
      <c r="AC65" s="40"/>
      <c r="AD65" s="40"/>
      <c r="AE65" s="40"/>
      <c r="AF65" s="41"/>
      <c r="AG65" s="3"/>
      <c r="AH65" s="3"/>
      <c r="AI65" s="40"/>
      <c r="AJ65" s="40"/>
      <c r="AK65" s="40"/>
      <c r="AL65" s="40"/>
      <c r="AM65" s="41"/>
      <c r="AN65" s="3"/>
      <c r="AO65" s="3"/>
      <c r="AP65" s="40"/>
      <c r="AQ65" s="40"/>
      <c r="AR65" s="40"/>
      <c r="AS65" s="40"/>
      <c r="AT65" s="41"/>
    </row>
    <row r="66" spans="1:46" ht="1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40"/>
      <c r="T66" s="40"/>
      <c r="U66" s="40"/>
      <c r="V66" s="40"/>
      <c r="W66" s="41"/>
      <c r="X66" s="41"/>
      <c r="Y66" s="41"/>
      <c r="Z66" s="3"/>
      <c r="AA66" s="3"/>
      <c r="AB66" s="40"/>
      <c r="AC66" s="40"/>
      <c r="AD66" s="40"/>
      <c r="AE66" s="40"/>
      <c r="AF66" s="41"/>
      <c r="AG66" s="3"/>
      <c r="AH66" s="3"/>
      <c r="AI66" s="40"/>
      <c r="AJ66" s="40"/>
      <c r="AK66" s="40"/>
      <c r="AL66" s="40"/>
      <c r="AM66" s="41"/>
      <c r="AN66" s="3"/>
      <c r="AO66" s="3"/>
      <c r="AP66" s="40"/>
      <c r="AQ66" s="40"/>
      <c r="AR66" s="40"/>
      <c r="AS66" s="40"/>
      <c r="AT66" s="41"/>
    </row>
    <row r="67" spans="1:46" ht="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40"/>
      <c r="T67" s="40"/>
      <c r="U67" s="40"/>
      <c r="V67" s="40"/>
      <c r="W67" s="41"/>
      <c r="X67" s="41"/>
      <c r="Y67" s="41"/>
      <c r="Z67" s="3"/>
      <c r="AA67" s="3"/>
      <c r="AB67" s="40"/>
      <c r="AC67" s="40"/>
      <c r="AD67" s="40"/>
      <c r="AE67" s="40"/>
      <c r="AF67" s="41"/>
      <c r="AG67" s="3"/>
      <c r="AH67" s="3"/>
      <c r="AI67" s="40"/>
      <c r="AJ67" s="40"/>
      <c r="AK67" s="40"/>
      <c r="AL67" s="40"/>
      <c r="AM67" s="41"/>
      <c r="AN67" s="3"/>
      <c r="AO67" s="3"/>
      <c r="AP67" s="40"/>
      <c r="AQ67" s="40"/>
      <c r="AR67" s="40"/>
      <c r="AS67" s="40"/>
      <c r="AT67" s="41"/>
    </row>
    <row r="68" spans="1:46" ht="1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40"/>
      <c r="T68" s="40"/>
      <c r="U68" s="40"/>
      <c r="V68" s="40"/>
      <c r="W68" s="41"/>
      <c r="X68" s="41"/>
      <c r="Y68" s="41"/>
      <c r="Z68" s="3"/>
      <c r="AA68" s="3"/>
      <c r="AB68" s="40"/>
      <c r="AC68" s="40"/>
      <c r="AD68" s="40"/>
      <c r="AE68" s="40"/>
      <c r="AF68" s="41"/>
      <c r="AG68" s="3"/>
      <c r="AH68" s="3"/>
      <c r="AI68" s="40"/>
      <c r="AJ68" s="40"/>
      <c r="AK68" s="40"/>
      <c r="AL68" s="40"/>
      <c r="AM68" s="41"/>
      <c r="AN68" s="3"/>
      <c r="AO68" s="3"/>
      <c r="AP68" s="40"/>
      <c r="AQ68" s="40"/>
      <c r="AR68" s="40"/>
      <c r="AS68" s="40"/>
      <c r="AT68" s="41"/>
    </row>
    <row r="69" spans="1:46" ht="1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40"/>
      <c r="T69" s="40"/>
      <c r="U69" s="40"/>
      <c r="V69" s="40"/>
      <c r="W69" s="41"/>
      <c r="X69" s="41"/>
      <c r="Y69" s="41"/>
      <c r="Z69" s="3"/>
      <c r="AA69" s="3"/>
      <c r="AB69" s="40"/>
      <c r="AC69" s="40"/>
      <c r="AD69" s="40"/>
      <c r="AE69" s="40"/>
      <c r="AF69" s="41"/>
      <c r="AG69" s="3"/>
      <c r="AH69" s="3"/>
      <c r="AI69" s="40"/>
      <c r="AJ69" s="40"/>
      <c r="AK69" s="40"/>
      <c r="AL69" s="40"/>
      <c r="AM69" s="41"/>
      <c r="AN69" s="3"/>
      <c r="AO69" s="3"/>
      <c r="AP69" s="40"/>
      <c r="AQ69" s="40"/>
      <c r="AR69" s="40"/>
      <c r="AS69" s="40"/>
      <c r="AT69" s="41"/>
    </row>
    <row r="70" spans="1:46" ht="1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40"/>
      <c r="T70" s="40"/>
      <c r="U70" s="40"/>
      <c r="V70" s="40"/>
      <c r="W70" s="41"/>
      <c r="X70" s="41"/>
      <c r="Y70" s="41"/>
      <c r="Z70" s="3"/>
      <c r="AA70" s="3"/>
      <c r="AB70" s="40"/>
      <c r="AC70" s="40"/>
      <c r="AD70" s="40"/>
      <c r="AE70" s="40"/>
      <c r="AF70" s="41"/>
      <c r="AG70" s="3"/>
      <c r="AH70" s="3"/>
      <c r="AI70" s="40"/>
      <c r="AJ70" s="40"/>
      <c r="AK70" s="40"/>
      <c r="AL70" s="40"/>
      <c r="AM70" s="41"/>
      <c r="AN70" s="3"/>
      <c r="AO70" s="3"/>
      <c r="AP70" s="40"/>
      <c r="AQ70" s="40"/>
      <c r="AR70" s="40"/>
      <c r="AS70" s="40"/>
      <c r="AT70" s="41"/>
    </row>
    <row r="71" spans="1:46" ht="13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40"/>
      <c r="T71" s="40"/>
      <c r="U71" s="40"/>
      <c r="V71" s="40"/>
      <c r="W71" s="41"/>
      <c r="X71" s="41"/>
      <c r="Y71" s="41"/>
      <c r="Z71" s="3"/>
      <c r="AA71" s="3"/>
      <c r="AB71" s="40"/>
      <c r="AC71" s="40"/>
      <c r="AD71" s="40"/>
      <c r="AE71" s="40"/>
      <c r="AF71" s="41"/>
      <c r="AG71" s="3"/>
      <c r="AH71" s="3"/>
      <c r="AI71" s="40"/>
      <c r="AJ71" s="40"/>
      <c r="AK71" s="40"/>
      <c r="AL71" s="40"/>
      <c r="AM71" s="41"/>
      <c r="AN71" s="3"/>
      <c r="AO71" s="3"/>
      <c r="AP71" s="40"/>
      <c r="AQ71" s="40"/>
      <c r="AR71" s="40"/>
      <c r="AS71" s="40"/>
      <c r="AT71" s="41"/>
    </row>
    <row r="72" spans="1:46" ht="13" hidden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40"/>
      <c r="T72" s="40"/>
      <c r="U72" s="40"/>
      <c r="V72" s="40"/>
      <c r="W72" s="41"/>
      <c r="X72" s="41"/>
      <c r="Y72" s="41"/>
      <c r="Z72" s="3"/>
      <c r="AA72" s="3"/>
      <c r="AB72" s="40"/>
      <c r="AC72" s="40"/>
      <c r="AD72" s="40"/>
      <c r="AE72" s="40"/>
      <c r="AF72" s="41"/>
      <c r="AG72" s="3"/>
      <c r="AH72" s="3"/>
      <c r="AI72" s="40"/>
      <c r="AJ72" s="40"/>
      <c r="AK72" s="40"/>
      <c r="AL72" s="40"/>
      <c r="AM72" s="41"/>
      <c r="AN72" s="3"/>
      <c r="AO72" s="3"/>
      <c r="AP72" s="40"/>
      <c r="AQ72" s="40"/>
      <c r="AR72" s="40"/>
      <c r="AS72" s="40"/>
      <c r="AT72" s="41"/>
    </row>
    <row r="73" spans="1:46" ht="13" hidden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40"/>
      <c r="T73" s="40"/>
      <c r="U73" s="40"/>
      <c r="V73" s="40"/>
      <c r="W73" s="41"/>
      <c r="X73" s="41"/>
      <c r="Y73" s="41"/>
      <c r="Z73" s="3"/>
      <c r="AA73" s="3"/>
      <c r="AB73" s="40"/>
      <c r="AC73" s="40"/>
      <c r="AD73" s="40"/>
      <c r="AE73" s="40"/>
      <c r="AF73" s="41"/>
      <c r="AG73" s="3"/>
      <c r="AH73" s="3"/>
      <c r="AI73" s="40"/>
      <c r="AJ73" s="40"/>
      <c r="AK73" s="40"/>
      <c r="AL73" s="40"/>
      <c r="AM73" s="41"/>
      <c r="AN73" s="3"/>
      <c r="AO73" s="3"/>
      <c r="AP73" s="40"/>
      <c r="AQ73" s="40"/>
      <c r="AR73" s="40"/>
      <c r="AS73" s="40"/>
      <c r="AT73" s="41"/>
    </row>
    <row r="74" spans="1:46" ht="13" hidden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40"/>
      <c r="T74" s="40"/>
      <c r="U74" s="40"/>
      <c r="V74" s="40"/>
      <c r="W74" s="41"/>
      <c r="X74" s="41"/>
      <c r="Y74" s="41"/>
      <c r="Z74" s="3"/>
      <c r="AA74" s="3"/>
      <c r="AB74" s="40"/>
      <c r="AC74" s="40"/>
      <c r="AD74" s="40"/>
      <c r="AE74" s="40"/>
      <c r="AF74" s="41"/>
      <c r="AG74" s="3"/>
      <c r="AH74" s="3"/>
      <c r="AI74" s="40"/>
      <c r="AJ74" s="40"/>
      <c r="AK74" s="40"/>
      <c r="AL74" s="40"/>
      <c r="AM74" s="41"/>
      <c r="AN74" s="3"/>
      <c r="AO74" s="3"/>
      <c r="AP74" s="40"/>
      <c r="AQ74" s="40"/>
      <c r="AR74" s="40"/>
      <c r="AS74" s="40"/>
      <c r="AT74" s="41"/>
    </row>
    <row r="75" spans="1:46" ht="13" hidden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40"/>
      <c r="T75" s="40"/>
      <c r="U75" s="40"/>
      <c r="V75" s="40"/>
      <c r="W75" s="41"/>
      <c r="X75" s="41"/>
      <c r="Y75" s="41"/>
      <c r="Z75" s="3"/>
      <c r="AA75" s="3"/>
      <c r="AB75" s="40"/>
      <c r="AC75" s="40"/>
      <c r="AD75" s="40"/>
      <c r="AE75" s="40"/>
      <c r="AF75" s="41"/>
      <c r="AG75" s="3"/>
      <c r="AH75" s="3"/>
      <c r="AI75" s="40"/>
      <c r="AJ75" s="40"/>
      <c r="AK75" s="40"/>
      <c r="AL75" s="40"/>
      <c r="AM75" s="41"/>
      <c r="AN75" s="3"/>
      <c r="AO75" s="3"/>
      <c r="AP75" s="40"/>
      <c r="AQ75" s="40"/>
      <c r="AR75" s="40"/>
      <c r="AS75" s="40"/>
      <c r="AT75" s="41"/>
    </row>
    <row r="76" spans="1:46" ht="13" hidden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40"/>
      <c r="T76" s="40"/>
      <c r="U76" s="40"/>
      <c r="V76" s="40"/>
      <c r="W76" s="41"/>
      <c r="X76" s="41"/>
      <c r="Y76" s="41"/>
      <c r="Z76" s="3"/>
      <c r="AA76" s="3"/>
      <c r="AB76" s="40"/>
      <c r="AC76" s="40"/>
      <c r="AD76" s="40"/>
      <c r="AE76" s="40"/>
      <c r="AF76" s="41"/>
      <c r="AG76" s="3"/>
      <c r="AH76" s="3"/>
      <c r="AI76" s="40"/>
      <c r="AJ76" s="40"/>
      <c r="AK76" s="40"/>
      <c r="AL76" s="40"/>
      <c r="AM76" s="41"/>
      <c r="AN76" s="3"/>
      <c r="AO76" s="3"/>
      <c r="AP76" s="40"/>
      <c r="AQ76" s="40"/>
      <c r="AR76" s="40"/>
      <c r="AS76" s="40"/>
      <c r="AT76" s="41"/>
    </row>
    <row r="77" spans="1:46" ht="13" hidden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40"/>
      <c r="T77" s="40"/>
      <c r="U77" s="40"/>
      <c r="V77" s="40"/>
      <c r="W77" s="41"/>
      <c r="X77" s="41"/>
      <c r="Y77" s="41"/>
      <c r="Z77" s="3"/>
      <c r="AA77" s="3"/>
      <c r="AB77" s="40"/>
      <c r="AC77" s="40"/>
      <c r="AD77" s="40"/>
      <c r="AE77" s="40"/>
      <c r="AF77" s="41"/>
      <c r="AG77" s="3"/>
      <c r="AH77" s="3"/>
      <c r="AI77" s="40"/>
      <c r="AJ77" s="40"/>
      <c r="AK77" s="40"/>
      <c r="AL77" s="40"/>
      <c r="AM77" s="41"/>
      <c r="AN77" s="3"/>
      <c r="AO77" s="3"/>
      <c r="AP77" s="40"/>
      <c r="AQ77" s="40"/>
      <c r="AR77" s="40"/>
      <c r="AS77" s="40"/>
      <c r="AT77" s="41"/>
    </row>
    <row r="78" spans="1:46" ht="13" hidden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40"/>
      <c r="T78" s="40"/>
      <c r="U78" s="40"/>
      <c r="V78" s="40"/>
      <c r="W78" s="41"/>
      <c r="X78" s="41"/>
      <c r="Y78" s="41"/>
      <c r="Z78" s="3"/>
      <c r="AA78" s="3"/>
      <c r="AB78" s="40"/>
      <c r="AC78" s="40"/>
      <c r="AD78" s="40"/>
      <c r="AE78" s="40"/>
      <c r="AF78" s="41"/>
      <c r="AG78" s="3"/>
      <c r="AH78" s="3"/>
      <c r="AI78" s="40"/>
      <c r="AJ78" s="40"/>
      <c r="AK78" s="40"/>
      <c r="AL78" s="40"/>
      <c r="AM78" s="41"/>
      <c r="AN78" s="3"/>
      <c r="AO78" s="3"/>
      <c r="AP78" s="40"/>
      <c r="AQ78" s="40"/>
      <c r="AR78" s="40"/>
      <c r="AS78" s="40"/>
      <c r="AT78" s="41"/>
    </row>
    <row r="79" spans="1:46" ht="13" hidden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40"/>
      <c r="T79" s="40"/>
      <c r="U79" s="40"/>
      <c r="V79" s="40"/>
      <c r="W79" s="41"/>
      <c r="X79" s="41"/>
      <c r="Y79" s="41"/>
      <c r="Z79" s="3"/>
      <c r="AA79" s="3"/>
      <c r="AB79" s="40"/>
      <c r="AC79" s="40"/>
      <c r="AD79" s="40"/>
      <c r="AE79" s="40"/>
      <c r="AF79" s="41"/>
      <c r="AG79" s="3"/>
      <c r="AH79" s="3"/>
      <c r="AI79" s="40"/>
      <c r="AJ79" s="40"/>
      <c r="AK79" s="40"/>
      <c r="AL79" s="40"/>
      <c r="AM79" s="41"/>
      <c r="AN79" s="3"/>
      <c r="AO79" s="3"/>
      <c r="AP79" s="40"/>
      <c r="AQ79" s="40"/>
      <c r="AR79" s="40"/>
      <c r="AS79" s="40"/>
      <c r="AT79" s="41"/>
    </row>
    <row r="80" spans="1:46" ht="13" hidden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40"/>
      <c r="T80" s="40"/>
      <c r="U80" s="40"/>
      <c r="V80" s="40"/>
      <c r="W80" s="41"/>
      <c r="X80" s="41"/>
      <c r="Y80" s="41"/>
      <c r="Z80" s="3"/>
      <c r="AA80" s="3"/>
      <c r="AB80" s="40"/>
      <c r="AC80" s="40"/>
      <c r="AD80" s="40"/>
      <c r="AE80" s="40"/>
      <c r="AF80" s="41"/>
      <c r="AG80" s="3"/>
      <c r="AH80" s="3"/>
      <c r="AI80" s="40"/>
      <c r="AJ80" s="40"/>
      <c r="AK80" s="40"/>
      <c r="AL80" s="40"/>
      <c r="AM80" s="41"/>
      <c r="AN80" s="3"/>
      <c r="AO80" s="3"/>
      <c r="AP80" s="40"/>
      <c r="AQ80" s="40"/>
      <c r="AR80" s="40"/>
      <c r="AS80" s="40"/>
      <c r="AT80" s="41"/>
    </row>
    <row r="81" spans="1:46" ht="13" hidden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40"/>
      <c r="T81" s="40"/>
      <c r="U81" s="40"/>
      <c r="V81" s="40"/>
      <c r="W81" s="41"/>
      <c r="X81" s="41"/>
      <c r="Y81" s="41"/>
      <c r="Z81" s="3"/>
      <c r="AA81" s="3"/>
      <c r="AB81" s="40"/>
      <c r="AC81" s="40"/>
      <c r="AD81" s="40"/>
      <c r="AE81" s="40"/>
      <c r="AF81" s="41"/>
      <c r="AG81" s="3"/>
      <c r="AH81" s="3"/>
      <c r="AI81" s="40"/>
      <c r="AJ81" s="40"/>
      <c r="AK81" s="40"/>
      <c r="AL81" s="40"/>
      <c r="AM81" s="41"/>
      <c r="AN81" s="3"/>
      <c r="AO81" s="3"/>
      <c r="AP81" s="40"/>
      <c r="AQ81" s="40"/>
      <c r="AR81" s="40"/>
      <c r="AS81" s="40"/>
      <c r="AT81" s="41"/>
    </row>
    <row r="82" spans="1:46" ht="13" hidden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40"/>
      <c r="T82" s="40"/>
      <c r="U82" s="40"/>
      <c r="V82" s="40"/>
      <c r="W82" s="41"/>
      <c r="X82" s="41"/>
      <c r="Y82" s="41"/>
      <c r="Z82" s="3"/>
      <c r="AA82" s="3"/>
      <c r="AB82" s="40"/>
      <c r="AC82" s="40"/>
      <c r="AD82" s="40"/>
      <c r="AE82" s="40"/>
      <c r="AF82" s="41"/>
      <c r="AG82" s="3"/>
      <c r="AH82" s="3"/>
      <c r="AI82" s="40"/>
      <c r="AJ82" s="40"/>
      <c r="AK82" s="40"/>
      <c r="AL82" s="40"/>
      <c r="AM82" s="41"/>
      <c r="AN82" s="3"/>
      <c r="AO82" s="3"/>
      <c r="AP82" s="40"/>
      <c r="AQ82" s="40"/>
      <c r="AR82" s="40"/>
      <c r="AS82" s="40"/>
      <c r="AT82" s="41"/>
    </row>
    <row r="83" spans="1:46" ht="13" hidden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40"/>
      <c r="T83" s="40"/>
      <c r="U83" s="40"/>
      <c r="V83" s="40"/>
      <c r="W83" s="41"/>
      <c r="X83" s="41"/>
      <c r="Y83" s="41"/>
      <c r="Z83" s="3"/>
      <c r="AA83" s="3"/>
      <c r="AB83" s="40"/>
      <c r="AC83" s="40"/>
      <c r="AD83" s="40"/>
      <c r="AE83" s="40"/>
      <c r="AF83" s="41"/>
      <c r="AG83" s="3"/>
      <c r="AH83" s="3"/>
      <c r="AI83" s="40"/>
      <c r="AJ83" s="40"/>
      <c r="AK83" s="40"/>
      <c r="AL83" s="40"/>
      <c r="AM83" s="41"/>
      <c r="AN83" s="3"/>
      <c r="AO83" s="3"/>
      <c r="AP83" s="40"/>
      <c r="AQ83" s="40"/>
      <c r="AR83" s="40"/>
      <c r="AS83" s="40"/>
      <c r="AT83" s="41"/>
    </row>
    <row r="84" spans="1:46" ht="13" hidden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40"/>
      <c r="T84" s="40"/>
      <c r="U84" s="40"/>
      <c r="V84" s="40"/>
      <c r="W84" s="41"/>
      <c r="X84" s="41"/>
      <c r="Y84" s="41"/>
      <c r="Z84" s="3"/>
      <c r="AA84" s="3"/>
      <c r="AB84" s="40"/>
      <c r="AC84" s="40"/>
      <c r="AD84" s="40"/>
      <c r="AE84" s="40"/>
      <c r="AF84" s="41"/>
      <c r="AG84" s="3"/>
      <c r="AH84" s="3"/>
      <c r="AI84" s="40"/>
      <c r="AJ84" s="40"/>
      <c r="AK84" s="40"/>
      <c r="AL84" s="40"/>
      <c r="AM84" s="41"/>
      <c r="AN84" s="3"/>
      <c r="AO84" s="3"/>
      <c r="AP84" s="40"/>
      <c r="AQ84" s="40"/>
      <c r="AR84" s="40"/>
      <c r="AS84" s="40"/>
      <c r="AT84" s="41"/>
    </row>
    <row r="85" spans="1:46" ht="13" hidden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40"/>
      <c r="T85" s="40"/>
      <c r="U85" s="40"/>
      <c r="V85" s="40"/>
      <c r="W85" s="41"/>
      <c r="X85" s="41"/>
      <c r="Y85" s="41"/>
      <c r="Z85" s="3"/>
      <c r="AA85" s="3"/>
      <c r="AB85" s="40"/>
      <c r="AC85" s="40"/>
      <c r="AD85" s="40"/>
      <c r="AE85" s="40"/>
      <c r="AF85" s="41"/>
      <c r="AG85" s="3"/>
      <c r="AH85" s="3"/>
      <c r="AI85" s="40"/>
      <c r="AJ85" s="40"/>
      <c r="AK85" s="40"/>
      <c r="AL85" s="40"/>
      <c r="AM85" s="41"/>
      <c r="AN85" s="3"/>
      <c r="AO85" s="3"/>
      <c r="AP85" s="40"/>
      <c r="AQ85" s="40"/>
      <c r="AR85" s="40"/>
      <c r="AS85" s="40"/>
      <c r="AT85" s="41"/>
    </row>
    <row r="86" spans="1:46" ht="13" hidden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40"/>
      <c r="T86" s="40"/>
      <c r="U86" s="40"/>
      <c r="V86" s="40"/>
      <c r="W86" s="41"/>
      <c r="X86" s="41"/>
      <c r="Y86" s="41"/>
      <c r="Z86" s="3"/>
      <c r="AA86" s="3"/>
      <c r="AB86" s="40"/>
      <c r="AC86" s="40"/>
      <c r="AD86" s="40"/>
      <c r="AE86" s="40"/>
      <c r="AF86" s="41"/>
      <c r="AG86" s="3"/>
      <c r="AH86" s="3"/>
      <c r="AI86" s="40"/>
      <c r="AJ86" s="40"/>
      <c r="AK86" s="40"/>
      <c r="AL86" s="40"/>
      <c r="AM86" s="41"/>
      <c r="AN86" s="3"/>
      <c r="AO86" s="3"/>
      <c r="AP86" s="40"/>
      <c r="AQ86" s="40"/>
      <c r="AR86" s="40"/>
      <c r="AS86" s="40"/>
      <c r="AT86" s="41"/>
    </row>
    <row r="87" spans="1:46" ht="13" hidden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40"/>
      <c r="T87" s="40"/>
      <c r="U87" s="40"/>
      <c r="V87" s="40"/>
      <c r="W87" s="41"/>
      <c r="X87" s="41"/>
      <c r="Y87" s="41"/>
      <c r="Z87" s="3"/>
      <c r="AA87" s="3"/>
      <c r="AB87" s="40"/>
      <c r="AC87" s="40"/>
      <c r="AD87" s="40"/>
      <c r="AE87" s="40"/>
      <c r="AF87" s="41"/>
      <c r="AG87" s="3"/>
      <c r="AH87" s="3"/>
      <c r="AI87" s="40"/>
      <c r="AJ87" s="40"/>
      <c r="AK87" s="40"/>
      <c r="AL87" s="40"/>
      <c r="AM87" s="41"/>
      <c r="AN87" s="3"/>
      <c r="AO87" s="3"/>
      <c r="AP87" s="40"/>
      <c r="AQ87" s="40"/>
      <c r="AR87" s="40"/>
      <c r="AS87" s="40"/>
      <c r="AT87" s="41"/>
    </row>
    <row r="88" spans="1:46" ht="13" hidden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40"/>
      <c r="T88" s="40"/>
      <c r="U88" s="40"/>
      <c r="V88" s="40"/>
      <c r="W88" s="41"/>
      <c r="X88" s="41"/>
      <c r="Y88" s="41"/>
      <c r="Z88" s="3"/>
      <c r="AA88" s="3"/>
      <c r="AB88" s="40"/>
      <c r="AC88" s="40"/>
      <c r="AD88" s="40"/>
      <c r="AE88" s="40"/>
      <c r="AF88" s="41"/>
      <c r="AG88" s="3"/>
      <c r="AH88" s="3"/>
      <c r="AI88" s="40"/>
      <c r="AJ88" s="40"/>
      <c r="AK88" s="40"/>
      <c r="AL88" s="40"/>
      <c r="AM88" s="41"/>
      <c r="AN88" s="3"/>
      <c r="AO88" s="3"/>
      <c r="AP88" s="40"/>
      <c r="AQ88" s="40"/>
      <c r="AR88" s="40"/>
      <c r="AS88" s="40"/>
      <c r="AT88" s="41"/>
    </row>
    <row r="89" spans="1:46" ht="13" hidden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40"/>
      <c r="T89" s="40"/>
      <c r="U89" s="40"/>
      <c r="V89" s="40"/>
      <c r="W89" s="41"/>
      <c r="X89" s="41"/>
      <c r="Y89" s="41"/>
      <c r="Z89" s="3"/>
      <c r="AA89" s="3"/>
      <c r="AB89" s="40"/>
      <c r="AC89" s="40"/>
      <c r="AD89" s="40"/>
      <c r="AE89" s="40"/>
      <c r="AF89" s="41"/>
      <c r="AG89" s="3"/>
      <c r="AH89" s="3"/>
      <c r="AI89" s="40"/>
      <c r="AJ89" s="40"/>
      <c r="AK89" s="40"/>
      <c r="AL89" s="40"/>
      <c r="AM89" s="41"/>
      <c r="AN89" s="3"/>
      <c r="AO89" s="3"/>
      <c r="AP89" s="40"/>
      <c r="AQ89" s="40"/>
      <c r="AR89" s="40"/>
      <c r="AS89" s="40"/>
      <c r="AT89" s="41"/>
    </row>
    <row r="90" spans="1:46" ht="13" hidden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40"/>
      <c r="T90" s="40"/>
      <c r="U90" s="40"/>
      <c r="V90" s="40"/>
      <c r="W90" s="41"/>
      <c r="X90" s="41"/>
      <c r="Y90" s="41"/>
      <c r="Z90" s="3"/>
      <c r="AA90" s="3"/>
      <c r="AB90" s="40"/>
      <c r="AC90" s="40"/>
      <c r="AD90" s="40"/>
      <c r="AE90" s="40"/>
      <c r="AF90" s="41"/>
      <c r="AG90" s="3"/>
      <c r="AH90" s="3"/>
      <c r="AI90" s="40"/>
      <c r="AJ90" s="40"/>
      <c r="AK90" s="40"/>
      <c r="AL90" s="40"/>
      <c r="AM90" s="41"/>
      <c r="AN90" s="3"/>
      <c r="AO90" s="3"/>
      <c r="AP90" s="40"/>
      <c r="AQ90" s="40"/>
      <c r="AR90" s="40"/>
      <c r="AS90" s="40"/>
      <c r="AT90" s="41"/>
    </row>
    <row r="91" spans="1:46" ht="13" hidden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40"/>
      <c r="T91" s="40"/>
      <c r="U91" s="40"/>
      <c r="V91" s="40"/>
      <c r="W91" s="41"/>
      <c r="X91" s="41"/>
      <c r="Y91" s="41"/>
      <c r="Z91" s="3"/>
      <c r="AA91" s="3"/>
      <c r="AB91" s="40"/>
      <c r="AC91" s="40"/>
      <c r="AD91" s="40"/>
      <c r="AE91" s="40"/>
      <c r="AF91" s="41"/>
      <c r="AG91" s="3"/>
      <c r="AH91" s="3"/>
      <c r="AI91" s="40"/>
      <c r="AJ91" s="40"/>
      <c r="AK91" s="40"/>
      <c r="AL91" s="40"/>
      <c r="AM91" s="41"/>
      <c r="AN91" s="3"/>
      <c r="AO91" s="3"/>
      <c r="AP91" s="40"/>
      <c r="AQ91" s="40"/>
      <c r="AR91" s="40"/>
      <c r="AS91" s="40"/>
      <c r="AT91" s="41"/>
    </row>
    <row r="92" spans="1:46" ht="13" hidden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40"/>
      <c r="T92" s="40"/>
      <c r="U92" s="40"/>
      <c r="V92" s="40"/>
      <c r="W92" s="41"/>
      <c r="X92" s="41"/>
      <c r="Y92" s="41"/>
      <c r="Z92" s="3"/>
      <c r="AA92" s="3"/>
      <c r="AB92" s="40"/>
      <c r="AC92" s="40"/>
      <c r="AD92" s="40"/>
      <c r="AE92" s="40"/>
      <c r="AF92" s="41"/>
      <c r="AG92" s="3"/>
      <c r="AH92" s="3"/>
      <c r="AI92" s="40"/>
      <c r="AJ92" s="40"/>
      <c r="AK92" s="40"/>
      <c r="AL92" s="40"/>
      <c r="AM92" s="41"/>
      <c r="AN92" s="3"/>
      <c r="AO92" s="3"/>
      <c r="AP92" s="40"/>
      <c r="AQ92" s="40"/>
      <c r="AR92" s="40"/>
      <c r="AS92" s="40"/>
      <c r="AT92" s="41"/>
    </row>
    <row r="93" spans="1:46" ht="13" hidden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40"/>
      <c r="T93" s="40"/>
      <c r="U93" s="40"/>
      <c r="V93" s="40"/>
      <c r="W93" s="41"/>
      <c r="X93" s="41"/>
      <c r="Y93" s="41"/>
      <c r="Z93" s="3"/>
      <c r="AA93" s="3"/>
      <c r="AB93" s="40"/>
      <c r="AC93" s="40"/>
      <c r="AD93" s="40"/>
      <c r="AE93" s="40"/>
      <c r="AF93" s="41"/>
      <c r="AG93" s="3"/>
      <c r="AH93" s="3"/>
      <c r="AI93" s="40"/>
      <c r="AJ93" s="40"/>
      <c r="AK93" s="40"/>
      <c r="AL93" s="40"/>
      <c r="AM93" s="41"/>
      <c r="AN93" s="3"/>
      <c r="AO93" s="3"/>
      <c r="AP93" s="40"/>
      <c r="AQ93" s="40"/>
      <c r="AR93" s="40"/>
      <c r="AS93" s="40"/>
      <c r="AT93" s="41"/>
    </row>
    <row r="94" spans="1:46" ht="13" hidden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40"/>
      <c r="T94" s="40"/>
      <c r="U94" s="40"/>
      <c r="V94" s="40"/>
      <c r="W94" s="41"/>
      <c r="X94" s="41"/>
      <c r="Y94" s="41"/>
      <c r="Z94" s="3"/>
      <c r="AA94" s="3"/>
      <c r="AB94" s="40"/>
      <c r="AC94" s="40"/>
      <c r="AD94" s="40"/>
      <c r="AE94" s="40"/>
      <c r="AF94" s="41"/>
      <c r="AG94" s="3"/>
      <c r="AH94" s="3"/>
      <c r="AI94" s="40"/>
      <c r="AJ94" s="40"/>
      <c r="AK94" s="40"/>
      <c r="AL94" s="40"/>
      <c r="AM94" s="41"/>
      <c r="AN94" s="3"/>
      <c r="AO94" s="3"/>
      <c r="AP94" s="40"/>
      <c r="AQ94" s="40"/>
      <c r="AR94" s="40"/>
      <c r="AS94" s="40"/>
      <c r="AT94" s="41"/>
    </row>
    <row r="95" spans="1:46" ht="13" hidden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40"/>
      <c r="T95" s="40"/>
      <c r="U95" s="40"/>
      <c r="V95" s="40"/>
      <c r="W95" s="41"/>
      <c r="X95" s="41"/>
      <c r="Y95" s="41"/>
      <c r="Z95" s="3"/>
      <c r="AA95" s="3"/>
      <c r="AB95" s="40"/>
      <c r="AC95" s="40"/>
      <c r="AD95" s="40"/>
      <c r="AE95" s="40"/>
      <c r="AF95" s="41"/>
      <c r="AG95" s="3"/>
      <c r="AH95" s="3"/>
      <c r="AI95" s="40"/>
      <c r="AJ95" s="40"/>
      <c r="AK95" s="40"/>
      <c r="AL95" s="40"/>
      <c r="AM95" s="41"/>
      <c r="AN95" s="3"/>
      <c r="AO95" s="3"/>
      <c r="AP95" s="40"/>
      <c r="AQ95" s="40"/>
      <c r="AR95" s="40"/>
      <c r="AS95" s="40"/>
      <c r="AT95" s="41"/>
    </row>
    <row r="96" spans="1:46" ht="13" hidden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40"/>
      <c r="T96" s="40"/>
      <c r="U96" s="40"/>
      <c r="V96" s="40"/>
      <c r="W96" s="41"/>
      <c r="X96" s="41"/>
      <c r="Y96" s="41"/>
      <c r="Z96" s="3"/>
      <c r="AA96" s="3"/>
      <c r="AB96" s="40"/>
      <c r="AC96" s="40"/>
      <c r="AD96" s="40"/>
      <c r="AE96" s="40"/>
      <c r="AF96" s="41"/>
      <c r="AG96" s="3"/>
      <c r="AH96" s="3"/>
      <c r="AI96" s="40"/>
      <c r="AJ96" s="40"/>
      <c r="AK96" s="40"/>
      <c r="AL96" s="40"/>
      <c r="AM96" s="41"/>
      <c r="AN96" s="3"/>
      <c r="AO96" s="3"/>
      <c r="AP96" s="40"/>
      <c r="AQ96" s="40"/>
      <c r="AR96" s="40"/>
      <c r="AS96" s="40"/>
      <c r="AT96" s="41"/>
    </row>
    <row r="97" spans="1:46" ht="13" hidden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40"/>
      <c r="T97" s="40"/>
      <c r="U97" s="40"/>
      <c r="V97" s="40"/>
      <c r="W97" s="41"/>
      <c r="X97" s="41"/>
      <c r="Y97" s="41"/>
      <c r="Z97" s="3"/>
      <c r="AA97" s="3"/>
      <c r="AB97" s="40"/>
      <c r="AC97" s="40"/>
      <c r="AD97" s="40"/>
      <c r="AE97" s="40"/>
      <c r="AF97" s="41"/>
      <c r="AG97" s="3"/>
      <c r="AH97" s="3"/>
      <c r="AI97" s="40"/>
      <c r="AJ97" s="40"/>
      <c r="AK97" s="40"/>
      <c r="AL97" s="40"/>
      <c r="AM97" s="41"/>
      <c r="AN97" s="3"/>
      <c r="AO97" s="3"/>
      <c r="AP97" s="40"/>
      <c r="AQ97" s="40"/>
      <c r="AR97" s="40"/>
      <c r="AS97" s="40"/>
      <c r="AT97" s="41"/>
    </row>
    <row r="98" spans="1:46" ht="13" hidden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40"/>
      <c r="T98" s="40"/>
      <c r="U98" s="40"/>
      <c r="V98" s="40"/>
      <c r="W98" s="41"/>
      <c r="X98" s="41"/>
      <c r="Y98" s="41"/>
      <c r="Z98" s="3"/>
      <c r="AA98" s="3"/>
      <c r="AB98" s="40"/>
      <c r="AC98" s="40"/>
      <c r="AD98" s="40"/>
      <c r="AE98" s="40"/>
      <c r="AF98" s="41"/>
      <c r="AG98" s="3"/>
      <c r="AH98" s="3"/>
      <c r="AI98" s="40"/>
      <c r="AJ98" s="40"/>
      <c r="AK98" s="40"/>
      <c r="AL98" s="40"/>
      <c r="AM98" s="41"/>
      <c r="AN98" s="3"/>
      <c r="AO98" s="3"/>
      <c r="AP98" s="40"/>
      <c r="AQ98" s="40"/>
      <c r="AR98" s="40"/>
      <c r="AS98" s="40"/>
      <c r="AT98" s="41"/>
    </row>
    <row r="99" spans="1:46" ht="13" hidden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40"/>
      <c r="T99" s="40"/>
      <c r="U99" s="40"/>
      <c r="V99" s="40"/>
      <c r="W99" s="41"/>
      <c r="X99" s="41"/>
      <c r="Y99" s="41"/>
      <c r="Z99" s="3"/>
      <c r="AA99" s="3"/>
      <c r="AB99" s="40"/>
      <c r="AC99" s="40"/>
      <c r="AD99" s="40"/>
      <c r="AE99" s="40"/>
      <c r="AF99" s="41"/>
      <c r="AG99" s="3"/>
      <c r="AH99" s="3"/>
      <c r="AI99" s="40"/>
      <c r="AJ99" s="40"/>
      <c r="AK99" s="40"/>
      <c r="AL99" s="40"/>
      <c r="AM99" s="41"/>
      <c r="AN99" s="3"/>
      <c r="AO99" s="3"/>
      <c r="AP99" s="40"/>
      <c r="AQ99" s="40"/>
      <c r="AR99" s="40"/>
      <c r="AS99" s="40"/>
      <c r="AT99" s="41"/>
    </row>
    <row r="100" spans="1:46" ht="13" hidden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40"/>
      <c r="T100" s="40"/>
      <c r="U100" s="40"/>
      <c r="V100" s="40"/>
      <c r="W100" s="41"/>
      <c r="X100" s="41"/>
      <c r="Y100" s="41"/>
      <c r="Z100" s="3"/>
      <c r="AA100" s="3"/>
      <c r="AB100" s="40"/>
      <c r="AC100" s="40"/>
      <c r="AD100" s="40"/>
      <c r="AE100" s="40"/>
      <c r="AF100" s="41"/>
      <c r="AG100" s="3"/>
      <c r="AH100" s="3"/>
      <c r="AI100" s="40"/>
      <c r="AJ100" s="40"/>
      <c r="AK100" s="40"/>
      <c r="AL100" s="40"/>
      <c r="AM100" s="41"/>
      <c r="AN100" s="3"/>
      <c r="AO100" s="3"/>
      <c r="AP100" s="40"/>
      <c r="AQ100" s="40"/>
      <c r="AR100" s="40"/>
      <c r="AS100" s="40"/>
      <c r="AT100" s="41"/>
    </row>
    <row r="101" spans="1:46" ht="13" hidden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40"/>
      <c r="T101" s="40"/>
      <c r="U101" s="40"/>
      <c r="V101" s="40"/>
      <c r="W101" s="41"/>
      <c r="X101" s="41"/>
      <c r="Y101" s="41"/>
      <c r="Z101" s="3"/>
      <c r="AA101" s="3"/>
      <c r="AB101" s="40"/>
      <c r="AC101" s="40"/>
      <c r="AD101" s="40"/>
      <c r="AE101" s="40"/>
      <c r="AF101" s="41"/>
      <c r="AG101" s="3"/>
      <c r="AH101" s="3"/>
      <c r="AI101" s="40"/>
      <c r="AJ101" s="40"/>
      <c r="AK101" s="40"/>
      <c r="AL101" s="40"/>
      <c r="AM101" s="41"/>
      <c r="AN101" s="3"/>
      <c r="AO101" s="3"/>
      <c r="AP101" s="40"/>
      <c r="AQ101" s="40"/>
      <c r="AR101" s="40"/>
      <c r="AS101" s="40"/>
      <c r="AT101" s="41"/>
    </row>
    <row r="102" spans="1:46" ht="13" hidden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40"/>
      <c r="T102" s="40"/>
      <c r="U102" s="40"/>
      <c r="V102" s="40"/>
      <c r="W102" s="41"/>
      <c r="X102" s="41"/>
      <c r="Y102" s="41"/>
      <c r="Z102" s="3"/>
      <c r="AA102" s="3"/>
      <c r="AB102" s="40"/>
      <c r="AC102" s="40"/>
      <c r="AD102" s="40"/>
      <c r="AE102" s="40"/>
      <c r="AF102" s="41"/>
      <c r="AG102" s="3"/>
      <c r="AH102" s="3"/>
      <c r="AI102" s="40"/>
      <c r="AJ102" s="40"/>
      <c r="AK102" s="40"/>
      <c r="AL102" s="40"/>
      <c r="AM102" s="41"/>
      <c r="AN102" s="3"/>
      <c r="AO102" s="3"/>
      <c r="AP102" s="40"/>
      <c r="AQ102" s="40"/>
      <c r="AR102" s="40"/>
      <c r="AS102" s="40"/>
      <c r="AT102" s="41"/>
    </row>
    <row r="103" spans="1:46" ht="13" hidden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40"/>
      <c r="T103" s="40"/>
      <c r="U103" s="40"/>
      <c r="V103" s="40"/>
      <c r="W103" s="41"/>
      <c r="X103" s="41"/>
      <c r="Y103" s="41"/>
      <c r="Z103" s="3"/>
      <c r="AA103" s="3"/>
      <c r="AB103" s="40"/>
      <c r="AC103" s="40"/>
      <c r="AD103" s="40"/>
      <c r="AE103" s="40"/>
      <c r="AF103" s="41"/>
      <c r="AG103" s="3"/>
      <c r="AH103" s="3"/>
      <c r="AI103" s="40"/>
      <c r="AJ103" s="40"/>
      <c r="AK103" s="40"/>
      <c r="AL103" s="40"/>
      <c r="AM103" s="41"/>
      <c r="AN103" s="3"/>
      <c r="AO103" s="3"/>
      <c r="AP103" s="40"/>
      <c r="AQ103" s="40"/>
      <c r="AR103" s="40"/>
      <c r="AS103" s="40"/>
      <c r="AT103" s="41"/>
    </row>
    <row r="104" spans="1:46" ht="13" hidden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40"/>
      <c r="T104" s="40"/>
      <c r="U104" s="40"/>
      <c r="V104" s="40"/>
      <c r="W104" s="41"/>
      <c r="X104" s="41"/>
      <c r="Y104" s="41"/>
      <c r="Z104" s="3"/>
      <c r="AA104" s="3"/>
      <c r="AB104" s="40"/>
      <c r="AC104" s="40"/>
      <c r="AD104" s="40"/>
      <c r="AE104" s="40"/>
      <c r="AF104" s="41"/>
      <c r="AG104" s="3"/>
      <c r="AH104" s="3"/>
      <c r="AI104" s="40"/>
      <c r="AJ104" s="40"/>
      <c r="AK104" s="40"/>
      <c r="AL104" s="40"/>
      <c r="AM104" s="41"/>
      <c r="AN104" s="3"/>
      <c r="AO104" s="3"/>
      <c r="AP104" s="40"/>
      <c r="AQ104" s="40"/>
      <c r="AR104" s="40"/>
      <c r="AS104" s="40"/>
      <c r="AT104" s="41"/>
    </row>
    <row r="105" spans="1:46" ht="13" hidden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40"/>
      <c r="T105" s="40"/>
      <c r="U105" s="40"/>
      <c r="V105" s="40"/>
      <c r="W105" s="41"/>
      <c r="X105" s="41"/>
      <c r="Y105" s="41"/>
      <c r="Z105" s="3"/>
      <c r="AA105" s="3"/>
      <c r="AB105" s="40"/>
      <c r="AC105" s="40"/>
      <c r="AD105" s="40"/>
      <c r="AE105" s="40"/>
      <c r="AF105" s="41"/>
      <c r="AG105" s="3"/>
      <c r="AH105" s="3"/>
      <c r="AI105" s="40"/>
      <c r="AJ105" s="40"/>
      <c r="AK105" s="40"/>
      <c r="AL105" s="40"/>
      <c r="AM105" s="41"/>
      <c r="AN105" s="3"/>
      <c r="AO105" s="3"/>
      <c r="AP105" s="40"/>
      <c r="AQ105" s="40"/>
      <c r="AR105" s="40"/>
      <c r="AS105" s="40"/>
      <c r="AT105" s="41"/>
    </row>
    <row r="106" spans="1:46" ht="13" hidden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40"/>
      <c r="T106" s="40"/>
      <c r="U106" s="40"/>
      <c r="V106" s="40"/>
      <c r="W106" s="41"/>
      <c r="X106" s="41"/>
      <c r="Y106" s="41"/>
      <c r="Z106" s="3"/>
      <c r="AA106" s="3"/>
      <c r="AB106" s="40"/>
      <c r="AC106" s="40"/>
      <c r="AD106" s="40"/>
      <c r="AE106" s="40"/>
      <c r="AF106" s="41"/>
      <c r="AG106" s="3"/>
      <c r="AH106" s="3"/>
      <c r="AI106" s="40"/>
      <c r="AJ106" s="40"/>
      <c r="AK106" s="40"/>
      <c r="AL106" s="40"/>
      <c r="AM106" s="41"/>
      <c r="AN106" s="3"/>
      <c r="AO106" s="3"/>
      <c r="AP106" s="40"/>
      <c r="AQ106" s="40"/>
      <c r="AR106" s="40"/>
      <c r="AS106" s="40"/>
      <c r="AT106" s="41"/>
    </row>
    <row r="107" spans="1:46" ht="13" hidden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40"/>
      <c r="T107" s="40"/>
      <c r="U107" s="40"/>
      <c r="V107" s="40"/>
      <c r="W107" s="41"/>
      <c r="X107" s="41"/>
      <c r="Y107" s="41"/>
      <c r="Z107" s="3"/>
      <c r="AA107" s="3"/>
      <c r="AB107" s="40"/>
      <c r="AC107" s="40"/>
      <c r="AD107" s="40"/>
      <c r="AE107" s="40"/>
      <c r="AF107" s="41"/>
      <c r="AG107" s="3"/>
      <c r="AH107" s="3"/>
      <c r="AI107" s="40"/>
      <c r="AJ107" s="40"/>
      <c r="AK107" s="40"/>
      <c r="AL107" s="40"/>
      <c r="AM107" s="41"/>
      <c r="AN107" s="3"/>
      <c r="AO107" s="3"/>
      <c r="AP107" s="40"/>
      <c r="AQ107" s="40"/>
      <c r="AR107" s="40"/>
      <c r="AS107" s="40"/>
      <c r="AT107" s="41"/>
    </row>
    <row r="108" spans="1:46" ht="13" hidden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40"/>
      <c r="T108" s="40"/>
      <c r="U108" s="40"/>
      <c r="V108" s="40"/>
      <c r="W108" s="41"/>
      <c r="X108" s="41"/>
      <c r="Y108" s="41"/>
      <c r="Z108" s="3"/>
      <c r="AA108" s="3"/>
      <c r="AB108" s="40"/>
      <c r="AC108" s="40"/>
      <c r="AD108" s="40"/>
      <c r="AE108" s="40"/>
      <c r="AF108" s="41"/>
      <c r="AG108" s="3"/>
      <c r="AH108" s="3"/>
      <c r="AI108" s="40"/>
      <c r="AJ108" s="40"/>
      <c r="AK108" s="40"/>
      <c r="AL108" s="40"/>
      <c r="AM108" s="41"/>
      <c r="AN108" s="3"/>
      <c r="AO108" s="3"/>
      <c r="AP108" s="40"/>
      <c r="AQ108" s="40"/>
      <c r="AR108" s="40"/>
      <c r="AS108" s="40"/>
      <c r="AT108" s="41"/>
    </row>
    <row r="109" spans="1:46" ht="13" hidden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40"/>
      <c r="T109" s="40"/>
      <c r="U109" s="40"/>
      <c r="V109" s="40"/>
      <c r="W109" s="41"/>
      <c r="X109" s="41"/>
      <c r="Y109" s="41"/>
      <c r="Z109" s="3"/>
      <c r="AA109" s="3"/>
      <c r="AB109" s="40"/>
      <c r="AC109" s="40"/>
      <c r="AD109" s="40"/>
      <c r="AE109" s="40"/>
      <c r="AF109" s="41"/>
      <c r="AG109" s="3"/>
      <c r="AH109" s="3"/>
      <c r="AI109" s="40"/>
      <c r="AJ109" s="40"/>
      <c r="AK109" s="40"/>
      <c r="AL109" s="40"/>
      <c r="AM109" s="41"/>
      <c r="AN109" s="3"/>
      <c r="AO109" s="3"/>
      <c r="AP109" s="40"/>
      <c r="AQ109" s="40"/>
      <c r="AR109" s="40"/>
      <c r="AS109" s="40"/>
      <c r="AT109" s="41"/>
    </row>
    <row r="110" spans="1:46" ht="13" hidden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40"/>
      <c r="T110" s="40"/>
      <c r="U110" s="40"/>
      <c r="V110" s="40"/>
      <c r="W110" s="41"/>
      <c r="X110" s="41"/>
      <c r="Y110" s="41"/>
      <c r="Z110" s="3"/>
      <c r="AA110" s="3"/>
      <c r="AB110" s="40"/>
      <c r="AC110" s="40"/>
      <c r="AD110" s="40"/>
      <c r="AE110" s="40"/>
      <c r="AF110" s="41"/>
      <c r="AG110" s="3"/>
      <c r="AH110" s="3"/>
      <c r="AI110" s="40"/>
      <c r="AJ110" s="40"/>
      <c r="AK110" s="40"/>
      <c r="AL110" s="40"/>
      <c r="AM110" s="41"/>
      <c r="AN110" s="3"/>
      <c r="AO110" s="3"/>
      <c r="AP110" s="40"/>
      <c r="AQ110" s="40"/>
      <c r="AR110" s="40"/>
      <c r="AS110" s="40"/>
      <c r="AT110" s="41"/>
    </row>
    <row r="111" spans="1:46" ht="13" hidden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40"/>
      <c r="T111" s="40"/>
      <c r="U111" s="40"/>
      <c r="V111" s="40"/>
      <c r="W111" s="41"/>
      <c r="X111" s="41"/>
      <c r="Y111" s="41"/>
      <c r="Z111" s="3"/>
      <c r="AA111" s="3"/>
      <c r="AB111" s="40"/>
      <c r="AC111" s="40"/>
      <c r="AD111" s="40"/>
      <c r="AE111" s="40"/>
      <c r="AF111" s="41"/>
      <c r="AG111" s="3"/>
      <c r="AH111" s="3"/>
      <c r="AI111" s="40"/>
      <c r="AJ111" s="40"/>
      <c r="AK111" s="40"/>
      <c r="AL111" s="40"/>
      <c r="AM111" s="41"/>
      <c r="AN111" s="3"/>
      <c r="AO111" s="3"/>
      <c r="AP111" s="40"/>
      <c r="AQ111" s="40"/>
      <c r="AR111" s="40"/>
      <c r="AS111" s="40"/>
      <c r="AT111" s="41"/>
    </row>
    <row r="112" spans="1:46" ht="13" hidden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40"/>
      <c r="T112" s="40"/>
      <c r="U112" s="40"/>
      <c r="V112" s="40"/>
      <c r="W112" s="41"/>
      <c r="X112" s="41"/>
      <c r="Y112" s="41"/>
      <c r="Z112" s="3"/>
      <c r="AA112" s="3"/>
      <c r="AB112" s="40"/>
      <c r="AC112" s="40"/>
      <c r="AD112" s="40"/>
      <c r="AE112" s="40"/>
      <c r="AF112" s="41"/>
      <c r="AG112" s="3"/>
      <c r="AH112" s="3"/>
      <c r="AI112" s="40"/>
      <c r="AJ112" s="40"/>
      <c r="AK112" s="40"/>
      <c r="AL112" s="40"/>
      <c r="AM112" s="41"/>
      <c r="AN112" s="3"/>
      <c r="AO112" s="3"/>
      <c r="AP112" s="40"/>
      <c r="AQ112" s="40"/>
      <c r="AR112" s="40"/>
      <c r="AS112" s="40"/>
      <c r="AT112" s="41"/>
    </row>
    <row r="113" spans="1:46" ht="13" hidden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40"/>
      <c r="T113" s="40"/>
      <c r="U113" s="40"/>
      <c r="V113" s="40"/>
      <c r="W113" s="41"/>
      <c r="X113" s="41"/>
      <c r="Y113" s="41"/>
      <c r="Z113" s="3"/>
      <c r="AA113" s="3"/>
      <c r="AB113" s="40"/>
      <c r="AC113" s="40"/>
      <c r="AD113" s="40"/>
      <c r="AE113" s="40"/>
      <c r="AF113" s="41"/>
      <c r="AG113" s="3"/>
      <c r="AH113" s="3"/>
      <c r="AI113" s="40"/>
      <c r="AJ113" s="40"/>
      <c r="AK113" s="40"/>
      <c r="AL113" s="40"/>
      <c r="AM113" s="41"/>
      <c r="AN113" s="3"/>
      <c r="AO113" s="3"/>
      <c r="AP113" s="40"/>
      <c r="AQ113" s="40"/>
      <c r="AR113" s="40"/>
      <c r="AS113" s="40"/>
      <c r="AT113" s="41"/>
    </row>
    <row r="114" spans="1:46" ht="13" hidden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40"/>
      <c r="T114" s="40"/>
      <c r="U114" s="40"/>
      <c r="V114" s="40"/>
      <c r="W114" s="41"/>
      <c r="X114" s="41"/>
      <c r="Y114" s="41"/>
      <c r="Z114" s="3"/>
      <c r="AA114" s="3"/>
      <c r="AB114" s="40"/>
      <c r="AC114" s="40"/>
      <c r="AD114" s="40"/>
      <c r="AE114" s="40"/>
      <c r="AF114" s="41"/>
      <c r="AG114" s="3"/>
      <c r="AH114" s="3"/>
      <c r="AI114" s="40"/>
      <c r="AJ114" s="40"/>
      <c r="AK114" s="40"/>
      <c r="AL114" s="40"/>
      <c r="AM114" s="41"/>
      <c r="AN114" s="3"/>
      <c r="AO114" s="3"/>
      <c r="AP114" s="40"/>
      <c r="AQ114" s="40"/>
      <c r="AR114" s="40"/>
      <c r="AS114" s="40"/>
      <c r="AT114" s="41"/>
    </row>
    <row r="115" spans="1:46" ht="13" hidden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40"/>
      <c r="T115" s="40"/>
      <c r="U115" s="40"/>
      <c r="V115" s="40"/>
      <c r="W115" s="41"/>
      <c r="X115" s="41"/>
      <c r="Y115" s="41"/>
      <c r="Z115" s="3"/>
      <c r="AA115" s="3"/>
      <c r="AB115" s="40"/>
      <c r="AC115" s="40"/>
      <c r="AD115" s="40"/>
      <c r="AE115" s="40"/>
      <c r="AF115" s="41"/>
      <c r="AG115" s="3"/>
      <c r="AH115" s="3"/>
      <c r="AI115" s="40"/>
      <c r="AJ115" s="40"/>
      <c r="AK115" s="40"/>
      <c r="AL115" s="40"/>
      <c r="AM115" s="41"/>
      <c r="AN115" s="3"/>
      <c r="AO115" s="3"/>
      <c r="AP115" s="40"/>
      <c r="AQ115" s="40"/>
      <c r="AR115" s="40"/>
      <c r="AS115" s="40"/>
      <c r="AT115" s="41"/>
    </row>
    <row r="116" spans="1:46" ht="13" hidden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40"/>
      <c r="T116" s="40"/>
      <c r="U116" s="40"/>
      <c r="V116" s="40"/>
      <c r="W116" s="41"/>
      <c r="X116" s="41"/>
      <c r="Y116" s="41"/>
      <c r="Z116" s="3"/>
      <c r="AA116" s="3"/>
      <c r="AB116" s="40"/>
      <c r="AC116" s="40"/>
      <c r="AD116" s="40"/>
      <c r="AE116" s="40"/>
      <c r="AF116" s="41"/>
      <c r="AG116" s="3"/>
      <c r="AH116" s="3"/>
      <c r="AI116" s="40"/>
      <c r="AJ116" s="40"/>
      <c r="AK116" s="40"/>
      <c r="AL116" s="40"/>
      <c r="AM116" s="41"/>
      <c r="AN116" s="3"/>
      <c r="AO116" s="3"/>
      <c r="AP116" s="40"/>
      <c r="AQ116" s="40"/>
      <c r="AR116" s="40"/>
      <c r="AS116" s="40"/>
      <c r="AT116" s="41"/>
    </row>
    <row r="117" spans="1:46" ht="13" hidden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40"/>
      <c r="T117" s="40"/>
      <c r="U117" s="40"/>
      <c r="V117" s="40"/>
      <c r="W117" s="41"/>
      <c r="X117" s="41"/>
      <c r="Y117" s="41"/>
      <c r="Z117" s="3"/>
      <c r="AA117" s="3"/>
      <c r="AB117" s="40"/>
      <c r="AC117" s="40"/>
      <c r="AD117" s="40"/>
      <c r="AE117" s="40"/>
      <c r="AF117" s="41"/>
      <c r="AG117" s="3"/>
      <c r="AH117" s="3"/>
      <c r="AI117" s="40"/>
      <c r="AJ117" s="40"/>
      <c r="AK117" s="40"/>
      <c r="AL117" s="40"/>
      <c r="AM117" s="41"/>
      <c r="AN117" s="3"/>
      <c r="AO117" s="3"/>
      <c r="AP117" s="40"/>
      <c r="AQ117" s="40"/>
      <c r="AR117" s="40"/>
      <c r="AS117" s="40"/>
      <c r="AT117" s="41"/>
    </row>
    <row r="118" spans="1:46" ht="13" hidden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40"/>
      <c r="T118" s="40"/>
      <c r="U118" s="40"/>
      <c r="V118" s="40"/>
      <c r="W118" s="41"/>
      <c r="X118" s="41"/>
      <c r="Y118" s="41"/>
      <c r="Z118" s="3"/>
      <c r="AA118" s="3"/>
      <c r="AB118" s="40"/>
      <c r="AC118" s="40"/>
      <c r="AD118" s="40"/>
      <c r="AE118" s="40"/>
      <c r="AF118" s="41"/>
      <c r="AG118" s="3"/>
      <c r="AH118" s="3"/>
      <c r="AI118" s="40"/>
      <c r="AJ118" s="40"/>
      <c r="AK118" s="40"/>
      <c r="AL118" s="40"/>
      <c r="AM118" s="41"/>
      <c r="AN118" s="3"/>
      <c r="AO118" s="3"/>
      <c r="AP118" s="40"/>
      <c r="AQ118" s="40"/>
      <c r="AR118" s="40"/>
      <c r="AS118" s="40"/>
      <c r="AT118" s="41"/>
    </row>
    <row r="119" spans="1:46" ht="13" hidden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40"/>
      <c r="T119" s="40"/>
      <c r="U119" s="40"/>
      <c r="V119" s="40"/>
      <c r="W119" s="41"/>
      <c r="X119" s="41"/>
      <c r="Y119" s="41"/>
      <c r="Z119" s="3"/>
      <c r="AA119" s="3"/>
      <c r="AB119" s="40"/>
      <c r="AC119" s="40"/>
      <c r="AD119" s="40"/>
      <c r="AE119" s="40"/>
      <c r="AF119" s="41"/>
      <c r="AG119" s="3"/>
      <c r="AH119" s="3"/>
      <c r="AI119" s="40"/>
      <c r="AJ119" s="40"/>
      <c r="AK119" s="40"/>
      <c r="AL119" s="40"/>
      <c r="AM119" s="41"/>
      <c r="AN119" s="3"/>
      <c r="AO119" s="3"/>
      <c r="AP119" s="40"/>
      <c r="AQ119" s="40"/>
      <c r="AR119" s="40"/>
      <c r="AS119" s="40"/>
      <c r="AT119" s="41"/>
    </row>
    <row r="120" spans="1:46" ht="13" hidden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40"/>
      <c r="T120" s="40"/>
      <c r="U120" s="40"/>
      <c r="V120" s="40"/>
      <c r="W120" s="41"/>
      <c r="X120" s="41"/>
      <c r="Y120" s="41"/>
      <c r="Z120" s="3"/>
      <c r="AA120" s="3"/>
      <c r="AB120" s="40"/>
      <c r="AC120" s="40"/>
      <c r="AD120" s="40"/>
      <c r="AE120" s="40"/>
      <c r="AF120" s="41"/>
      <c r="AG120" s="3"/>
      <c r="AH120" s="3"/>
      <c r="AI120" s="40"/>
      <c r="AJ120" s="40"/>
      <c r="AK120" s="40"/>
      <c r="AL120" s="40"/>
      <c r="AM120" s="41"/>
      <c r="AN120" s="3"/>
      <c r="AO120" s="3"/>
      <c r="AP120" s="40"/>
      <c r="AQ120" s="40"/>
      <c r="AR120" s="40"/>
      <c r="AS120" s="40"/>
      <c r="AT120" s="41"/>
    </row>
    <row r="121" spans="1:46" ht="13" hidden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40"/>
      <c r="T121" s="40"/>
      <c r="U121" s="40"/>
      <c r="V121" s="40"/>
      <c r="W121" s="41"/>
      <c r="X121" s="41"/>
      <c r="Y121" s="41"/>
      <c r="Z121" s="3"/>
      <c r="AA121" s="3"/>
      <c r="AB121" s="40"/>
      <c r="AC121" s="40"/>
      <c r="AD121" s="40"/>
      <c r="AE121" s="40"/>
      <c r="AF121" s="41"/>
      <c r="AG121" s="3"/>
      <c r="AH121" s="3"/>
      <c r="AI121" s="40"/>
      <c r="AJ121" s="40"/>
      <c r="AK121" s="40"/>
      <c r="AL121" s="40"/>
      <c r="AM121" s="41"/>
      <c r="AN121" s="3"/>
      <c r="AO121" s="3"/>
      <c r="AP121" s="40"/>
      <c r="AQ121" s="40"/>
      <c r="AR121" s="40"/>
      <c r="AS121" s="40"/>
      <c r="AT121" s="41"/>
    </row>
    <row r="122" spans="1:46" ht="13" hidden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40"/>
      <c r="T122" s="40"/>
      <c r="U122" s="40"/>
      <c r="V122" s="40"/>
      <c r="W122" s="41"/>
      <c r="X122" s="41"/>
      <c r="Y122" s="41"/>
      <c r="Z122" s="3"/>
      <c r="AA122" s="3"/>
      <c r="AB122" s="40"/>
      <c r="AC122" s="40"/>
      <c r="AD122" s="40"/>
      <c r="AE122" s="40"/>
      <c r="AF122" s="41"/>
      <c r="AG122" s="3"/>
      <c r="AH122" s="3"/>
      <c r="AI122" s="40"/>
      <c r="AJ122" s="40"/>
      <c r="AK122" s="40"/>
      <c r="AL122" s="40"/>
      <c r="AM122" s="41"/>
      <c r="AN122" s="3"/>
      <c r="AO122" s="3"/>
      <c r="AP122" s="40"/>
      <c r="AQ122" s="40"/>
      <c r="AR122" s="40"/>
      <c r="AS122" s="40"/>
      <c r="AT122" s="41"/>
    </row>
    <row r="123" spans="1:46" ht="13" hidden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40"/>
      <c r="T123" s="40"/>
      <c r="U123" s="40"/>
      <c r="V123" s="40"/>
      <c r="W123" s="41"/>
      <c r="X123" s="41"/>
      <c r="Y123" s="41"/>
      <c r="Z123" s="3"/>
      <c r="AA123" s="3"/>
      <c r="AB123" s="40"/>
      <c r="AC123" s="40"/>
      <c r="AD123" s="40"/>
      <c r="AE123" s="40"/>
      <c r="AF123" s="41"/>
      <c r="AG123" s="3"/>
      <c r="AH123" s="3"/>
      <c r="AI123" s="40"/>
      <c r="AJ123" s="40"/>
      <c r="AK123" s="40"/>
      <c r="AL123" s="40"/>
      <c r="AM123" s="41"/>
      <c r="AN123" s="3"/>
      <c r="AO123" s="3"/>
      <c r="AP123" s="40"/>
      <c r="AQ123" s="40"/>
      <c r="AR123" s="40"/>
      <c r="AS123" s="40"/>
      <c r="AT123" s="41"/>
    </row>
    <row r="124" spans="1:46" ht="13" hidden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40"/>
      <c r="T124" s="40"/>
      <c r="U124" s="40"/>
      <c r="V124" s="40"/>
      <c r="W124" s="41"/>
      <c r="X124" s="41"/>
      <c r="Y124" s="41"/>
      <c r="Z124" s="3"/>
      <c r="AA124" s="3"/>
      <c r="AB124" s="40"/>
      <c r="AC124" s="40"/>
      <c r="AD124" s="40"/>
      <c r="AE124" s="40"/>
      <c r="AF124" s="41"/>
      <c r="AG124" s="3"/>
      <c r="AH124" s="3"/>
      <c r="AI124" s="40"/>
      <c r="AJ124" s="40"/>
      <c r="AK124" s="40"/>
      <c r="AL124" s="40"/>
      <c r="AM124" s="41"/>
      <c r="AN124" s="3"/>
      <c r="AO124" s="3"/>
      <c r="AP124" s="40"/>
      <c r="AQ124" s="40"/>
      <c r="AR124" s="40"/>
      <c r="AS124" s="40"/>
      <c r="AT124" s="41"/>
    </row>
    <row r="125" spans="1:46" ht="13" hidden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40"/>
      <c r="T125" s="40"/>
      <c r="U125" s="40"/>
      <c r="V125" s="40"/>
      <c r="W125" s="41"/>
      <c r="X125" s="41"/>
      <c r="Y125" s="41"/>
      <c r="Z125" s="3"/>
      <c r="AA125" s="3"/>
      <c r="AB125" s="40"/>
      <c r="AC125" s="40"/>
      <c r="AD125" s="40"/>
      <c r="AE125" s="40"/>
      <c r="AF125" s="41"/>
      <c r="AG125" s="3"/>
      <c r="AH125" s="3"/>
      <c r="AI125" s="40"/>
      <c r="AJ125" s="40"/>
      <c r="AK125" s="40"/>
      <c r="AL125" s="40"/>
      <c r="AM125" s="41"/>
      <c r="AN125" s="3"/>
      <c r="AO125" s="3"/>
      <c r="AP125" s="40"/>
      <c r="AQ125" s="40"/>
      <c r="AR125" s="40"/>
      <c r="AS125" s="40"/>
      <c r="AT125" s="41"/>
    </row>
    <row r="126" spans="1:46" ht="13" hidden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40"/>
      <c r="T126" s="40"/>
      <c r="U126" s="40"/>
      <c r="V126" s="40"/>
      <c r="W126" s="41"/>
      <c r="X126" s="41"/>
      <c r="Y126" s="41"/>
      <c r="Z126" s="3"/>
      <c r="AA126" s="3"/>
      <c r="AB126" s="40"/>
      <c r="AC126" s="40"/>
      <c r="AD126" s="40"/>
      <c r="AE126" s="40"/>
      <c r="AF126" s="41"/>
      <c r="AG126" s="3"/>
      <c r="AH126" s="3"/>
      <c r="AI126" s="40"/>
      <c r="AJ126" s="40"/>
      <c r="AK126" s="40"/>
      <c r="AL126" s="40"/>
      <c r="AM126" s="41"/>
      <c r="AN126" s="3"/>
      <c r="AO126" s="3"/>
      <c r="AP126" s="40"/>
      <c r="AQ126" s="40"/>
      <c r="AR126" s="40"/>
      <c r="AS126" s="40"/>
      <c r="AT126" s="41"/>
    </row>
    <row r="127" spans="1:46" ht="13" hidden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40"/>
      <c r="T127" s="40"/>
      <c r="U127" s="40"/>
      <c r="V127" s="40"/>
      <c r="W127" s="41"/>
      <c r="X127" s="41"/>
      <c r="Y127" s="41"/>
      <c r="Z127" s="3"/>
      <c r="AA127" s="3"/>
      <c r="AB127" s="40"/>
      <c r="AC127" s="40"/>
      <c r="AD127" s="40"/>
      <c r="AE127" s="40"/>
      <c r="AF127" s="41"/>
      <c r="AG127" s="3"/>
      <c r="AH127" s="3"/>
      <c r="AI127" s="40"/>
      <c r="AJ127" s="40"/>
      <c r="AK127" s="40"/>
      <c r="AL127" s="40"/>
      <c r="AM127" s="41"/>
      <c r="AN127" s="3"/>
      <c r="AO127" s="3"/>
      <c r="AP127" s="40"/>
      <c r="AQ127" s="40"/>
      <c r="AR127" s="40"/>
      <c r="AS127" s="40"/>
      <c r="AT127" s="41"/>
    </row>
    <row r="128" spans="1:46" ht="13" hidden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40"/>
      <c r="T128" s="40"/>
      <c r="U128" s="40"/>
      <c r="V128" s="40"/>
      <c r="W128" s="41"/>
      <c r="X128" s="41"/>
      <c r="Y128" s="41"/>
      <c r="Z128" s="3"/>
      <c r="AA128" s="3"/>
      <c r="AB128" s="40"/>
      <c r="AC128" s="40"/>
      <c r="AD128" s="40"/>
      <c r="AE128" s="40"/>
      <c r="AF128" s="41"/>
      <c r="AG128" s="3"/>
      <c r="AH128" s="3"/>
      <c r="AI128" s="40"/>
      <c r="AJ128" s="40"/>
      <c r="AK128" s="40"/>
      <c r="AL128" s="40"/>
      <c r="AM128" s="41"/>
      <c r="AN128" s="3"/>
      <c r="AO128" s="3"/>
      <c r="AP128" s="40"/>
      <c r="AQ128" s="40"/>
      <c r="AR128" s="40"/>
      <c r="AS128" s="40"/>
      <c r="AT128" s="41"/>
    </row>
    <row r="129" spans="1:46" ht="13" hidden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40"/>
      <c r="T129" s="40"/>
      <c r="U129" s="40"/>
      <c r="V129" s="40"/>
      <c r="W129" s="41"/>
      <c r="X129" s="41"/>
      <c r="Y129" s="41"/>
      <c r="Z129" s="3"/>
      <c r="AA129" s="3"/>
      <c r="AB129" s="40"/>
      <c r="AC129" s="40"/>
      <c r="AD129" s="40"/>
      <c r="AE129" s="40"/>
      <c r="AF129" s="41"/>
      <c r="AG129" s="3"/>
      <c r="AH129" s="3"/>
      <c r="AI129" s="40"/>
      <c r="AJ129" s="40"/>
      <c r="AK129" s="40"/>
      <c r="AL129" s="40"/>
      <c r="AM129" s="41"/>
      <c r="AN129" s="3"/>
      <c r="AO129" s="3"/>
      <c r="AP129" s="40"/>
      <c r="AQ129" s="40"/>
      <c r="AR129" s="40"/>
      <c r="AS129" s="40"/>
      <c r="AT129" s="41"/>
    </row>
    <row r="130" spans="1:46" ht="13" hidden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40"/>
      <c r="T130" s="40"/>
      <c r="U130" s="40"/>
      <c r="V130" s="40"/>
      <c r="W130" s="41"/>
      <c r="X130" s="41"/>
      <c r="Y130" s="41"/>
      <c r="Z130" s="3"/>
      <c r="AA130" s="3"/>
      <c r="AB130" s="40"/>
      <c r="AC130" s="40"/>
      <c r="AD130" s="40"/>
      <c r="AE130" s="40"/>
      <c r="AF130" s="41"/>
      <c r="AG130" s="3"/>
      <c r="AH130" s="3"/>
      <c r="AI130" s="40"/>
      <c r="AJ130" s="40"/>
      <c r="AK130" s="40"/>
      <c r="AL130" s="40"/>
      <c r="AM130" s="41"/>
      <c r="AN130" s="3"/>
      <c r="AO130" s="3"/>
      <c r="AP130" s="40"/>
      <c r="AQ130" s="40"/>
      <c r="AR130" s="40"/>
      <c r="AS130" s="40"/>
      <c r="AT130" s="41"/>
    </row>
    <row r="131" spans="1:46" ht="13" hidden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40"/>
      <c r="T131" s="40"/>
      <c r="U131" s="40"/>
      <c r="V131" s="40"/>
      <c r="W131" s="41"/>
      <c r="X131" s="41"/>
      <c r="Y131" s="41"/>
      <c r="Z131" s="3"/>
      <c r="AA131" s="3"/>
      <c r="AB131" s="40"/>
      <c r="AC131" s="40"/>
      <c r="AD131" s="40"/>
      <c r="AE131" s="40"/>
      <c r="AF131" s="41"/>
      <c r="AG131" s="3"/>
      <c r="AH131" s="3"/>
      <c r="AI131" s="40"/>
      <c r="AJ131" s="40"/>
      <c r="AK131" s="40"/>
      <c r="AL131" s="40"/>
      <c r="AM131" s="41"/>
      <c r="AN131" s="3"/>
      <c r="AO131" s="3"/>
      <c r="AP131" s="40"/>
      <c r="AQ131" s="40"/>
      <c r="AR131" s="40"/>
      <c r="AS131" s="40"/>
      <c r="AT131" s="41"/>
    </row>
    <row r="132" spans="1:46" ht="13" hidden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40"/>
      <c r="T132" s="40"/>
      <c r="U132" s="40"/>
      <c r="V132" s="40"/>
      <c r="W132" s="41"/>
      <c r="X132" s="41"/>
      <c r="Y132" s="41"/>
      <c r="Z132" s="3"/>
      <c r="AA132" s="3"/>
      <c r="AB132" s="40"/>
      <c r="AC132" s="40"/>
      <c r="AD132" s="40"/>
      <c r="AE132" s="40"/>
      <c r="AF132" s="41"/>
      <c r="AG132" s="3"/>
      <c r="AH132" s="3"/>
      <c r="AI132" s="40"/>
      <c r="AJ132" s="40"/>
      <c r="AK132" s="40"/>
      <c r="AL132" s="40"/>
      <c r="AM132" s="41"/>
      <c r="AN132" s="3"/>
      <c r="AO132" s="3"/>
      <c r="AP132" s="40"/>
      <c r="AQ132" s="40"/>
      <c r="AR132" s="40"/>
      <c r="AS132" s="40"/>
      <c r="AT132" s="41"/>
    </row>
    <row r="133" spans="1:46" ht="13" hidden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40"/>
      <c r="T133" s="40"/>
      <c r="U133" s="40"/>
      <c r="V133" s="40"/>
      <c r="W133" s="41"/>
      <c r="X133" s="41"/>
      <c r="Y133" s="41"/>
      <c r="Z133" s="3"/>
      <c r="AA133" s="3"/>
      <c r="AB133" s="40"/>
      <c r="AC133" s="40"/>
      <c r="AD133" s="40"/>
      <c r="AE133" s="40"/>
      <c r="AF133" s="41"/>
      <c r="AG133" s="3"/>
      <c r="AH133" s="3"/>
      <c r="AI133" s="40"/>
      <c r="AJ133" s="40"/>
      <c r="AK133" s="40"/>
      <c r="AL133" s="40"/>
      <c r="AM133" s="41"/>
      <c r="AN133" s="3"/>
      <c r="AO133" s="3"/>
      <c r="AP133" s="40"/>
      <c r="AQ133" s="40"/>
      <c r="AR133" s="40"/>
      <c r="AS133" s="40"/>
      <c r="AT133" s="41"/>
    </row>
    <row r="134" spans="1:46" ht="13" hidden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40"/>
      <c r="T134" s="40"/>
      <c r="U134" s="40"/>
      <c r="V134" s="40"/>
      <c r="W134" s="41"/>
      <c r="X134" s="41"/>
      <c r="Y134" s="41"/>
      <c r="Z134" s="3"/>
      <c r="AA134" s="3"/>
      <c r="AB134" s="40"/>
      <c r="AC134" s="40"/>
      <c r="AD134" s="40"/>
      <c r="AE134" s="40"/>
      <c r="AF134" s="41"/>
      <c r="AG134" s="3"/>
      <c r="AH134" s="3"/>
      <c r="AI134" s="40"/>
      <c r="AJ134" s="40"/>
      <c r="AK134" s="40"/>
      <c r="AL134" s="40"/>
      <c r="AM134" s="41"/>
      <c r="AN134" s="3"/>
      <c r="AO134" s="3"/>
      <c r="AP134" s="40"/>
      <c r="AQ134" s="40"/>
      <c r="AR134" s="40"/>
      <c r="AS134" s="40"/>
      <c r="AT134" s="41"/>
    </row>
    <row r="135" spans="1:46" ht="13" hidden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40"/>
      <c r="T135" s="40"/>
      <c r="U135" s="40"/>
      <c r="V135" s="40"/>
      <c r="W135" s="41"/>
      <c r="X135" s="41"/>
      <c r="Y135" s="41"/>
      <c r="Z135" s="3"/>
      <c r="AA135" s="3"/>
      <c r="AB135" s="40"/>
      <c r="AC135" s="40"/>
      <c r="AD135" s="40"/>
      <c r="AE135" s="40"/>
      <c r="AF135" s="41"/>
      <c r="AG135" s="3"/>
      <c r="AH135" s="3"/>
      <c r="AI135" s="40"/>
      <c r="AJ135" s="40"/>
      <c r="AK135" s="40"/>
      <c r="AL135" s="40"/>
      <c r="AM135" s="41"/>
      <c r="AN135" s="3"/>
      <c r="AO135" s="3"/>
      <c r="AP135" s="40"/>
      <c r="AQ135" s="40"/>
      <c r="AR135" s="40"/>
      <c r="AS135" s="40"/>
      <c r="AT135" s="41"/>
    </row>
    <row r="136" spans="1:46" ht="13" hidden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40"/>
      <c r="T136" s="40"/>
      <c r="U136" s="40"/>
      <c r="V136" s="40"/>
      <c r="W136" s="41"/>
      <c r="X136" s="41"/>
      <c r="Y136" s="41"/>
      <c r="Z136" s="3"/>
      <c r="AA136" s="3"/>
      <c r="AB136" s="40"/>
      <c r="AC136" s="40"/>
      <c r="AD136" s="40"/>
      <c r="AE136" s="40"/>
      <c r="AF136" s="41"/>
      <c r="AG136" s="3"/>
      <c r="AH136" s="3"/>
      <c r="AI136" s="40"/>
      <c r="AJ136" s="40"/>
      <c r="AK136" s="40"/>
      <c r="AL136" s="40"/>
      <c r="AM136" s="41"/>
      <c r="AN136" s="3"/>
      <c r="AO136" s="3"/>
      <c r="AP136" s="40"/>
      <c r="AQ136" s="40"/>
      <c r="AR136" s="40"/>
      <c r="AS136" s="40"/>
      <c r="AT136" s="41"/>
    </row>
    <row r="137" spans="1:46" ht="13" hidden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40"/>
      <c r="T137" s="40"/>
      <c r="U137" s="40"/>
      <c r="V137" s="40"/>
      <c r="W137" s="41"/>
      <c r="X137" s="41"/>
      <c r="Y137" s="41"/>
      <c r="Z137" s="3"/>
      <c r="AA137" s="3"/>
      <c r="AB137" s="40"/>
      <c r="AC137" s="40"/>
      <c r="AD137" s="40"/>
      <c r="AE137" s="40"/>
      <c r="AF137" s="41"/>
      <c r="AG137" s="3"/>
      <c r="AH137" s="3"/>
      <c r="AI137" s="40"/>
      <c r="AJ137" s="40"/>
      <c r="AK137" s="40"/>
      <c r="AL137" s="40"/>
      <c r="AM137" s="41"/>
      <c r="AN137" s="3"/>
      <c r="AO137" s="3"/>
      <c r="AP137" s="40"/>
      <c r="AQ137" s="40"/>
      <c r="AR137" s="40"/>
      <c r="AS137" s="40"/>
      <c r="AT137" s="41"/>
    </row>
    <row r="138" spans="1:46" ht="13" hidden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40"/>
      <c r="T138" s="40"/>
      <c r="U138" s="40"/>
      <c r="V138" s="40"/>
      <c r="W138" s="41"/>
      <c r="X138" s="41"/>
      <c r="Y138" s="41"/>
      <c r="Z138" s="3"/>
      <c r="AA138" s="3"/>
      <c r="AB138" s="40"/>
      <c r="AC138" s="40"/>
      <c r="AD138" s="40"/>
      <c r="AE138" s="40"/>
      <c r="AF138" s="41"/>
      <c r="AG138" s="3"/>
      <c r="AH138" s="3"/>
      <c r="AI138" s="40"/>
      <c r="AJ138" s="40"/>
      <c r="AK138" s="40"/>
      <c r="AL138" s="40"/>
      <c r="AM138" s="41"/>
      <c r="AN138" s="3"/>
      <c r="AO138" s="3"/>
      <c r="AP138" s="40"/>
      <c r="AQ138" s="40"/>
      <c r="AR138" s="40"/>
      <c r="AS138" s="40"/>
      <c r="AT138" s="41"/>
    </row>
    <row r="139" spans="1:46" ht="13" hidden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40"/>
      <c r="T139" s="40"/>
      <c r="U139" s="40"/>
      <c r="V139" s="40"/>
      <c r="W139" s="41"/>
      <c r="X139" s="41"/>
      <c r="Y139" s="41"/>
      <c r="Z139" s="3"/>
      <c r="AA139" s="3"/>
      <c r="AB139" s="40"/>
      <c r="AC139" s="40"/>
      <c r="AD139" s="40"/>
      <c r="AE139" s="40"/>
      <c r="AF139" s="41"/>
      <c r="AG139" s="3"/>
      <c r="AH139" s="3"/>
      <c r="AI139" s="40"/>
      <c r="AJ139" s="40"/>
      <c r="AK139" s="40"/>
      <c r="AL139" s="40"/>
      <c r="AM139" s="41"/>
      <c r="AN139" s="3"/>
      <c r="AO139" s="3"/>
      <c r="AP139" s="40"/>
      <c r="AQ139" s="40"/>
      <c r="AR139" s="40"/>
      <c r="AS139" s="40"/>
      <c r="AT139" s="41"/>
    </row>
    <row r="140" spans="1:46" ht="13" hidden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40"/>
      <c r="T140" s="40"/>
      <c r="U140" s="40"/>
      <c r="V140" s="40"/>
      <c r="W140" s="41"/>
      <c r="X140" s="41"/>
      <c r="Y140" s="41"/>
      <c r="Z140" s="3"/>
      <c r="AA140" s="3"/>
      <c r="AB140" s="40"/>
      <c r="AC140" s="40"/>
      <c r="AD140" s="40"/>
      <c r="AE140" s="40"/>
      <c r="AF140" s="41"/>
      <c r="AG140" s="3"/>
      <c r="AH140" s="3"/>
      <c r="AI140" s="40"/>
      <c r="AJ140" s="40"/>
      <c r="AK140" s="40"/>
      <c r="AL140" s="40"/>
      <c r="AM140" s="41"/>
      <c r="AN140" s="3"/>
      <c r="AO140" s="3"/>
      <c r="AP140" s="40"/>
      <c r="AQ140" s="40"/>
      <c r="AR140" s="40"/>
      <c r="AS140" s="40"/>
      <c r="AT140" s="41"/>
    </row>
    <row r="141" spans="1:46" ht="13" hidden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40"/>
      <c r="T141" s="40"/>
      <c r="U141" s="40"/>
      <c r="V141" s="40"/>
      <c r="W141" s="41"/>
      <c r="X141" s="41"/>
      <c r="Y141" s="41"/>
      <c r="Z141" s="3"/>
      <c r="AA141" s="3"/>
      <c r="AB141" s="40"/>
      <c r="AC141" s="40"/>
      <c r="AD141" s="40"/>
      <c r="AE141" s="40"/>
      <c r="AF141" s="41"/>
      <c r="AG141" s="3"/>
      <c r="AH141" s="3"/>
      <c r="AI141" s="40"/>
      <c r="AJ141" s="40"/>
      <c r="AK141" s="40"/>
      <c r="AL141" s="40"/>
      <c r="AM141" s="41"/>
      <c r="AN141" s="3"/>
      <c r="AO141" s="3"/>
      <c r="AP141" s="40"/>
      <c r="AQ141" s="40"/>
      <c r="AR141" s="40"/>
      <c r="AS141" s="40"/>
      <c r="AT141" s="41"/>
    </row>
    <row r="142" spans="1:46" ht="13" hidden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40"/>
      <c r="T142" s="40"/>
      <c r="U142" s="40"/>
      <c r="V142" s="40"/>
      <c r="W142" s="41"/>
      <c r="X142" s="41"/>
      <c r="Y142" s="41"/>
      <c r="Z142" s="3"/>
      <c r="AA142" s="3"/>
      <c r="AB142" s="40"/>
      <c r="AC142" s="40"/>
      <c r="AD142" s="40"/>
      <c r="AE142" s="40"/>
      <c r="AF142" s="41"/>
      <c r="AG142" s="3"/>
      <c r="AH142" s="3"/>
      <c r="AI142" s="40"/>
      <c r="AJ142" s="40"/>
      <c r="AK142" s="40"/>
      <c r="AL142" s="40"/>
      <c r="AM142" s="41"/>
      <c r="AN142" s="3"/>
      <c r="AO142" s="3"/>
      <c r="AP142" s="40"/>
      <c r="AQ142" s="40"/>
      <c r="AR142" s="40"/>
      <c r="AS142" s="40"/>
      <c r="AT142" s="41"/>
    </row>
    <row r="143" spans="1:46" ht="13" hidden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40"/>
      <c r="T143" s="40"/>
      <c r="U143" s="40"/>
      <c r="V143" s="40"/>
      <c r="W143" s="41"/>
      <c r="X143" s="41"/>
      <c r="Y143" s="41"/>
      <c r="Z143" s="3"/>
      <c r="AA143" s="3"/>
      <c r="AB143" s="40"/>
      <c r="AC143" s="40"/>
      <c r="AD143" s="40"/>
      <c r="AE143" s="40"/>
      <c r="AF143" s="41"/>
      <c r="AG143" s="3"/>
      <c r="AH143" s="3"/>
      <c r="AI143" s="40"/>
      <c r="AJ143" s="40"/>
      <c r="AK143" s="40"/>
      <c r="AL143" s="40"/>
      <c r="AM143" s="41"/>
      <c r="AN143" s="3"/>
      <c r="AO143" s="3"/>
      <c r="AP143" s="40"/>
      <c r="AQ143" s="40"/>
      <c r="AR143" s="40"/>
      <c r="AS143" s="40"/>
      <c r="AT143" s="41"/>
    </row>
    <row r="144" spans="1:46" ht="13" hidden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40"/>
      <c r="T144" s="40"/>
      <c r="U144" s="40"/>
      <c r="V144" s="40"/>
      <c r="W144" s="41"/>
      <c r="X144" s="41"/>
      <c r="Y144" s="41"/>
      <c r="Z144" s="3"/>
      <c r="AA144" s="3"/>
      <c r="AB144" s="40"/>
      <c r="AC144" s="40"/>
      <c r="AD144" s="40"/>
      <c r="AE144" s="40"/>
      <c r="AF144" s="41"/>
      <c r="AG144" s="3"/>
      <c r="AH144" s="3"/>
      <c r="AI144" s="40"/>
      <c r="AJ144" s="40"/>
      <c r="AK144" s="40"/>
      <c r="AL144" s="40"/>
      <c r="AM144" s="41"/>
      <c r="AN144" s="3"/>
      <c r="AO144" s="3"/>
      <c r="AP144" s="40"/>
      <c r="AQ144" s="40"/>
      <c r="AR144" s="40"/>
      <c r="AS144" s="40"/>
      <c r="AT144" s="41"/>
    </row>
    <row r="145" spans="1:46" ht="13" hidden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40"/>
      <c r="T145" s="40"/>
      <c r="U145" s="40"/>
      <c r="V145" s="40"/>
      <c r="W145" s="41"/>
      <c r="X145" s="41"/>
      <c r="Y145" s="41"/>
      <c r="Z145" s="3"/>
      <c r="AA145" s="3"/>
      <c r="AB145" s="40"/>
      <c r="AC145" s="40"/>
      <c r="AD145" s="40"/>
      <c r="AE145" s="40"/>
      <c r="AF145" s="41"/>
      <c r="AG145" s="3"/>
      <c r="AH145" s="3"/>
      <c r="AI145" s="40"/>
      <c r="AJ145" s="40"/>
      <c r="AK145" s="40"/>
      <c r="AL145" s="40"/>
      <c r="AM145" s="41"/>
      <c r="AN145" s="3"/>
      <c r="AO145" s="3"/>
      <c r="AP145" s="40"/>
      <c r="AQ145" s="40"/>
      <c r="AR145" s="40"/>
      <c r="AS145" s="40"/>
      <c r="AT145" s="41"/>
    </row>
    <row r="146" spans="1:46" ht="13" hidden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40"/>
      <c r="T146" s="40"/>
      <c r="U146" s="40"/>
      <c r="V146" s="40"/>
      <c r="W146" s="41"/>
      <c r="X146" s="41"/>
      <c r="Y146" s="41"/>
      <c r="Z146" s="3"/>
      <c r="AA146" s="3"/>
      <c r="AB146" s="40"/>
      <c r="AC146" s="40"/>
      <c r="AD146" s="40"/>
      <c r="AE146" s="40"/>
      <c r="AF146" s="41"/>
      <c r="AG146" s="3"/>
      <c r="AH146" s="3"/>
      <c r="AI146" s="40"/>
      <c r="AJ146" s="40"/>
      <c r="AK146" s="40"/>
      <c r="AL146" s="40"/>
      <c r="AM146" s="41"/>
      <c r="AN146" s="3"/>
      <c r="AO146" s="3"/>
      <c r="AP146" s="40"/>
      <c r="AQ146" s="40"/>
      <c r="AR146" s="40"/>
      <c r="AS146" s="40"/>
      <c r="AT146" s="41"/>
    </row>
    <row r="147" spans="1:46" ht="13" hidden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40"/>
      <c r="T147" s="40"/>
      <c r="U147" s="40"/>
      <c r="V147" s="40"/>
      <c r="W147" s="41"/>
      <c r="X147" s="41"/>
      <c r="Y147" s="41"/>
      <c r="Z147" s="3"/>
      <c r="AA147" s="3"/>
      <c r="AB147" s="40"/>
      <c r="AC147" s="40"/>
      <c r="AD147" s="40"/>
      <c r="AE147" s="40"/>
      <c r="AF147" s="41"/>
      <c r="AG147" s="3"/>
      <c r="AH147" s="3"/>
      <c r="AI147" s="40"/>
      <c r="AJ147" s="40"/>
      <c r="AK147" s="40"/>
      <c r="AL147" s="40"/>
      <c r="AM147" s="41"/>
      <c r="AN147" s="3"/>
      <c r="AO147" s="3"/>
      <c r="AP147" s="40"/>
      <c r="AQ147" s="40"/>
      <c r="AR147" s="40"/>
      <c r="AS147" s="40"/>
      <c r="AT147" s="41"/>
    </row>
    <row r="148" spans="1:46" ht="13" hidden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40"/>
      <c r="T148" s="40"/>
      <c r="U148" s="40"/>
      <c r="V148" s="40"/>
      <c r="W148" s="41"/>
      <c r="X148" s="41"/>
      <c r="Y148" s="41"/>
      <c r="Z148" s="3"/>
      <c r="AA148" s="3"/>
      <c r="AB148" s="40"/>
      <c r="AC148" s="40"/>
      <c r="AD148" s="40"/>
      <c r="AE148" s="40"/>
      <c r="AF148" s="41"/>
      <c r="AG148" s="3"/>
      <c r="AH148" s="3"/>
      <c r="AI148" s="40"/>
      <c r="AJ148" s="40"/>
      <c r="AK148" s="40"/>
      <c r="AL148" s="40"/>
      <c r="AM148" s="41"/>
      <c r="AN148" s="3"/>
      <c r="AO148" s="3"/>
      <c r="AP148" s="40"/>
      <c r="AQ148" s="40"/>
      <c r="AR148" s="40"/>
      <c r="AS148" s="40"/>
      <c r="AT148" s="41"/>
    </row>
    <row r="149" spans="1:46" ht="13" hidden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40"/>
      <c r="T149" s="40"/>
      <c r="U149" s="40"/>
      <c r="V149" s="40"/>
      <c r="W149" s="41"/>
      <c r="X149" s="41"/>
      <c r="Y149" s="41"/>
      <c r="Z149" s="3"/>
      <c r="AA149" s="3"/>
      <c r="AB149" s="40"/>
      <c r="AC149" s="40"/>
      <c r="AD149" s="40"/>
      <c r="AE149" s="40"/>
      <c r="AF149" s="41"/>
      <c r="AG149" s="3"/>
      <c r="AH149" s="3"/>
      <c r="AI149" s="40"/>
      <c r="AJ149" s="40"/>
      <c r="AK149" s="40"/>
      <c r="AL149" s="40"/>
      <c r="AM149" s="41"/>
      <c r="AN149" s="3"/>
      <c r="AO149" s="3"/>
      <c r="AP149" s="40"/>
      <c r="AQ149" s="40"/>
      <c r="AR149" s="40"/>
      <c r="AS149" s="40"/>
      <c r="AT149" s="41"/>
    </row>
    <row r="150" spans="1:46" ht="13" hidden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40"/>
      <c r="T150" s="40"/>
      <c r="U150" s="40"/>
      <c r="V150" s="40"/>
      <c r="W150" s="41"/>
      <c r="X150" s="41"/>
      <c r="Y150" s="41"/>
      <c r="Z150" s="3"/>
      <c r="AA150" s="3"/>
      <c r="AB150" s="40"/>
      <c r="AC150" s="40"/>
      <c r="AD150" s="40"/>
      <c r="AE150" s="40"/>
      <c r="AF150" s="41"/>
      <c r="AG150" s="3"/>
      <c r="AH150" s="3"/>
      <c r="AI150" s="40"/>
      <c r="AJ150" s="40"/>
      <c r="AK150" s="40"/>
      <c r="AL150" s="40"/>
      <c r="AM150" s="41"/>
      <c r="AN150" s="3"/>
      <c r="AO150" s="3"/>
      <c r="AP150" s="40"/>
      <c r="AQ150" s="40"/>
      <c r="AR150" s="40"/>
      <c r="AS150" s="40"/>
      <c r="AT150" s="41"/>
    </row>
    <row r="151" spans="1:46" ht="13" hidden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40"/>
      <c r="T151" s="40"/>
      <c r="U151" s="40"/>
      <c r="V151" s="40"/>
      <c r="W151" s="41"/>
      <c r="X151" s="41"/>
      <c r="Y151" s="41"/>
      <c r="Z151" s="3"/>
      <c r="AA151" s="3"/>
      <c r="AB151" s="40"/>
      <c r="AC151" s="40"/>
      <c r="AD151" s="40"/>
      <c r="AE151" s="40"/>
      <c r="AF151" s="41"/>
      <c r="AG151" s="3"/>
      <c r="AH151" s="3"/>
      <c r="AI151" s="40"/>
      <c r="AJ151" s="40"/>
      <c r="AK151" s="40"/>
      <c r="AL151" s="40"/>
      <c r="AM151" s="41"/>
      <c r="AN151" s="3"/>
      <c r="AO151" s="3"/>
      <c r="AP151" s="40"/>
      <c r="AQ151" s="40"/>
      <c r="AR151" s="40"/>
      <c r="AS151" s="40"/>
      <c r="AT151" s="41"/>
    </row>
    <row r="152" spans="1:46" ht="13" hidden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40"/>
      <c r="T152" s="40"/>
      <c r="U152" s="40"/>
      <c r="V152" s="40"/>
      <c r="W152" s="41"/>
      <c r="X152" s="41"/>
      <c r="Y152" s="41"/>
      <c r="Z152" s="3"/>
      <c r="AA152" s="3"/>
      <c r="AB152" s="40"/>
      <c r="AC152" s="40"/>
      <c r="AD152" s="40"/>
      <c r="AE152" s="40"/>
      <c r="AF152" s="41"/>
      <c r="AG152" s="3"/>
      <c r="AH152" s="3"/>
      <c r="AI152" s="40"/>
      <c r="AJ152" s="40"/>
      <c r="AK152" s="40"/>
      <c r="AL152" s="40"/>
      <c r="AM152" s="41"/>
      <c r="AN152" s="3"/>
      <c r="AO152" s="3"/>
      <c r="AP152" s="40"/>
      <c r="AQ152" s="40"/>
      <c r="AR152" s="40"/>
      <c r="AS152" s="40"/>
      <c r="AT152" s="41"/>
    </row>
    <row r="153" spans="1:46" ht="13" hidden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40"/>
      <c r="T153" s="40"/>
      <c r="U153" s="40"/>
      <c r="V153" s="40"/>
      <c r="W153" s="41"/>
      <c r="X153" s="41"/>
      <c r="Y153" s="41"/>
      <c r="Z153" s="3"/>
      <c r="AA153" s="3"/>
      <c r="AB153" s="40"/>
      <c r="AC153" s="40"/>
      <c r="AD153" s="40"/>
      <c r="AE153" s="40"/>
      <c r="AF153" s="41"/>
      <c r="AG153" s="3"/>
      <c r="AH153" s="3"/>
      <c r="AI153" s="40"/>
      <c r="AJ153" s="40"/>
      <c r="AK153" s="40"/>
      <c r="AL153" s="40"/>
      <c r="AM153" s="41"/>
      <c r="AN153" s="3"/>
      <c r="AO153" s="3"/>
      <c r="AP153" s="40"/>
      <c r="AQ153" s="40"/>
      <c r="AR153" s="40"/>
      <c r="AS153" s="40"/>
      <c r="AT153" s="41"/>
    </row>
    <row r="154" spans="1:46" ht="13" hidden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40"/>
      <c r="T154" s="40"/>
      <c r="U154" s="40"/>
      <c r="V154" s="40"/>
      <c r="W154" s="41"/>
      <c r="X154" s="41"/>
      <c r="Y154" s="41"/>
      <c r="Z154" s="3"/>
      <c r="AA154" s="3"/>
      <c r="AB154" s="40"/>
      <c r="AC154" s="40"/>
      <c r="AD154" s="40"/>
      <c r="AE154" s="40"/>
      <c r="AF154" s="41"/>
      <c r="AG154" s="3"/>
      <c r="AH154" s="3"/>
      <c r="AI154" s="40"/>
      <c r="AJ154" s="40"/>
      <c r="AK154" s="40"/>
      <c r="AL154" s="40"/>
      <c r="AM154" s="41"/>
      <c r="AN154" s="3"/>
      <c r="AO154" s="3"/>
      <c r="AP154" s="40"/>
      <c r="AQ154" s="40"/>
      <c r="AR154" s="40"/>
      <c r="AS154" s="40"/>
      <c r="AT154" s="41"/>
    </row>
    <row r="155" spans="1:46" ht="13" hidden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40"/>
      <c r="T155" s="40"/>
      <c r="U155" s="40"/>
      <c r="V155" s="40"/>
      <c r="W155" s="41"/>
      <c r="X155" s="41"/>
      <c r="Y155" s="41"/>
      <c r="Z155" s="3"/>
      <c r="AA155" s="3"/>
      <c r="AB155" s="40"/>
      <c r="AC155" s="40"/>
      <c r="AD155" s="40"/>
      <c r="AE155" s="40"/>
      <c r="AF155" s="41"/>
      <c r="AG155" s="3"/>
      <c r="AH155" s="3"/>
      <c r="AI155" s="40"/>
      <c r="AJ155" s="40"/>
      <c r="AK155" s="40"/>
      <c r="AL155" s="40"/>
      <c r="AM155" s="41"/>
      <c r="AN155" s="3"/>
      <c r="AO155" s="3"/>
      <c r="AP155" s="40"/>
      <c r="AQ155" s="40"/>
      <c r="AR155" s="40"/>
      <c r="AS155" s="40"/>
      <c r="AT155" s="41"/>
    </row>
    <row r="156" spans="1:46" ht="13" hidden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40"/>
      <c r="T156" s="40"/>
      <c r="U156" s="40"/>
      <c r="V156" s="40"/>
      <c r="W156" s="41"/>
      <c r="X156" s="41"/>
      <c r="Y156" s="41"/>
      <c r="Z156" s="3"/>
      <c r="AA156" s="3"/>
      <c r="AB156" s="40"/>
      <c r="AC156" s="40"/>
      <c r="AD156" s="40"/>
      <c r="AE156" s="40"/>
      <c r="AF156" s="41"/>
      <c r="AG156" s="3"/>
      <c r="AH156" s="3"/>
      <c r="AI156" s="40"/>
      <c r="AJ156" s="40"/>
      <c r="AK156" s="40"/>
      <c r="AL156" s="40"/>
      <c r="AM156" s="41"/>
      <c r="AN156" s="3"/>
      <c r="AO156" s="3"/>
      <c r="AP156" s="40"/>
      <c r="AQ156" s="40"/>
      <c r="AR156" s="40"/>
      <c r="AS156" s="40"/>
      <c r="AT156" s="41"/>
    </row>
    <row r="157" spans="1:46" ht="13" hidden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40"/>
      <c r="T157" s="40"/>
      <c r="U157" s="40"/>
      <c r="V157" s="40"/>
      <c r="W157" s="41"/>
      <c r="X157" s="41"/>
      <c r="Y157" s="41"/>
      <c r="Z157" s="3"/>
      <c r="AA157" s="3"/>
      <c r="AB157" s="40"/>
      <c r="AC157" s="40"/>
      <c r="AD157" s="40"/>
      <c r="AE157" s="40"/>
      <c r="AF157" s="41"/>
      <c r="AG157" s="3"/>
      <c r="AH157" s="3"/>
      <c r="AI157" s="40"/>
      <c r="AJ157" s="40"/>
      <c r="AK157" s="40"/>
      <c r="AL157" s="40"/>
      <c r="AM157" s="41"/>
      <c r="AN157" s="3"/>
      <c r="AO157" s="3"/>
      <c r="AP157" s="40"/>
      <c r="AQ157" s="40"/>
      <c r="AR157" s="40"/>
      <c r="AS157" s="40"/>
      <c r="AT157" s="41"/>
    </row>
    <row r="158" spans="1:46" ht="13" hidden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40"/>
      <c r="T158" s="40"/>
      <c r="U158" s="40"/>
      <c r="V158" s="40"/>
      <c r="W158" s="41"/>
      <c r="X158" s="41"/>
      <c r="Y158" s="41"/>
      <c r="Z158" s="3"/>
      <c r="AA158" s="3"/>
      <c r="AB158" s="40"/>
      <c r="AC158" s="40"/>
      <c r="AD158" s="40"/>
      <c r="AE158" s="40"/>
      <c r="AF158" s="41"/>
      <c r="AG158" s="3"/>
      <c r="AH158" s="3"/>
      <c r="AI158" s="40"/>
      <c r="AJ158" s="40"/>
      <c r="AK158" s="40"/>
      <c r="AL158" s="40"/>
      <c r="AM158" s="41"/>
      <c r="AN158" s="3"/>
      <c r="AO158" s="3"/>
      <c r="AP158" s="40"/>
      <c r="AQ158" s="40"/>
      <c r="AR158" s="40"/>
      <c r="AS158" s="40"/>
      <c r="AT158" s="41"/>
    </row>
    <row r="159" spans="1:46" ht="13" hidden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40"/>
      <c r="T159" s="40"/>
      <c r="U159" s="40"/>
      <c r="V159" s="40"/>
      <c r="W159" s="41"/>
      <c r="X159" s="41"/>
      <c r="Y159" s="41"/>
      <c r="Z159" s="3"/>
      <c r="AA159" s="3"/>
      <c r="AB159" s="40"/>
      <c r="AC159" s="40"/>
      <c r="AD159" s="40"/>
      <c r="AE159" s="40"/>
      <c r="AF159" s="41"/>
      <c r="AG159" s="3"/>
      <c r="AH159" s="3"/>
      <c r="AI159" s="40"/>
      <c r="AJ159" s="40"/>
      <c r="AK159" s="40"/>
      <c r="AL159" s="40"/>
      <c r="AM159" s="41"/>
      <c r="AN159" s="3"/>
      <c r="AO159" s="3"/>
      <c r="AP159" s="40"/>
      <c r="AQ159" s="40"/>
      <c r="AR159" s="40"/>
      <c r="AS159" s="40"/>
      <c r="AT159" s="41"/>
    </row>
    <row r="160" spans="1:46" ht="13" hidden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40"/>
      <c r="T160" s="40"/>
      <c r="U160" s="40"/>
      <c r="V160" s="40"/>
      <c r="W160" s="41"/>
      <c r="X160" s="41"/>
      <c r="Y160" s="41"/>
      <c r="Z160" s="3"/>
      <c r="AA160" s="3"/>
      <c r="AB160" s="40"/>
      <c r="AC160" s="40"/>
      <c r="AD160" s="40"/>
      <c r="AE160" s="40"/>
      <c r="AF160" s="41"/>
      <c r="AG160" s="3"/>
      <c r="AH160" s="3"/>
      <c r="AI160" s="40"/>
      <c r="AJ160" s="40"/>
      <c r="AK160" s="40"/>
      <c r="AL160" s="40"/>
      <c r="AM160" s="41"/>
      <c r="AN160" s="3"/>
      <c r="AO160" s="3"/>
      <c r="AP160" s="40"/>
      <c r="AQ160" s="40"/>
      <c r="AR160" s="40"/>
      <c r="AS160" s="40"/>
      <c r="AT160" s="41"/>
    </row>
    <row r="161" spans="1:46" ht="13" hidden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40"/>
      <c r="T161" s="40"/>
      <c r="U161" s="40"/>
      <c r="V161" s="40"/>
      <c r="W161" s="41"/>
      <c r="X161" s="41"/>
      <c r="Y161" s="41"/>
      <c r="Z161" s="3"/>
      <c r="AA161" s="3"/>
      <c r="AB161" s="40"/>
      <c r="AC161" s="40"/>
      <c r="AD161" s="40"/>
      <c r="AE161" s="40"/>
      <c r="AF161" s="41"/>
      <c r="AG161" s="3"/>
      <c r="AH161" s="3"/>
      <c r="AI161" s="40"/>
      <c r="AJ161" s="40"/>
      <c r="AK161" s="40"/>
      <c r="AL161" s="40"/>
      <c r="AM161" s="41"/>
      <c r="AN161" s="3"/>
      <c r="AO161" s="3"/>
      <c r="AP161" s="40"/>
      <c r="AQ161" s="40"/>
      <c r="AR161" s="40"/>
      <c r="AS161" s="40"/>
      <c r="AT161" s="41"/>
    </row>
    <row r="162" spans="1:46" ht="13" hidden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40"/>
      <c r="T162" s="40"/>
      <c r="U162" s="40"/>
      <c r="V162" s="40"/>
      <c r="W162" s="41"/>
      <c r="X162" s="41"/>
      <c r="Y162" s="41"/>
      <c r="Z162" s="3"/>
      <c r="AA162" s="3"/>
      <c r="AB162" s="40"/>
      <c r="AC162" s="40"/>
      <c r="AD162" s="40"/>
      <c r="AE162" s="40"/>
      <c r="AF162" s="41"/>
      <c r="AG162" s="3"/>
      <c r="AH162" s="3"/>
      <c r="AI162" s="40"/>
      <c r="AJ162" s="40"/>
      <c r="AK162" s="40"/>
      <c r="AL162" s="40"/>
      <c r="AM162" s="41"/>
      <c r="AN162" s="3"/>
      <c r="AO162" s="3"/>
      <c r="AP162" s="40"/>
      <c r="AQ162" s="40"/>
      <c r="AR162" s="40"/>
      <c r="AS162" s="40"/>
      <c r="AT162" s="41"/>
    </row>
    <row r="163" spans="1:46" ht="13" hidden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40"/>
      <c r="T163" s="40"/>
      <c r="U163" s="40"/>
      <c r="V163" s="40"/>
      <c r="W163" s="41"/>
      <c r="X163" s="41"/>
      <c r="Y163" s="41"/>
      <c r="Z163" s="3"/>
      <c r="AA163" s="3"/>
      <c r="AB163" s="40"/>
      <c r="AC163" s="40"/>
      <c r="AD163" s="40"/>
      <c r="AE163" s="40"/>
      <c r="AF163" s="41"/>
      <c r="AG163" s="3"/>
      <c r="AH163" s="3"/>
      <c r="AI163" s="40"/>
      <c r="AJ163" s="40"/>
      <c r="AK163" s="40"/>
      <c r="AL163" s="40"/>
      <c r="AM163" s="41"/>
      <c r="AN163" s="3"/>
      <c r="AO163" s="3"/>
      <c r="AP163" s="40"/>
      <c r="AQ163" s="40"/>
      <c r="AR163" s="40"/>
      <c r="AS163" s="40"/>
      <c r="AT163" s="41"/>
    </row>
    <row r="164" spans="1:46" ht="13" hidden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40"/>
      <c r="T164" s="40"/>
      <c r="U164" s="40"/>
      <c r="V164" s="40"/>
      <c r="W164" s="41"/>
      <c r="X164" s="41"/>
      <c r="Y164" s="41"/>
      <c r="Z164" s="3"/>
      <c r="AA164" s="3"/>
      <c r="AB164" s="40"/>
      <c r="AC164" s="40"/>
      <c r="AD164" s="40"/>
      <c r="AE164" s="40"/>
      <c r="AF164" s="41"/>
      <c r="AG164" s="3"/>
      <c r="AH164" s="3"/>
      <c r="AI164" s="40"/>
      <c r="AJ164" s="40"/>
      <c r="AK164" s="40"/>
      <c r="AL164" s="40"/>
      <c r="AM164" s="41"/>
      <c r="AN164" s="3"/>
      <c r="AO164" s="3"/>
      <c r="AP164" s="40"/>
      <c r="AQ164" s="40"/>
      <c r="AR164" s="40"/>
      <c r="AS164" s="40"/>
      <c r="AT164" s="41"/>
    </row>
    <row r="165" spans="1:46" ht="13" hidden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40"/>
      <c r="T165" s="40"/>
      <c r="U165" s="40"/>
      <c r="V165" s="40"/>
      <c r="W165" s="41"/>
      <c r="X165" s="41"/>
      <c r="Y165" s="41"/>
      <c r="Z165" s="3"/>
      <c r="AA165" s="3"/>
      <c r="AB165" s="40"/>
      <c r="AC165" s="40"/>
      <c r="AD165" s="40"/>
      <c r="AE165" s="40"/>
      <c r="AF165" s="41"/>
      <c r="AG165" s="3"/>
      <c r="AH165" s="3"/>
      <c r="AI165" s="40"/>
      <c r="AJ165" s="40"/>
      <c r="AK165" s="40"/>
      <c r="AL165" s="40"/>
      <c r="AM165" s="41"/>
      <c r="AN165" s="3"/>
      <c r="AO165" s="3"/>
      <c r="AP165" s="40"/>
      <c r="AQ165" s="40"/>
      <c r="AR165" s="40"/>
      <c r="AS165" s="40"/>
      <c r="AT165" s="41"/>
    </row>
    <row r="166" spans="1:46" ht="13" hidden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40"/>
      <c r="T166" s="40"/>
      <c r="U166" s="40"/>
      <c r="V166" s="40"/>
      <c r="W166" s="41"/>
      <c r="X166" s="41"/>
      <c r="Y166" s="41"/>
      <c r="Z166" s="3"/>
      <c r="AA166" s="3"/>
      <c r="AB166" s="40"/>
      <c r="AC166" s="40"/>
      <c r="AD166" s="40"/>
      <c r="AE166" s="40"/>
      <c r="AF166" s="41"/>
      <c r="AG166" s="3"/>
      <c r="AH166" s="3"/>
      <c r="AI166" s="40"/>
      <c r="AJ166" s="40"/>
      <c r="AK166" s="40"/>
      <c r="AL166" s="40"/>
      <c r="AM166" s="41"/>
      <c r="AN166" s="3"/>
      <c r="AO166" s="3"/>
      <c r="AP166" s="40"/>
      <c r="AQ166" s="40"/>
      <c r="AR166" s="40"/>
      <c r="AS166" s="40"/>
      <c r="AT166" s="41"/>
    </row>
    <row r="167" spans="1:46" ht="13" hidden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40"/>
      <c r="T167" s="40"/>
      <c r="U167" s="40"/>
      <c r="V167" s="40"/>
      <c r="W167" s="41"/>
      <c r="X167" s="41"/>
      <c r="Y167" s="41"/>
      <c r="Z167" s="3"/>
      <c r="AA167" s="3"/>
      <c r="AB167" s="40"/>
      <c r="AC167" s="40"/>
      <c r="AD167" s="40"/>
      <c r="AE167" s="40"/>
      <c r="AF167" s="41"/>
      <c r="AG167" s="3"/>
      <c r="AH167" s="3"/>
      <c r="AI167" s="40"/>
      <c r="AJ167" s="40"/>
      <c r="AK167" s="40"/>
      <c r="AL167" s="40"/>
      <c r="AM167" s="41"/>
      <c r="AN167" s="3"/>
      <c r="AO167" s="3"/>
      <c r="AP167" s="40"/>
      <c r="AQ167" s="40"/>
      <c r="AR167" s="40"/>
      <c r="AS167" s="40"/>
      <c r="AT167" s="41"/>
    </row>
    <row r="168" spans="1:46" ht="13" hidden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40"/>
      <c r="T168" s="40"/>
      <c r="U168" s="40"/>
      <c r="V168" s="40"/>
      <c r="W168" s="41"/>
      <c r="X168" s="41"/>
      <c r="Y168" s="41"/>
      <c r="Z168" s="3"/>
      <c r="AA168" s="3"/>
      <c r="AB168" s="40"/>
      <c r="AC168" s="40"/>
      <c r="AD168" s="40"/>
      <c r="AE168" s="40"/>
      <c r="AF168" s="41"/>
      <c r="AG168" s="3"/>
      <c r="AH168" s="3"/>
      <c r="AI168" s="40"/>
      <c r="AJ168" s="40"/>
      <c r="AK168" s="40"/>
      <c r="AL168" s="40"/>
      <c r="AM168" s="41"/>
      <c r="AN168" s="3"/>
      <c r="AO168" s="3"/>
      <c r="AP168" s="40"/>
      <c r="AQ168" s="40"/>
      <c r="AR168" s="40"/>
      <c r="AS168" s="40"/>
      <c r="AT168" s="41"/>
    </row>
    <row r="169" spans="1:46" ht="13" hidden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40"/>
      <c r="T169" s="40"/>
      <c r="U169" s="40"/>
      <c r="V169" s="40"/>
      <c r="W169" s="41"/>
      <c r="X169" s="41"/>
      <c r="Y169" s="41"/>
      <c r="Z169" s="3"/>
      <c r="AA169" s="3"/>
      <c r="AB169" s="40"/>
      <c r="AC169" s="40"/>
      <c r="AD169" s="40"/>
      <c r="AE169" s="40"/>
      <c r="AF169" s="41"/>
      <c r="AG169" s="3"/>
      <c r="AH169" s="3"/>
      <c r="AI169" s="40"/>
      <c r="AJ169" s="40"/>
      <c r="AK169" s="40"/>
      <c r="AL169" s="40"/>
      <c r="AM169" s="41"/>
      <c r="AN169" s="3"/>
      <c r="AO169" s="3"/>
      <c r="AP169" s="40"/>
      <c r="AQ169" s="40"/>
      <c r="AR169" s="40"/>
      <c r="AS169" s="40"/>
      <c r="AT169" s="41"/>
    </row>
    <row r="170" spans="1:46" ht="13" hidden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40"/>
      <c r="T170" s="40"/>
      <c r="U170" s="40"/>
      <c r="V170" s="40"/>
      <c r="W170" s="41"/>
      <c r="X170" s="41"/>
      <c r="Y170" s="41"/>
      <c r="Z170" s="3"/>
      <c r="AA170" s="3"/>
      <c r="AB170" s="40"/>
      <c r="AC170" s="40"/>
      <c r="AD170" s="40"/>
      <c r="AE170" s="40"/>
      <c r="AF170" s="41"/>
      <c r="AG170" s="3"/>
      <c r="AH170" s="3"/>
      <c r="AI170" s="40"/>
      <c r="AJ170" s="40"/>
      <c r="AK170" s="40"/>
      <c r="AL170" s="40"/>
      <c r="AM170" s="41"/>
      <c r="AN170" s="3"/>
      <c r="AO170" s="3"/>
      <c r="AP170" s="40"/>
      <c r="AQ170" s="40"/>
      <c r="AR170" s="40"/>
      <c r="AS170" s="40"/>
      <c r="AT170" s="41"/>
    </row>
    <row r="171" spans="1:46" ht="13" hidden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40"/>
      <c r="T171" s="40"/>
      <c r="U171" s="40"/>
      <c r="V171" s="40"/>
      <c r="W171" s="41"/>
      <c r="X171" s="41"/>
      <c r="Y171" s="41"/>
      <c r="Z171" s="3"/>
      <c r="AA171" s="3"/>
      <c r="AB171" s="40"/>
      <c r="AC171" s="40"/>
      <c r="AD171" s="40"/>
      <c r="AE171" s="40"/>
      <c r="AF171" s="41"/>
      <c r="AG171" s="3"/>
      <c r="AH171" s="3"/>
      <c r="AI171" s="40"/>
      <c r="AJ171" s="40"/>
      <c r="AK171" s="40"/>
      <c r="AL171" s="40"/>
      <c r="AM171" s="41"/>
      <c r="AN171" s="3"/>
      <c r="AO171" s="3"/>
      <c r="AP171" s="40"/>
      <c r="AQ171" s="40"/>
      <c r="AR171" s="40"/>
      <c r="AS171" s="40"/>
      <c r="AT171" s="41"/>
    </row>
    <row r="172" spans="1:46" ht="13" hidden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40"/>
      <c r="T172" s="40"/>
      <c r="U172" s="40"/>
      <c r="V172" s="40"/>
      <c r="W172" s="41"/>
      <c r="X172" s="41"/>
      <c r="Y172" s="41"/>
      <c r="Z172" s="3"/>
      <c r="AA172" s="3"/>
      <c r="AB172" s="40"/>
      <c r="AC172" s="40"/>
      <c r="AD172" s="40"/>
      <c r="AE172" s="40"/>
      <c r="AF172" s="41"/>
      <c r="AG172" s="3"/>
      <c r="AH172" s="3"/>
      <c r="AI172" s="40"/>
      <c r="AJ172" s="40"/>
      <c r="AK172" s="40"/>
      <c r="AL172" s="40"/>
      <c r="AM172" s="41"/>
      <c r="AN172" s="3"/>
      <c r="AO172" s="3"/>
      <c r="AP172" s="40"/>
      <c r="AQ172" s="40"/>
      <c r="AR172" s="40"/>
      <c r="AS172" s="40"/>
      <c r="AT172" s="41"/>
    </row>
    <row r="173" spans="1:46" ht="13" hidden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40"/>
      <c r="T173" s="40"/>
      <c r="U173" s="40"/>
      <c r="V173" s="40"/>
      <c r="W173" s="41"/>
      <c r="X173" s="41"/>
      <c r="Y173" s="41"/>
      <c r="Z173" s="3"/>
      <c r="AA173" s="3"/>
      <c r="AB173" s="40"/>
      <c r="AC173" s="40"/>
      <c r="AD173" s="40"/>
      <c r="AE173" s="40"/>
      <c r="AF173" s="41"/>
      <c r="AG173" s="3"/>
      <c r="AH173" s="3"/>
      <c r="AI173" s="40"/>
      <c r="AJ173" s="40"/>
      <c r="AK173" s="40"/>
      <c r="AL173" s="40"/>
      <c r="AM173" s="41"/>
      <c r="AN173" s="3"/>
      <c r="AO173" s="3"/>
      <c r="AP173" s="40"/>
      <c r="AQ173" s="40"/>
      <c r="AR173" s="40"/>
      <c r="AS173" s="40"/>
      <c r="AT173" s="41"/>
    </row>
    <row r="174" spans="1:46" ht="13" hidden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40"/>
      <c r="T174" s="40"/>
      <c r="U174" s="40"/>
      <c r="V174" s="40"/>
      <c r="W174" s="41"/>
      <c r="X174" s="41"/>
      <c r="Y174" s="41"/>
      <c r="Z174" s="3"/>
      <c r="AA174" s="3"/>
      <c r="AB174" s="40"/>
      <c r="AC174" s="40"/>
      <c r="AD174" s="40"/>
      <c r="AE174" s="40"/>
      <c r="AF174" s="41"/>
      <c r="AG174" s="3"/>
      <c r="AH174" s="3"/>
      <c r="AI174" s="40"/>
      <c r="AJ174" s="40"/>
      <c r="AK174" s="40"/>
      <c r="AL174" s="40"/>
      <c r="AM174" s="41"/>
      <c r="AN174" s="3"/>
      <c r="AO174" s="3"/>
      <c r="AP174" s="40"/>
      <c r="AQ174" s="40"/>
      <c r="AR174" s="40"/>
      <c r="AS174" s="40"/>
      <c r="AT174" s="41"/>
    </row>
    <row r="175" spans="1:46" ht="13" hidden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40"/>
      <c r="T175" s="40"/>
      <c r="U175" s="40"/>
      <c r="V175" s="40"/>
      <c r="W175" s="41"/>
      <c r="X175" s="41"/>
      <c r="Y175" s="41"/>
      <c r="Z175" s="3"/>
      <c r="AA175" s="3"/>
      <c r="AB175" s="40"/>
      <c r="AC175" s="40"/>
      <c r="AD175" s="40"/>
      <c r="AE175" s="40"/>
      <c r="AF175" s="41"/>
      <c r="AG175" s="3"/>
      <c r="AH175" s="3"/>
      <c r="AI175" s="40"/>
      <c r="AJ175" s="40"/>
      <c r="AK175" s="40"/>
      <c r="AL175" s="40"/>
      <c r="AM175" s="41"/>
      <c r="AN175" s="3"/>
      <c r="AO175" s="3"/>
      <c r="AP175" s="40"/>
      <c r="AQ175" s="40"/>
      <c r="AR175" s="40"/>
      <c r="AS175" s="40"/>
      <c r="AT175" s="41"/>
    </row>
    <row r="176" spans="1:46" ht="13" hidden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40"/>
      <c r="T176" s="40"/>
      <c r="U176" s="40"/>
      <c r="V176" s="40"/>
      <c r="W176" s="41"/>
      <c r="X176" s="41"/>
      <c r="Y176" s="41"/>
      <c r="Z176" s="3"/>
      <c r="AA176" s="3"/>
      <c r="AB176" s="40"/>
      <c r="AC176" s="40"/>
      <c r="AD176" s="40"/>
      <c r="AE176" s="40"/>
      <c r="AF176" s="41"/>
      <c r="AG176" s="3"/>
      <c r="AH176" s="3"/>
      <c r="AI176" s="40"/>
      <c r="AJ176" s="40"/>
      <c r="AK176" s="40"/>
      <c r="AL176" s="40"/>
      <c r="AM176" s="41"/>
      <c r="AN176" s="3"/>
      <c r="AO176" s="3"/>
      <c r="AP176" s="40"/>
      <c r="AQ176" s="40"/>
      <c r="AR176" s="40"/>
      <c r="AS176" s="40"/>
      <c r="AT176" s="41"/>
    </row>
    <row r="177" spans="1:46" ht="13" hidden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40"/>
      <c r="T177" s="40"/>
      <c r="U177" s="40"/>
      <c r="V177" s="40"/>
      <c r="W177" s="41"/>
      <c r="X177" s="41"/>
      <c r="Y177" s="41"/>
      <c r="Z177" s="3"/>
      <c r="AA177" s="3"/>
      <c r="AB177" s="40"/>
      <c r="AC177" s="40"/>
      <c r="AD177" s="40"/>
      <c r="AE177" s="40"/>
      <c r="AF177" s="41"/>
      <c r="AG177" s="3"/>
      <c r="AH177" s="3"/>
      <c r="AI177" s="40"/>
      <c r="AJ177" s="40"/>
      <c r="AK177" s="40"/>
      <c r="AL177" s="40"/>
      <c r="AM177" s="41"/>
      <c r="AN177" s="3"/>
      <c r="AO177" s="3"/>
      <c r="AP177" s="40"/>
      <c r="AQ177" s="40"/>
      <c r="AR177" s="40"/>
      <c r="AS177" s="40"/>
      <c r="AT177" s="41"/>
    </row>
    <row r="178" spans="1:46" ht="13" hidden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40"/>
      <c r="T178" s="40"/>
      <c r="U178" s="40"/>
      <c r="V178" s="40"/>
      <c r="W178" s="41"/>
      <c r="X178" s="41"/>
      <c r="Y178" s="41"/>
      <c r="Z178" s="3"/>
      <c r="AA178" s="3"/>
      <c r="AB178" s="40"/>
      <c r="AC178" s="40"/>
      <c r="AD178" s="40"/>
      <c r="AE178" s="40"/>
      <c r="AF178" s="41"/>
      <c r="AG178" s="3"/>
      <c r="AH178" s="3"/>
      <c r="AI178" s="40"/>
      <c r="AJ178" s="40"/>
      <c r="AK178" s="40"/>
      <c r="AL178" s="40"/>
      <c r="AM178" s="41"/>
      <c r="AN178" s="3"/>
      <c r="AO178" s="3"/>
      <c r="AP178" s="40"/>
      <c r="AQ178" s="40"/>
      <c r="AR178" s="40"/>
      <c r="AS178" s="40"/>
      <c r="AT178" s="41"/>
    </row>
    <row r="179" spans="1:46" ht="13" hidden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40"/>
      <c r="T179" s="40"/>
      <c r="U179" s="40"/>
      <c r="V179" s="40"/>
      <c r="W179" s="41"/>
      <c r="X179" s="41"/>
      <c r="Y179" s="41"/>
      <c r="Z179" s="3"/>
      <c r="AA179" s="3"/>
      <c r="AB179" s="40"/>
      <c r="AC179" s="40"/>
      <c r="AD179" s="40"/>
      <c r="AE179" s="40"/>
      <c r="AF179" s="41"/>
      <c r="AG179" s="3"/>
      <c r="AH179" s="3"/>
      <c r="AI179" s="40"/>
      <c r="AJ179" s="40"/>
      <c r="AK179" s="40"/>
      <c r="AL179" s="40"/>
      <c r="AM179" s="41"/>
      <c r="AN179" s="3"/>
      <c r="AO179" s="3"/>
      <c r="AP179" s="40"/>
      <c r="AQ179" s="40"/>
      <c r="AR179" s="40"/>
      <c r="AS179" s="40"/>
      <c r="AT179" s="41"/>
    </row>
    <row r="180" spans="1:46" ht="13" hidden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40"/>
      <c r="T180" s="40"/>
      <c r="U180" s="40"/>
      <c r="V180" s="40"/>
      <c r="W180" s="41"/>
      <c r="X180" s="41"/>
      <c r="Y180" s="41"/>
      <c r="Z180" s="3"/>
      <c r="AA180" s="3"/>
      <c r="AB180" s="40"/>
      <c r="AC180" s="40"/>
      <c r="AD180" s="40"/>
      <c r="AE180" s="40"/>
      <c r="AF180" s="41"/>
      <c r="AG180" s="3"/>
      <c r="AH180" s="3"/>
      <c r="AI180" s="40"/>
      <c r="AJ180" s="40"/>
      <c r="AK180" s="40"/>
      <c r="AL180" s="40"/>
      <c r="AM180" s="41"/>
      <c r="AN180" s="3"/>
      <c r="AO180" s="3"/>
      <c r="AP180" s="40"/>
      <c r="AQ180" s="40"/>
      <c r="AR180" s="40"/>
      <c r="AS180" s="40"/>
      <c r="AT180" s="41"/>
    </row>
    <row r="181" spans="1:46" ht="13" hidden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40"/>
      <c r="T181" s="40"/>
      <c r="U181" s="40"/>
      <c r="V181" s="40"/>
      <c r="W181" s="41"/>
      <c r="X181" s="41"/>
      <c r="Y181" s="41"/>
      <c r="Z181" s="3"/>
      <c r="AA181" s="3"/>
      <c r="AB181" s="40"/>
      <c r="AC181" s="40"/>
      <c r="AD181" s="40"/>
      <c r="AE181" s="40"/>
      <c r="AF181" s="41"/>
      <c r="AG181" s="3"/>
      <c r="AH181" s="3"/>
      <c r="AI181" s="40"/>
      <c r="AJ181" s="40"/>
      <c r="AK181" s="40"/>
      <c r="AL181" s="40"/>
      <c r="AM181" s="41"/>
      <c r="AN181" s="3"/>
      <c r="AO181" s="3"/>
      <c r="AP181" s="40"/>
      <c r="AQ181" s="40"/>
      <c r="AR181" s="40"/>
      <c r="AS181" s="40"/>
      <c r="AT181" s="41"/>
    </row>
    <row r="182" spans="1:46" ht="13" hidden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40"/>
      <c r="T182" s="40"/>
      <c r="U182" s="40"/>
      <c r="V182" s="40"/>
      <c r="W182" s="41"/>
      <c r="X182" s="41"/>
      <c r="Y182" s="41"/>
      <c r="Z182" s="3"/>
      <c r="AA182" s="3"/>
      <c r="AB182" s="40"/>
      <c r="AC182" s="40"/>
      <c r="AD182" s="40"/>
      <c r="AE182" s="40"/>
      <c r="AF182" s="41"/>
      <c r="AG182" s="3"/>
      <c r="AH182" s="3"/>
      <c r="AI182" s="40"/>
      <c r="AJ182" s="40"/>
      <c r="AK182" s="40"/>
      <c r="AL182" s="40"/>
      <c r="AM182" s="41"/>
      <c r="AN182" s="3"/>
      <c r="AO182" s="3"/>
      <c r="AP182" s="40"/>
      <c r="AQ182" s="40"/>
      <c r="AR182" s="40"/>
      <c r="AS182" s="40"/>
      <c r="AT182" s="41"/>
    </row>
    <row r="183" spans="1:46" ht="13" hidden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40"/>
      <c r="T183" s="40"/>
      <c r="U183" s="40"/>
      <c r="V183" s="40"/>
      <c r="W183" s="41"/>
      <c r="X183" s="41"/>
      <c r="Y183" s="41"/>
      <c r="Z183" s="3"/>
      <c r="AA183" s="3"/>
      <c r="AB183" s="40"/>
      <c r="AC183" s="40"/>
      <c r="AD183" s="40"/>
      <c r="AE183" s="40"/>
      <c r="AF183" s="41"/>
      <c r="AG183" s="3"/>
      <c r="AH183" s="3"/>
      <c r="AI183" s="40"/>
      <c r="AJ183" s="40"/>
      <c r="AK183" s="40"/>
      <c r="AL183" s="40"/>
      <c r="AM183" s="41"/>
      <c r="AN183" s="3"/>
      <c r="AO183" s="3"/>
      <c r="AP183" s="40"/>
      <c r="AQ183" s="40"/>
      <c r="AR183" s="40"/>
      <c r="AS183" s="40"/>
      <c r="AT183" s="41"/>
    </row>
    <row r="184" spans="1:46" ht="13" hidden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40"/>
      <c r="T184" s="40"/>
      <c r="U184" s="40"/>
      <c r="V184" s="40"/>
      <c r="W184" s="41"/>
      <c r="X184" s="41"/>
      <c r="Y184" s="41"/>
      <c r="Z184" s="3"/>
      <c r="AA184" s="3"/>
      <c r="AB184" s="40"/>
      <c r="AC184" s="40"/>
      <c r="AD184" s="40"/>
      <c r="AE184" s="40"/>
      <c r="AF184" s="41"/>
      <c r="AG184" s="3"/>
      <c r="AH184" s="3"/>
      <c r="AI184" s="40"/>
      <c r="AJ184" s="40"/>
      <c r="AK184" s="40"/>
      <c r="AL184" s="40"/>
      <c r="AM184" s="41"/>
      <c r="AN184" s="3"/>
      <c r="AO184" s="3"/>
      <c r="AP184" s="40"/>
      <c r="AQ184" s="40"/>
      <c r="AR184" s="40"/>
      <c r="AS184" s="40"/>
      <c r="AT184" s="41"/>
    </row>
    <row r="185" spans="1:46" ht="13" hidden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40"/>
      <c r="T185" s="40"/>
      <c r="U185" s="40"/>
      <c r="V185" s="40"/>
      <c r="W185" s="41"/>
      <c r="X185" s="41"/>
      <c r="Y185" s="41"/>
      <c r="Z185" s="3"/>
      <c r="AA185" s="3"/>
      <c r="AB185" s="40"/>
      <c r="AC185" s="40"/>
      <c r="AD185" s="40"/>
      <c r="AE185" s="40"/>
      <c r="AF185" s="41"/>
      <c r="AG185" s="3"/>
      <c r="AH185" s="3"/>
      <c r="AI185" s="40"/>
      <c r="AJ185" s="40"/>
      <c r="AK185" s="40"/>
      <c r="AL185" s="40"/>
      <c r="AM185" s="41"/>
      <c r="AN185" s="3"/>
      <c r="AO185" s="3"/>
      <c r="AP185" s="40"/>
      <c r="AQ185" s="40"/>
      <c r="AR185" s="40"/>
      <c r="AS185" s="40"/>
      <c r="AT185" s="41"/>
    </row>
    <row r="186" spans="1:46" ht="13" hidden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40"/>
      <c r="T186" s="40"/>
      <c r="U186" s="40"/>
      <c r="V186" s="40"/>
      <c r="W186" s="41"/>
      <c r="X186" s="41"/>
      <c r="Y186" s="41"/>
      <c r="Z186" s="3"/>
      <c r="AA186" s="3"/>
      <c r="AB186" s="40"/>
      <c r="AC186" s="40"/>
      <c r="AD186" s="40"/>
      <c r="AE186" s="40"/>
      <c r="AF186" s="41"/>
      <c r="AG186" s="3"/>
      <c r="AH186" s="3"/>
      <c r="AI186" s="40"/>
      <c r="AJ186" s="40"/>
      <c r="AK186" s="40"/>
      <c r="AL186" s="40"/>
      <c r="AM186" s="41"/>
      <c r="AN186" s="3"/>
      <c r="AO186" s="3"/>
      <c r="AP186" s="40"/>
      <c r="AQ186" s="40"/>
      <c r="AR186" s="40"/>
      <c r="AS186" s="40"/>
      <c r="AT186" s="41"/>
    </row>
    <row r="187" spans="1:46" ht="13" hidden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40"/>
      <c r="T187" s="40"/>
      <c r="U187" s="40"/>
      <c r="V187" s="40"/>
      <c r="W187" s="41"/>
      <c r="X187" s="41"/>
      <c r="Y187" s="41"/>
      <c r="Z187" s="3"/>
      <c r="AA187" s="3"/>
      <c r="AB187" s="40"/>
      <c r="AC187" s="40"/>
      <c r="AD187" s="40"/>
      <c r="AE187" s="40"/>
      <c r="AF187" s="41"/>
      <c r="AG187" s="3"/>
      <c r="AH187" s="3"/>
      <c r="AI187" s="40"/>
      <c r="AJ187" s="40"/>
      <c r="AK187" s="40"/>
      <c r="AL187" s="40"/>
      <c r="AM187" s="41"/>
      <c r="AN187" s="3"/>
      <c r="AO187" s="3"/>
      <c r="AP187" s="40"/>
      <c r="AQ187" s="40"/>
      <c r="AR187" s="40"/>
      <c r="AS187" s="40"/>
      <c r="AT187" s="41"/>
    </row>
    <row r="188" spans="1:46" ht="13" hidden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40"/>
      <c r="T188" s="40"/>
      <c r="U188" s="40"/>
      <c r="V188" s="40"/>
      <c r="W188" s="41"/>
      <c r="X188" s="41"/>
      <c r="Y188" s="41"/>
      <c r="Z188" s="3"/>
      <c r="AA188" s="3"/>
      <c r="AB188" s="40"/>
      <c r="AC188" s="40"/>
      <c r="AD188" s="40"/>
      <c r="AE188" s="40"/>
      <c r="AF188" s="41"/>
      <c r="AG188" s="3"/>
      <c r="AH188" s="3"/>
      <c r="AI188" s="40"/>
      <c r="AJ188" s="40"/>
      <c r="AK188" s="40"/>
      <c r="AL188" s="40"/>
      <c r="AM188" s="41"/>
      <c r="AN188" s="3"/>
      <c r="AO188" s="3"/>
      <c r="AP188" s="40"/>
      <c r="AQ188" s="40"/>
      <c r="AR188" s="40"/>
      <c r="AS188" s="40"/>
      <c r="AT188" s="41"/>
    </row>
    <row r="189" spans="1:46" ht="13" hidden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40"/>
      <c r="T189" s="40"/>
      <c r="U189" s="40"/>
      <c r="V189" s="40"/>
      <c r="W189" s="41"/>
      <c r="X189" s="41"/>
      <c r="Y189" s="41"/>
      <c r="Z189" s="3"/>
      <c r="AA189" s="3"/>
      <c r="AB189" s="40"/>
      <c r="AC189" s="40"/>
      <c r="AD189" s="40"/>
      <c r="AE189" s="40"/>
      <c r="AF189" s="41"/>
      <c r="AG189" s="3"/>
      <c r="AH189" s="3"/>
      <c r="AI189" s="40"/>
      <c r="AJ189" s="40"/>
      <c r="AK189" s="40"/>
      <c r="AL189" s="40"/>
      <c r="AM189" s="41"/>
      <c r="AN189" s="3"/>
      <c r="AO189" s="3"/>
      <c r="AP189" s="40"/>
      <c r="AQ189" s="40"/>
      <c r="AR189" s="40"/>
      <c r="AS189" s="40"/>
      <c r="AT189" s="41"/>
    </row>
    <row r="190" spans="1:46" ht="13" hidden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40"/>
      <c r="T190" s="40"/>
      <c r="U190" s="40"/>
      <c r="V190" s="40"/>
      <c r="W190" s="41"/>
      <c r="X190" s="41"/>
      <c r="Y190" s="41"/>
      <c r="Z190" s="3"/>
      <c r="AA190" s="3"/>
      <c r="AB190" s="40"/>
      <c r="AC190" s="40"/>
      <c r="AD190" s="40"/>
      <c r="AE190" s="40"/>
      <c r="AF190" s="41"/>
      <c r="AG190" s="3"/>
      <c r="AH190" s="3"/>
      <c r="AI190" s="40"/>
      <c r="AJ190" s="40"/>
      <c r="AK190" s="40"/>
      <c r="AL190" s="40"/>
      <c r="AM190" s="41"/>
      <c r="AN190" s="3"/>
      <c r="AO190" s="3"/>
      <c r="AP190" s="40"/>
      <c r="AQ190" s="40"/>
      <c r="AR190" s="40"/>
      <c r="AS190" s="40"/>
      <c r="AT190" s="41"/>
    </row>
    <row r="191" spans="1:46" ht="13" hidden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40"/>
      <c r="T191" s="40"/>
      <c r="U191" s="40"/>
      <c r="V191" s="40"/>
      <c r="W191" s="41"/>
      <c r="X191" s="41"/>
      <c r="Y191" s="41"/>
      <c r="Z191" s="3"/>
      <c r="AA191" s="3"/>
      <c r="AB191" s="40"/>
      <c r="AC191" s="40"/>
      <c r="AD191" s="40"/>
      <c r="AE191" s="40"/>
      <c r="AF191" s="41"/>
      <c r="AG191" s="3"/>
      <c r="AH191" s="3"/>
      <c r="AI191" s="40"/>
      <c r="AJ191" s="40"/>
      <c r="AK191" s="40"/>
      <c r="AL191" s="40"/>
      <c r="AM191" s="41"/>
      <c r="AN191" s="3"/>
      <c r="AO191" s="3"/>
      <c r="AP191" s="40"/>
      <c r="AQ191" s="40"/>
      <c r="AR191" s="40"/>
      <c r="AS191" s="40"/>
      <c r="AT191" s="41"/>
    </row>
    <row r="192" spans="1:46" ht="13" hidden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40"/>
      <c r="T192" s="40"/>
      <c r="U192" s="40"/>
      <c r="V192" s="40"/>
      <c r="W192" s="41"/>
      <c r="X192" s="41"/>
      <c r="Y192" s="41"/>
      <c r="Z192" s="3"/>
      <c r="AA192" s="3"/>
      <c r="AB192" s="40"/>
      <c r="AC192" s="40"/>
      <c r="AD192" s="40"/>
      <c r="AE192" s="40"/>
      <c r="AF192" s="41"/>
      <c r="AG192" s="3"/>
      <c r="AH192" s="3"/>
      <c r="AI192" s="40"/>
      <c r="AJ192" s="40"/>
      <c r="AK192" s="40"/>
      <c r="AL192" s="40"/>
      <c r="AM192" s="41"/>
      <c r="AN192" s="3"/>
      <c r="AO192" s="3"/>
      <c r="AP192" s="40"/>
      <c r="AQ192" s="40"/>
      <c r="AR192" s="40"/>
      <c r="AS192" s="40"/>
      <c r="AT192" s="41"/>
    </row>
    <row r="193" spans="1:46" ht="13" hidden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40"/>
      <c r="T193" s="40"/>
      <c r="U193" s="40"/>
      <c r="V193" s="40"/>
      <c r="W193" s="41"/>
      <c r="X193" s="41"/>
      <c r="Y193" s="41"/>
      <c r="Z193" s="3"/>
      <c r="AA193" s="3"/>
      <c r="AB193" s="40"/>
      <c r="AC193" s="40"/>
      <c r="AD193" s="40"/>
      <c r="AE193" s="40"/>
      <c r="AF193" s="41"/>
      <c r="AG193" s="3"/>
      <c r="AH193" s="3"/>
      <c r="AI193" s="40"/>
      <c r="AJ193" s="40"/>
      <c r="AK193" s="40"/>
      <c r="AL193" s="40"/>
      <c r="AM193" s="41"/>
      <c r="AN193" s="3"/>
      <c r="AO193" s="3"/>
      <c r="AP193" s="40"/>
      <c r="AQ193" s="40"/>
      <c r="AR193" s="40"/>
      <c r="AS193" s="40"/>
      <c r="AT193" s="41"/>
    </row>
    <row r="194" spans="1:46" ht="13" hidden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40"/>
      <c r="T194" s="40"/>
      <c r="U194" s="40"/>
      <c r="V194" s="40"/>
      <c r="W194" s="41"/>
      <c r="X194" s="41"/>
      <c r="Y194" s="41"/>
      <c r="Z194" s="3"/>
      <c r="AA194" s="3"/>
      <c r="AB194" s="40"/>
      <c r="AC194" s="40"/>
      <c r="AD194" s="40"/>
      <c r="AE194" s="40"/>
      <c r="AF194" s="41"/>
      <c r="AG194" s="3"/>
      <c r="AH194" s="3"/>
      <c r="AI194" s="40"/>
      <c r="AJ194" s="40"/>
      <c r="AK194" s="40"/>
      <c r="AL194" s="40"/>
      <c r="AM194" s="41"/>
      <c r="AN194" s="3"/>
      <c r="AO194" s="3"/>
      <c r="AP194" s="40"/>
      <c r="AQ194" s="40"/>
      <c r="AR194" s="40"/>
      <c r="AS194" s="40"/>
      <c r="AT194" s="41"/>
    </row>
    <row r="195" spans="1:46" ht="13" hidden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40"/>
      <c r="T195" s="40"/>
      <c r="U195" s="40"/>
      <c r="V195" s="40"/>
      <c r="W195" s="41"/>
      <c r="X195" s="41"/>
      <c r="Y195" s="41"/>
      <c r="Z195" s="3"/>
      <c r="AA195" s="3"/>
      <c r="AB195" s="40"/>
      <c r="AC195" s="40"/>
      <c r="AD195" s="40"/>
      <c r="AE195" s="40"/>
      <c r="AF195" s="41"/>
      <c r="AG195" s="3"/>
      <c r="AH195" s="3"/>
      <c r="AI195" s="40"/>
      <c r="AJ195" s="40"/>
      <c r="AK195" s="40"/>
      <c r="AL195" s="40"/>
      <c r="AM195" s="41"/>
      <c r="AN195" s="3"/>
      <c r="AO195" s="3"/>
      <c r="AP195" s="40"/>
      <c r="AQ195" s="40"/>
      <c r="AR195" s="40"/>
      <c r="AS195" s="40"/>
      <c r="AT195" s="41"/>
    </row>
    <row r="196" spans="1:46" ht="13" hidden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40"/>
      <c r="T196" s="40"/>
      <c r="U196" s="40"/>
      <c r="V196" s="40"/>
      <c r="W196" s="41"/>
      <c r="X196" s="41"/>
      <c r="Y196" s="41"/>
      <c r="Z196" s="3"/>
      <c r="AA196" s="3"/>
      <c r="AB196" s="40"/>
      <c r="AC196" s="40"/>
      <c r="AD196" s="40"/>
      <c r="AE196" s="40"/>
      <c r="AF196" s="41"/>
      <c r="AG196" s="3"/>
      <c r="AH196" s="3"/>
      <c r="AI196" s="40"/>
      <c r="AJ196" s="40"/>
      <c r="AK196" s="40"/>
      <c r="AL196" s="40"/>
      <c r="AM196" s="41"/>
      <c r="AN196" s="3"/>
      <c r="AO196" s="3"/>
      <c r="AP196" s="40"/>
      <c r="AQ196" s="40"/>
      <c r="AR196" s="40"/>
      <c r="AS196" s="40"/>
      <c r="AT196" s="41"/>
    </row>
    <row r="197" spans="1:46" ht="13" hidden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40"/>
      <c r="T197" s="40"/>
      <c r="U197" s="40"/>
      <c r="V197" s="40"/>
      <c r="W197" s="41"/>
      <c r="X197" s="41"/>
      <c r="Y197" s="41"/>
      <c r="Z197" s="3"/>
      <c r="AA197" s="3"/>
      <c r="AB197" s="40"/>
      <c r="AC197" s="40"/>
      <c r="AD197" s="40"/>
      <c r="AE197" s="40"/>
      <c r="AF197" s="41"/>
      <c r="AG197" s="3"/>
      <c r="AH197" s="3"/>
      <c r="AI197" s="40"/>
      <c r="AJ197" s="40"/>
      <c r="AK197" s="40"/>
      <c r="AL197" s="40"/>
      <c r="AM197" s="41"/>
      <c r="AN197" s="3"/>
      <c r="AO197" s="3"/>
      <c r="AP197" s="40"/>
      <c r="AQ197" s="40"/>
      <c r="AR197" s="40"/>
      <c r="AS197" s="40"/>
      <c r="AT197" s="41"/>
    </row>
    <row r="198" spans="1:46" ht="13" hidden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40"/>
      <c r="T198" s="40"/>
      <c r="U198" s="40"/>
      <c r="V198" s="40"/>
      <c r="W198" s="41"/>
      <c r="X198" s="41"/>
      <c r="Y198" s="41"/>
      <c r="Z198" s="3"/>
      <c r="AA198" s="3"/>
      <c r="AB198" s="40"/>
      <c r="AC198" s="40"/>
      <c r="AD198" s="40"/>
      <c r="AE198" s="40"/>
      <c r="AF198" s="41"/>
      <c r="AG198" s="3"/>
      <c r="AH198" s="3"/>
      <c r="AI198" s="40"/>
      <c r="AJ198" s="40"/>
      <c r="AK198" s="40"/>
      <c r="AL198" s="40"/>
      <c r="AM198" s="41"/>
      <c r="AN198" s="3"/>
      <c r="AO198" s="3"/>
      <c r="AP198" s="40"/>
      <c r="AQ198" s="40"/>
      <c r="AR198" s="40"/>
      <c r="AS198" s="40"/>
      <c r="AT198" s="41"/>
    </row>
    <row r="199" spans="1:46" ht="13" hidden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40"/>
      <c r="T199" s="40"/>
      <c r="U199" s="40"/>
      <c r="V199" s="40"/>
      <c r="W199" s="41"/>
      <c r="X199" s="41"/>
      <c r="Y199" s="41"/>
      <c r="Z199" s="3"/>
      <c r="AA199" s="3"/>
      <c r="AB199" s="40"/>
      <c r="AC199" s="40"/>
      <c r="AD199" s="40"/>
      <c r="AE199" s="40"/>
      <c r="AF199" s="41"/>
      <c r="AG199" s="3"/>
      <c r="AH199" s="3"/>
      <c r="AI199" s="40"/>
      <c r="AJ199" s="40"/>
      <c r="AK199" s="40"/>
      <c r="AL199" s="40"/>
      <c r="AM199" s="41"/>
      <c r="AN199" s="3"/>
      <c r="AO199" s="3"/>
      <c r="AP199" s="40"/>
      <c r="AQ199" s="40"/>
      <c r="AR199" s="40"/>
      <c r="AS199" s="40"/>
      <c r="AT199" s="41"/>
    </row>
    <row r="200" spans="1:46" ht="13" hidden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40"/>
      <c r="T200" s="40"/>
      <c r="U200" s="40"/>
      <c r="V200" s="40"/>
      <c r="W200" s="41"/>
      <c r="X200" s="41"/>
      <c r="Y200" s="41"/>
      <c r="Z200" s="3"/>
      <c r="AA200" s="3"/>
      <c r="AB200" s="40"/>
      <c r="AC200" s="40"/>
      <c r="AD200" s="40"/>
      <c r="AE200" s="40"/>
      <c r="AF200" s="41"/>
      <c r="AG200" s="3"/>
      <c r="AH200" s="3"/>
      <c r="AI200" s="40"/>
      <c r="AJ200" s="40"/>
      <c r="AK200" s="40"/>
      <c r="AL200" s="40"/>
      <c r="AM200" s="41"/>
      <c r="AN200" s="3"/>
      <c r="AO200" s="3"/>
      <c r="AP200" s="40"/>
      <c r="AQ200" s="40"/>
      <c r="AR200" s="40"/>
      <c r="AS200" s="40"/>
      <c r="AT200" s="41"/>
    </row>
    <row r="201" spans="1:46" ht="13" hidden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40"/>
      <c r="T201" s="40"/>
      <c r="U201" s="40"/>
      <c r="V201" s="40"/>
      <c r="W201" s="41"/>
      <c r="X201" s="41"/>
      <c r="Y201" s="41"/>
      <c r="Z201" s="3"/>
      <c r="AA201" s="3"/>
      <c r="AB201" s="40"/>
      <c r="AC201" s="40"/>
      <c r="AD201" s="40"/>
      <c r="AE201" s="40"/>
      <c r="AF201" s="41"/>
      <c r="AG201" s="3"/>
      <c r="AH201" s="3"/>
      <c r="AI201" s="40"/>
      <c r="AJ201" s="40"/>
      <c r="AK201" s="40"/>
      <c r="AL201" s="40"/>
      <c r="AM201" s="41"/>
      <c r="AN201" s="3"/>
      <c r="AO201" s="3"/>
      <c r="AP201" s="40"/>
      <c r="AQ201" s="40"/>
      <c r="AR201" s="40"/>
      <c r="AS201" s="40"/>
      <c r="AT201" s="41"/>
    </row>
    <row r="202" spans="1:46" ht="13" hidden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40"/>
      <c r="T202" s="40"/>
      <c r="U202" s="40"/>
      <c r="V202" s="40"/>
      <c r="W202" s="41"/>
      <c r="X202" s="41"/>
      <c r="Y202" s="41"/>
      <c r="Z202" s="3"/>
      <c r="AA202" s="3"/>
      <c r="AB202" s="40"/>
      <c r="AC202" s="40"/>
      <c r="AD202" s="40"/>
      <c r="AE202" s="40"/>
      <c r="AF202" s="41"/>
      <c r="AG202" s="3"/>
      <c r="AH202" s="3"/>
      <c r="AI202" s="40"/>
      <c r="AJ202" s="40"/>
      <c r="AK202" s="40"/>
      <c r="AL202" s="40"/>
      <c r="AM202" s="41"/>
      <c r="AN202" s="3"/>
      <c r="AO202" s="3"/>
      <c r="AP202" s="40"/>
      <c r="AQ202" s="40"/>
      <c r="AR202" s="40"/>
      <c r="AS202" s="40"/>
      <c r="AT202" s="41"/>
    </row>
    <row r="203" spans="1:46" ht="13" hidden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40"/>
      <c r="T203" s="40"/>
      <c r="U203" s="40"/>
      <c r="V203" s="40"/>
      <c r="W203" s="41"/>
      <c r="X203" s="41"/>
      <c r="Y203" s="41"/>
      <c r="Z203" s="3"/>
      <c r="AA203" s="3"/>
      <c r="AB203" s="40"/>
      <c r="AC203" s="40"/>
      <c r="AD203" s="40"/>
      <c r="AE203" s="40"/>
      <c r="AF203" s="41"/>
      <c r="AG203" s="3"/>
      <c r="AH203" s="3"/>
      <c r="AI203" s="40"/>
      <c r="AJ203" s="40"/>
      <c r="AK203" s="40"/>
      <c r="AL203" s="40"/>
      <c r="AM203" s="41"/>
      <c r="AN203" s="3"/>
      <c r="AO203" s="3"/>
      <c r="AP203" s="40"/>
      <c r="AQ203" s="40"/>
      <c r="AR203" s="40"/>
      <c r="AS203" s="40"/>
      <c r="AT203" s="41"/>
    </row>
    <row r="204" spans="1:46" ht="13" hidden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40"/>
      <c r="T204" s="40"/>
      <c r="U204" s="40"/>
      <c r="V204" s="40"/>
      <c r="W204" s="41"/>
      <c r="X204" s="41"/>
      <c r="Y204" s="41"/>
      <c r="Z204" s="3"/>
      <c r="AA204" s="3"/>
      <c r="AB204" s="40"/>
      <c r="AC204" s="40"/>
      <c r="AD204" s="40"/>
      <c r="AE204" s="40"/>
      <c r="AF204" s="41"/>
      <c r="AG204" s="3"/>
      <c r="AH204" s="3"/>
      <c r="AI204" s="40"/>
      <c r="AJ204" s="40"/>
      <c r="AK204" s="40"/>
      <c r="AL204" s="40"/>
      <c r="AM204" s="41"/>
      <c r="AN204" s="3"/>
      <c r="AO204" s="3"/>
      <c r="AP204" s="40"/>
      <c r="AQ204" s="40"/>
      <c r="AR204" s="40"/>
      <c r="AS204" s="40"/>
      <c r="AT204" s="41"/>
    </row>
    <row r="205" spans="1:46" ht="13" hidden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40"/>
      <c r="T205" s="40"/>
      <c r="U205" s="40"/>
      <c r="V205" s="40"/>
      <c r="W205" s="41"/>
      <c r="X205" s="41"/>
      <c r="Y205" s="41"/>
      <c r="Z205" s="3"/>
      <c r="AA205" s="3"/>
      <c r="AB205" s="40"/>
      <c r="AC205" s="40"/>
      <c r="AD205" s="40"/>
      <c r="AE205" s="40"/>
      <c r="AF205" s="41"/>
      <c r="AG205" s="3"/>
      <c r="AH205" s="3"/>
      <c r="AI205" s="40"/>
      <c r="AJ205" s="40"/>
      <c r="AK205" s="40"/>
      <c r="AL205" s="40"/>
      <c r="AM205" s="41"/>
      <c r="AN205" s="3"/>
      <c r="AO205" s="3"/>
      <c r="AP205" s="40"/>
      <c r="AQ205" s="40"/>
      <c r="AR205" s="40"/>
      <c r="AS205" s="40"/>
      <c r="AT205" s="41"/>
    </row>
    <row r="206" spans="1:46" ht="13" hidden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40"/>
      <c r="T206" s="40"/>
      <c r="U206" s="40"/>
      <c r="V206" s="40"/>
      <c r="W206" s="41"/>
      <c r="X206" s="41"/>
      <c r="Y206" s="41"/>
      <c r="Z206" s="3"/>
      <c r="AA206" s="3"/>
      <c r="AB206" s="40"/>
      <c r="AC206" s="40"/>
      <c r="AD206" s="40"/>
      <c r="AE206" s="40"/>
      <c r="AF206" s="41"/>
      <c r="AG206" s="3"/>
      <c r="AH206" s="3"/>
      <c r="AI206" s="40"/>
      <c r="AJ206" s="40"/>
      <c r="AK206" s="40"/>
      <c r="AL206" s="40"/>
      <c r="AM206" s="41"/>
      <c r="AN206" s="3"/>
      <c r="AO206" s="3"/>
      <c r="AP206" s="40"/>
      <c r="AQ206" s="40"/>
      <c r="AR206" s="40"/>
      <c r="AS206" s="40"/>
      <c r="AT206" s="41"/>
    </row>
    <row r="207" spans="1:46" ht="13" hidden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40"/>
      <c r="T207" s="40"/>
      <c r="U207" s="40"/>
      <c r="V207" s="40"/>
      <c r="W207" s="41"/>
      <c r="X207" s="41"/>
      <c r="Y207" s="41"/>
      <c r="Z207" s="3"/>
      <c r="AA207" s="3"/>
      <c r="AB207" s="40"/>
      <c r="AC207" s="40"/>
      <c r="AD207" s="40"/>
      <c r="AE207" s="40"/>
      <c r="AF207" s="41"/>
      <c r="AG207" s="3"/>
      <c r="AH207" s="3"/>
      <c r="AI207" s="40"/>
      <c r="AJ207" s="40"/>
      <c r="AK207" s="40"/>
      <c r="AL207" s="40"/>
      <c r="AM207" s="41"/>
      <c r="AN207" s="3"/>
      <c r="AO207" s="3"/>
      <c r="AP207" s="40"/>
      <c r="AQ207" s="40"/>
      <c r="AR207" s="40"/>
      <c r="AS207" s="40"/>
      <c r="AT207" s="41"/>
    </row>
    <row r="208" spans="1:46" ht="13" hidden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40"/>
      <c r="T208" s="40"/>
      <c r="U208" s="40"/>
      <c r="V208" s="40"/>
      <c r="W208" s="41"/>
      <c r="X208" s="41"/>
      <c r="Y208" s="41"/>
      <c r="Z208" s="3"/>
      <c r="AA208" s="3"/>
      <c r="AB208" s="40"/>
      <c r="AC208" s="40"/>
      <c r="AD208" s="40"/>
      <c r="AE208" s="40"/>
      <c r="AF208" s="41"/>
      <c r="AG208" s="3"/>
      <c r="AH208" s="3"/>
      <c r="AI208" s="40"/>
      <c r="AJ208" s="40"/>
      <c r="AK208" s="40"/>
      <c r="AL208" s="40"/>
      <c r="AM208" s="41"/>
      <c r="AN208" s="3"/>
      <c r="AO208" s="3"/>
      <c r="AP208" s="40"/>
      <c r="AQ208" s="40"/>
      <c r="AR208" s="40"/>
      <c r="AS208" s="40"/>
      <c r="AT208" s="41"/>
    </row>
    <row r="209" spans="1:46" ht="13" hidden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40"/>
      <c r="T209" s="40"/>
      <c r="U209" s="40"/>
      <c r="V209" s="40"/>
      <c r="W209" s="41"/>
      <c r="X209" s="41"/>
      <c r="Y209" s="41"/>
      <c r="Z209" s="3"/>
      <c r="AA209" s="3"/>
      <c r="AB209" s="40"/>
      <c r="AC209" s="40"/>
      <c r="AD209" s="40"/>
      <c r="AE209" s="40"/>
      <c r="AF209" s="41"/>
      <c r="AG209" s="3"/>
      <c r="AH209" s="3"/>
      <c r="AI209" s="40"/>
      <c r="AJ209" s="40"/>
      <c r="AK209" s="40"/>
      <c r="AL209" s="40"/>
      <c r="AM209" s="41"/>
      <c r="AN209" s="3"/>
      <c r="AO209" s="3"/>
      <c r="AP209" s="40"/>
      <c r="AQ209" s="40"/>
      <c r="AR209" s="40"/>
      <c r="AS209" s="40"/>
      <c r="AT209" s="41"/>
    </row>
    <row r="210" spans="1:46" ht="13" hidden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40"/>
      <c r="T210" s="40"/>
      <c r="U210" s="40"/>
      <c r="V210" s="40"/>
      <c r="W210" s="41"/>
      <c r="X210" s="41"/>
      <c r="Y210" s="41"/>
      <c r="Z210" s="3"/>
      <c r="AA210" s="3"/>
      <c r="AB210" s="40"/>
      <c r="AC210" s="40"/>
      <c r="AD210" s="40"/>
      <c r="AE210" s="40"/>
      <c r="AF210" s="41"/>
      <c r="AG210" s="3"/>
      <c r="AH210" s="3"/>
      <c r="AI210" s="40"/>
      <c r="AJ210" s="40"/>
      <c r="AK210" s="40"/>
      <c r="AL210" s="40"/>
      <c r="AM210" s="41"/>
      <c r="AN210" s="3"/>
      <c r="AO210" s="3"/>
      <c r="AP210" s="40"/>
      <c r="AQ210" s="40"/>
      <c r="AR210" s="40"/>
      <c r="AS210" s="40"/>
      <c r="AT210" s="41"/>
    </row>
    <row r="211" spans="1:46" ht="13" hidden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40"/>
      <c r="T211" s="40"/>
      <c r="U211" s="40"/>
      <c r="V211" s="40"/>
      <c r="W211" s="41"/>
      <c r="X211" s="41"/>
      <c r="Y211" s="41"/>
      <c r="Z211" s="3"/>
      <c r="AA211" s="3"/>
      <c r="AB211" s="40"/>
      <c r="AC211" s="40"/>
      <c r="AD211" s="40"/>
      <c r="AE211" s="40"/>
      <c r="AF211" s="41"/>
      <c r="AG211" s="3"/>
      <c r="AH211" s="3"/>
      <c r="AI211" s="40"/>
      <c r="AJ211" s="40"/>
      <c r="AK211" s="40"/>
      <c r="AL211" s="40"/>
      <c r="AM211" s="41"/>
      <c r="AN211" s="3"/>
      <c r="AO211" s="3"/>
      <c r="AP211" s="40"/>
      <c r="AQ211" s="40"/>
      <c r="AR211" s="40"/>
      <c r="AS211" s="40"/>
      <c r="AT211" s="41"/>
    </row>
    <row r="212" spans="1:46" ht="13" hidden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40"/>
      <c r="T212" s="40"/>
      <c r="U212" s="40"/>
      <c r="V212" s="40"/>
      <c r="W212" s="41"/>
      <c r="X212" s="41"/>
      <c r="Y212" s="41"/>
      <c r="Z212" s="3"/>
      <c r="AA212" s="3"/>
      <c r="AB212" s="40"/>
      <c r="AC212" s="40"/>
      <c r="AD212" s="40"/>
      <c r="AE212" s="40"/>
      <c r="AF212" s="41"/>
      <c r="AG212" s="3"/>
      <c r="AH212" s="3"/>
      <c r="AI212" s="40"/>
      <c r="AJ212" s="40"/>
      <c r="AK212" s="40"/>
      <c r="AL212" s="40"/>
      <c r="AM212" s="41"/>
      <c r="AN212" s="3"/>
      <c r="AO212" s="3"/>
      <c r="AP212" s="40"/>
      <c r="AQ212" s="40"/>
      <c r="AR212" s="40"/>
      <c r="AS212" s="40"/>
      <c r="AT212" s="41"/>
    </row>
    <row r="213" spans="1:46" ht="13" hidden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40"/>
      <c r="T213" s="40"/>
      <c r="U213" s="40"/>
      <c r="V213" s="40"/>
      <c r="W213" s="41"/>
      <c r="X213" s="41"/>
      <c r="Y213" s="41"/>
      <c r="Z213" s="3"/>
      <c r="AA213" s="3"/>
      <c r="AB213" s="40"/>
      <c r="AC213" s="40"/>
      <c r="AD213" s="40"/>
      <c r="AE213" s="40"/>
      <c r="AF213" s="41"/>
      <c r="AG213" s="3"/>
      <c r="AH213" s="3"/>
      <c r="AI213" s="40"/>
      <c r="AJ213" s="40"/>
      <c r="AK213" s="40"/>
      <c r="AL213" s="40"/>
      <c r="AM213" s="41"/>
      <c r="AN213" s="3"/>
      <c r="AO213" s="3"/>
      <c r="AP213" s="40"/>
      <c r="AQ213" s="40"/>
      <c r="AR213" s="40"/>
      <c r="AS213" s="40"/>
      <c r="AT213" s="41"/>
    </row>
    <row r="214" spans="1:46" ht="13" hidden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40"/>
      <c r="T214" s="40"/>
      <c r="U214" s="40"/>
      <c r="V214" s="40"/>
      <c r="W214" s="41"/>
      <c r="X214" s="41"/>
      <c r="Y214" s="41"/>
      <c r="Z214" s="3"/>
      <c r="AA214" s="3"/>
      <c r="AB214" s="40"/>
      <c r="AC214" s="40"/>
      <c r="AD214" s="40"/>
      <c r="AE214" s="40"/>
      <c r="AF214" s="41"/>
      <c r="AG214" s="3"/>
      <c r="AH214" s="3"/>
      <c r="AI214" s="40"/>
      <c r="AJ214" s="40"/>
      <c r="AK214" s="40"/>
      <c r="AL214" s="40"/>
      <c r="AM214" s="41"/>
      <c r="AN214" s="3"/>
      <c r="AO214" s="3"/>
      <c r="AP214" s="40"/>
      <c r="AQ214" s="40"/>
      <c r="AR214" s="40"/>
      <c r="AS214" s="40"/>
      <c r="AT214" s="41"/>
    </row>
    <row r="215" spans="1:46" ht="13" hidden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40"/>
      <c r="T215" s="40"/>
      <c r="U215" s="40"/>
      <c r="V215" s="40"/>
      <c r="W215" s="41"/>
      <c r="X215" s="41"/>
      <c r="Y215" s="41"/>
      <c r="Z215" s="3"/>
      <c r="AA215" s="3"/>
      <c r="AB215" s="40"/>
      <c r="AC215" s="40"/>
      <c r="AD215" s="40"/>
      <c r="AE215" s="40"/>
      <c r="AF215" s="41"/>
      <c r="AG215" s="3"/>
      <c r="AH215" s="3"/>
      <c r="AI215" s="40"/>
      <c r="AJ215" s="40"/>
      <c r="AK215" s="40"/>
      <c r="AL215" s="40"/>
      <c r="AM215" s="41"/>
      <c r="AN215" s="3"/>
      <c r="AO215" s="3"/>
      <c r="AP215" s="40"/>
      <c r="AQ215" s="40"/>
      <c r="AR215" s="40"/>
      <c r="AS215" s="40"/>
      <c r="AT215" s="41"/>
    </row>
    <row r="216" spans="1:46" ht="13" hidden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40"/>
      <c r="T216" s="40"/>
      <c r="U216" s="40"/>
      <c r="V216" s="40"/>
      <c r="W216" s="41"/>
      <c r="X216" s="41"/>
      <c r="Y216" s="41"/>
      <c r="Z216" s="3"/>
      <c r="AA216" s="3"/>
      <c r="AB216" s="40"/>
      <c r="AC216" s="40"/>
      <c r="AD216" s="40"/>
      <c r="AE216" s="40"/>
      <c r="AF216" s="41"/>
      <c r="AG216" s="3"/>
      <c r="AH216" s="3"/>
      <c r="AI216" s="40"/>
      <c r="AJ216" s="40"/>
      <c r="AK216" s="40"/>
      <c r="AL216" s="40"/>
      <c r="AM216" s="41"/>
      <c r="AN216" s="3"/>
      <c r="AO216" s="3"/>
      <c r="AP216" s="40"/>
      <c r="AQ216" s="40"/>
      <c r="AR216" s="40"/>
      <c r="AS216" s="40"/>
      <c r="AT216" s="41"/>
    </row>
    <row r="217" spans="1:46" ht="13" hidden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40"/>
      <c r="T217" s="40"/>
      <c r="U217" s="40"/>
      <c r="V217" s="40"/>
      <c r="W217" s="41"/>
      <c r="X217" s="41"/>
      <c r="Y217" s="41"/>
      <c r="Z217" s="3"/>
      <c r="AA217" s="3"/>
      <c r="AB217" s="40"/>
      <c r="AC217" s="40"/>
      <c r="AD217" s="40"/>
      <c r="AE217" s="40"/>
      <c r="AF217" s="41"/>
      <c r="AG217" s="3"/>
      <c r="AH217" s="3"/>
      <c r="AI217" s="40"/>
      <c r="AJ217" s="40"/>
      <c r="AK217" s="40"/>
      <c r="AL217" s="40"/>
      <c r="AM217" s="41"/>
      <c r="AN217" s="3"/>
      <c r="AO217" s="3"/>
      <c r="AP217" s="40"/>
      <c r="AQ217" s="40"/>
      <c r="AR217" s="40"/>
      <c r="AS217" s="40"/>
      <c r="AT217" s="41"/>
    </row>
    <row r="218" spans="1:46" ht="13" hidden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40"/>
      <c r="T218" s="40"/>
      <c r="U218" s="40"/>
      <c r="V218" s="40"/>
      <c r="W218" s="41"/>
      <c r="X218" s="41"/>
      <c r="Y218" s="41"/>
      <c r="Z218" s="3"/>
      <c r="AA218" s="3"/>
      <c r="AB218" s="40"/>
      <c r="AC218" s="40"/>
      <c r="AD218" s="40"/>
      <c r="AE218" s="40"/>
      <c r="AF218" s="41"/>
      <c r="AG218" s="3"/>
      <c r="AH218" s="3"/>
      <c r="AI218" s="40"/>
      <c r="AJ218" s="40"/>
      <c r="AK218" s="40"/>
      <c r="AL218" s="40"/>
      <c r="AM218" s="41"/>
      <c r="AN218" s="3"/>
      <c r="AO218" s="3"/>
      <c r="AP218" s="40"/>
      <c r="AQ218" s="40"/>
      <c r="AR218" s="40"/>
      <c r="AS218" s="40"/>
      <c r="AT218" s="41"/>
    </row>
    <row r="219" spans="1:46" ht="13" hidden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40"/>
      <c r="T219" s="40"/>
      <c r="U219" s="40"/>
      <c r="V219" s="40"/>
      <c r="W219" s="41"/>
      <c r="X219" s="41"/>
      <c r="Y219" s="41"/>
      <c r="Z219" s="3"/>
      <c r="AA219" s="3"/>
      <c r="AB219" s="40"/>
      <c r="AC219" s="40"/>
      <c r="AD219" s="40"/>
      <c r="AE219" s="40"/>
      <c r="AF219" s="41"/>
      <c r="AG219" s="3"/>
      <c r="AH219" s="3"/>
      <c r="AI219" s="40"/>
      <c r="AJ219" s="40"/>
      <c r="AK219" s="40"/>
      <c r="AL219" s="40"/>
      <c r="AM219" s="41"/>
      <c r="AN219" s="3"/>
      <c r="AO219" s="3"/>
      <c r="AP219" s="40"/>
      <c r="AQ219" s="40"/>
      <c r="AR219" s="40"/>
      <c r="AS219" s="40"/>
      <c r="AT219" s="41"/>
    </row>
    <row r="220" spans="1:46" ht="13" hidden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40"/>
      <c r="T220" s="40"/>
      <c r="U220" s="40"/>
      <c r="V220" s="40"/>
      <c r="W220" s="41"/>
      <c r="X220" s="41"/>
      <c r="Y220" s="41"/>
      <c r="Z220" s="3"/>
      <c r="AA220" s="3"/>
      <c r="AB220" s="40"/>
      <c r="AC220" s="40"/>
      <c r="AD220" s="40"/>
      <c r="AE220" s="40"/>
      <c r="AF220" s="41"/>
      <c r="AG220" s="3"/>
      <c r="AH220" s="3"/>
      <c r="AI220" s="40"/>
      <c r="AJ220" s="40"/>
      <c r="AK220" s="40"/>
      <c r="AL220" s="40"/>
      <c r="AM220" s="41"/>
      <c r="AN220" s="3"/>
      <c r="AO220" s="3"/>
      <c r="AP220" s="40"/>
      <c r="AQ220" s="40"/>
      <c r="AR220" s="40"/>
      <c r="AS220" s="40"/>
      <c r="AT220" s="41"/>
    </row>
    <row r="221" spans="1:46" ht="13" hidden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40"/>
      <c r="T221" s="40"/>
      <c r="U221" s="40"/>
      <c r="V221" s="40"/>
      <c r="W221" s="41"/>
      <c r="X221" s="41"/>
      <c r="Y221" s="41"/>
      <c r="Z221" s="3"/>
      <c r="AA221" s="3"/>
      <c r="AB221" s="40"/>
      <c r="AC221" s="40"/>
      <c r="AD221" s="40"/>
      <c r="AE221" s="40"/>
      <c r="AF221" s="41"/>
      <c r="AG221" s="3"/>
      <c r="AH221" s="3"/>
      <c r="AI221" s="40"/>
      <c r="AJ221" s="40"/>
      <c r="AK221" s="40"/>
      <c r="AL221" s="40"/>
      <c r="AM221" s="41"/>
      <c r="AN221" s="3"/>
      <c r="AO221" s="3"/>
      <c r="AP221" s="40"/>
      <c r="AQ221" s="40"/>
      <c r="AR221" s="40"/>
      <c r="AS221" s="40"/>
      <c r="AT221" s="41"/>
    </row>
    <row r="222" spans="1:46" ht="13" hidden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40"/>
      <c r="T222" s="40"/>
      <c r="U222" s="40"/>
      <c r="V222" s="40"/>
      <c r="W222" s="41"/>
      <c r="X222" s="41"/>
      <c r="Y222" s="41"/>
      <c r="Z222" s="3"/>
      <c r="AA222" s="3"/>
      <c r="AB222" s="40"/>
      <c r="AC222" s="40"/>
      <c r="AD222" s="40"/>
      <c r="AE222" s="40"/>
      <c r="AF222" s="41"/>
      <c r="AG222" s="3"/>
      <c r="AH222" s="3"/>
      <c r="AI222" s="40"/>
      <c r="AJ222" s="40"/>
      <c r="AK222" s="40"/>
      <c r="AL222" s="40"/>
      <c r="AM222" s="41"/>
      <c r="AN222" s="3"/>
      <c r="AO222" s="3"/>
      <c r="AP222" s="40"/>
      <c r="AQ222" s="40"/>
      <c r="AR222" s="40"/>
      <c r="AS222" s="40"/>
      <c r="AT222" s="41"/>
    </row>
    <row r="223" spans="1:46" ht="13" hidden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40"/>
      <c r="T223" s="40"/>
      <c r="U223" s="40"/>
      <c r="V223" s="40"/>
      <c r="W223" s="41"/>
      <c r="X223" s="41"/>
      <c r="Y223" s="41"/>
      <c r="Z223" s="3"/>
      <c r="AA223" s="3"/>
      <c r="AB223" s="40"/>
      <c r="AC223" s="40"/>
      <c r="AD223" s="40"/>
      <c r="AE223" s="40"/>
      <c r="AF223" s="41"/>
      <c r="AG223" s="3"/>
      <c r="AH223" s="3"/>
      <c r="AI223" s="40"/>
      <c r="AJ223" s="40"/>
      <c r="AK223" s="40"/>
      <c r="AL223" s="40"/>
      <c r="AM223" s="41"/>
      <c r="AN223" s="3"/>
      <c r="AO223" s="3"/>
      <c r="AP223" s="40"/>
      <c r="AQ223" s="40"/>
      <c r="AR223" s="40"/>
      <c r="AS223" s="40"/>
      <c r="AT223" s="41"/>
    </row>
    <row r="224" spans="1:46" ht="13" hidden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40"/>
      <c r="T224" s="40"/>
      <c r="U224" s="40"/>
      <c r="V224" s="40"/>
      <c r="W224" s="41"/>
      <c r="X224" s="41"/>
      <c r="Y224" s="41"/>
      <c r="Z224" s="3"/>
      <c r="AA224" s="3"/>
      <c r="AB224" s="40"/>
      <c r="AC224" s="40"/>
      <c r="AD224" s="40"/>
      <c r="AE224" s="40"/>
      <c r="AF224" s="41"/>
      <c r="AG224" s="3"/>
      <c r="AH224" s="3"/>
      <c r="AI224" s="40"/>
      <c r="AJ224" s="40"/>
      <c r="AK224" s="40"/>
      <c r="AL224" s="40"/>
      <c r="AM224" s="41"/>
      <c r="AN224" s="3"/>
      <c r="AO224" s="3"/>
      <c r="AP224" s="40"/>
      <c r="AQ224" s="40"/>
      <c r="AR224" s="40"/>
      <c r="AS224" s="40"/>
      <c r="AT224" s="41"/>
    </row>
    <row r="225" spans="1:46" ht="13" hidden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40"/>
      <c r="T225" s="40"/>
      <c r="U225" s="40"/>
      <c r="V225" s="40"/>
      <c r="W225" s="41"/>
      <c r="X225" s="41"/>
      <c r="Y225" s="41"/>
      <c r="Z225" s="3"/>
      <c r="AA225" s="3"/>
      <c r="AB225" s="40"/>
      <c r="AC225" s="40"/>
      <c r="AD225" s="40"/>
      <c r="AE225" s="40"/>
      <c r="AF225" s="41"/>
      <c r="AG225" s="3"/>
      <c r="AH225" s="3"/>
      <c r="AI225" s="40"/>
      <c r="AJ225" s="40"/>
      <c r="AK225" s="40"/>
      <c r="AL225" s="40"/>
      <c r="AM225" s="41"/>
      <c r="AN225" s="3"/>
      <c r="AO225" s="3"/>
      <c r="AP225" s="40"/>
      <c r="AQ225" s="40"/>
      <c r="AR225" s="40"/>
      <c r="AS225" s="40"/>
      <c r="AT225" s="41"/>
    </row>
    <row r="226" spans="1:46" ht="13" hidden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40"/>
      <c r="T226" s="40"/>
      <c r="U226" s="40"/>
      <c r="V226" s="40"/>
      <c r="W226" s="41"/>
      <c r="X226" s="41"/>
      <c r="Y226" s="41"/>
      <c r="Z226" s="3"/>
      <c r="AA226" s="3"/>
      <c r="AB226" s="40"/>
      <c r="AC226" s="40"/>
      <c r="AD226" s="40"/>
      <c r="AE226" s="40"/>
      <c r="AF226" s="41"/>
      <c r="AG226" s="3"/>
      <c r="AH226" s="3"/>
      <c r="AI226" s="40"/>
      <c r="AJ226" s="40"/>
      <c r="AK226" s="40"/>
      <c r="AL226" s="40"/>
      <c r="AM226" s="41"/>
      <c r="AN226" s="3"/>
      <c r="AO226" s="3"/>
      <c r="AP226" s="40"/>
      <c r="AQ226" s="40"/>
      <c r="AR226" s="40"/>
      <c r="AS226" s="40"/>
      <c r="AT226" s="41"/>
    </row>
    <row r="227" spans="1:46" ht="13" hidden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40"/>
      <c r="T227" s="40"/>
      <c r="U227" s="40"/>
      <c r="V227" s="40"/>
      <c r="W227" s="41"/>
      <c r="X227" s="41"/>
      <c r="Y227" s="41"/>
      <c r="Z227" s="3"/>
      <c r="AA227" s="3"/>
      <c r="AB227" s="40"/>
      <c r="AC227" s="40"/>
      <c r="AD227" s="40"/>
      <c r="AE227" s="40"/>
      <c r="AF227" s="41"/>
      <c r="AG227" s="3"/>
      <c r="AH227" s="3"/>
      <c r="AI227" s="40"/>
      <c r="AJ227" s="40"/>
      <c r="AK227" s="40"/>
      <c r="AL227" s="40"/>
      <c r="AM227" s="41"/>
      <c r="AN227" s="3"/>
      <c r="AO227" s="3"/>
      <c r="AP227" s="40"/>
      <c r="AQ227" s="40"/>
      <c r="AR227" s="40"/>
      <c r="AS227" s="40"/>
      <c r="AT227" s="41"/>
    </row>
    <row r="228" spans="1:46" ht="13" hidden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40"/>
      <c r="T228" s="40"/>
      <c r="U228" s="40"/>
      <c r="V228" s="40"/>
      <c r="W228" s="41"/>
      <c r="X228" s="41"/>
      <c r="Y228" s="41"/>
      <c r="Z228" s="3"/>
      <c r="AA228" s="3"/>
      <c r="AB228" s="40"/>
      <c r="AC228" s="40"/>
      <c r="AD228" s="40"/>
      <c r="AE228" s="40"/>
      <c r="AF228" s="41"/>
      <c r="AG228" s="3"/>
      <c r="AH228" s="3"/>
      <c r="AI228" s="40"/>
      <c r="AJ228" s="40"/>
      <c r="AK228" s="40"/>
      <c r="AL228" s="40"/>
      <c r="AM228" s="41"/>
      <c r="AN228" s="3"/>
      <c r="AO228" s="3"/>
      <c r="AP228" s="40"/>
      <c r="AQ228" s="40"/>
      <c r="AR228" s="40"/>
      <c r="AS228" s="40"/>
      <c r="AT228" s="41"/>
    </row>
    <row r="229" spans="1:46" ht="13" hidden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40"/>
      <c r="T229" s="40"/>
      <c r="U229" s="40"/>
      <c r="V229" s="40"/>
      <c r="W229" s="41"/>
      <c r="X229" s="41"/>
      <c r="Y229" s="41"/>
      <c r="Z229" s="3"/>
      <c r="AA229" s="3"/>
      <c r="AB229" s="40"/>
      <c r="AC229" s="40"/>
      <c r="AD229" s="40"/>
      <c r="AE229" s="40"/>
      <c r="AF229" s="41"/>
      <c r="AG229" s="3"/>
      <c r="AH229" s="3"/>
      <c r="AI229" s="40"/>
      <c r="AJ229" s="40"/>
      <c r="AK229" s="40"/>
      <c r="AL229" s="40"/>
      <c r="AM229" s="41"/>
      <c r="AN229" s="3"/>
      <c r="AO229" s="3"/>
      <c r="AP229" s="40"/>
      <c r="AQ229" s="40"/>
      <c r="AR229" s="40"/>
      <c r="AS229" s="40"/>
      <c r="AT229" s="41"/>
    </row>
    <row r="230" spans="1:46" ht="13" hidden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40"/>
      <c r="T230" s="40"/>
      <c r="U230" s="40"/>
      <c r="V230" s="40"/>
      <c r="W230" s="41"/>
      <c r="X230" s="41"/>
      <c r="Y230" s="41"/>
      <c r="Z230" s="3"/>
      <c r="AA230" s="3"/>
      <c r="AB230" s="40"/>
      <c r="AC230" s="40"/>
      <c r="AD230" s="40"/>
      <c r="AE230" s="40"/>
      <c r="AF230" s="41"/>
      <c r="AG230" s="3"/>
      <c r="AH230" s="3"/>
      <c r="AI230" s="40"/>
      <c r="AJ230" s="40"/>
      <c r="AK230" s="40"/>
      <c r="AL230" s="40"/>
      <c r="AM230" s="41"/>
      <c r="AN230" s="3"/>
      <c r="AO230" s="3"/>
      <c r="AP230" s="40"/>
      <c r="AQ230" s="40"/>
      <c r="AR230" s="40"/>
      <c r="AS230" s="40"/>
      <c r="AT230" s="41"/>
    </row>
    <row r="231" spans="1:46" ht="13" hidden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40"/>
      <c r="T231" s="40"/>
      <c r="U231" s="40"/>
      <c r="V231" s="40"/>
      <c r="W231" s="41"/>
      <c r="X231" s="41"/>
      <c r="Y231" s="41"/>
      <c r="Z231" s="3"/>
      <c r="AA231" s="3"/>
      <c r="AB231" s="40"/>
      <c r="AC231" s="40"/>
      <c r="AD231" s="40"/>
      <c r="AE231" s="40"/>
      <c r="AF231" s="41"/>
      <c r="AG231" s="3"/>
      <c r="AH231" s="3"/>
      <c r="AI231" s="40"/>
      <c r="AJ231" s="40"/>
      <c r="AK231" s="40"/>
      <c r="AL231" s="40"/>
      <c r="AM231" s="41"/>
      <c r="AN231" s="3"/>
      <c r="AO231" s="3"/>
      <c r="AP231" s="40"/>
      <c r="AQ231" s="40"/>
      <c r="AR231" s="40"/>
      <c r="AS231" s="40"/>
      <c r="AT231" s="41"/>
    </row>
    <row r="232" spans="1:46" ht="13" hidden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40"/>
      <c r="T232" s="40"/>
      <c r="U232" s="40"/>
      <c r="V232" s="40"/>
      <c r="W232" s="41"/>
      <c r="X232" s="41"/>
      <c r="Y232" s="41"/>
      <c r="Z232" s="3"/>
      <c r="AA232" s="3"/>
      <c r="AB232" s="40"/>
      <c r="AC232" s="40"/>
      <c r="AD232" s="40"/>
      <c r="AE232" s="40"/>
      <c r="AF232" s="41"/>
      <c r="AG232" s="3"/>
      <c r="AH232" s="3"/>
      <c r="AI232" s="40"/>
      <c r="AJ232" s="40"/>
      <c r="AK232" s="40"/>
      <c r="AL232" s="40"/>
      <c r="AM232" s="41"/>
      <c r="AN232" s="3"/>
      <c r="AO232" s="3"/>
      <c r="AP232" s="40"/>
      <c r="AQ232" s="40"/>
      <c r="AR232" s="40"/>
      <c r="AS232" s="40"/>
      <c r="AT232" s="41"/>
    </row>
    <row r="233" spans="1:46" ht="13" hidden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40"/>
      <c r="T233" s="40"/>
      <c r="U233" s="40"/>
      <c r="V233" s="40"/>
      <c r="W233" s="41"/>
      <c r="X233" s="41"/>
      <c r="Y233" s="41"/>
      <c r="Z233" s="3"/>
      <c r="AA233" s="3"/>
      <c r="AB233" s="40"/>
      <c r="AC233" s="40"/>
      <c r="AD233" s="40"/>
      <c r="AE233" s="40"/>
      <c r="AF233" s="41"/>
      <c r="AG233" s="3"/>
      <c r="AH233" s="3"/>
      <c r="AI233" s="40"/>
      <c r="AJ233" s="40"/>
      <c r="AK233" s="40"/>
      <c r="AL233" s="40"/>
      <c r="AM233" s="41"/>
      <c r="AN233" s="3"/>
      <c r="AO233" s="3"/>
      <c r="AP233" s="40"/>
      <c r="AQ233" s="40"/>
      <c r="AR233" s="40"/>
      <c r="AS233" s="40"/>
      <c r="AT233" s="41"/>
    </row>
    <row r="234" spans="1:46" ht="13" hidden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40"/>
      <c r="T234" s="40"/>
      <c r="U234" s="40"/>
      <c r="V234" s="40"/>
      <c r="W234" s="41"/>
      <c r="X234" s="41"/>
      <c r="Y234" s="41"/>
      <c r="Z234" s="3"/>
      <c r="AA234" s="3"/>
      <c r="AB234" s="40"/>
      <c r="AC234" s="40"/>
      <c r="AD234" s="40"/>
      <c r="AE234" s="40"/>
      <c r="AF234" s="41"/>
      <c r="AG234" s="3"/>
      <c r="AH234" s="3"/>
      <c r="AI234" s="40"/>
      <c r="AJ234" s="40"/>
      <c r="AK234" s="40"/>
      <c r="AL234" s="40"/>
      <c r="AM234" s="41"/>
      <c r="AN234" s="3"/>
      <c r="AO234" s="3"/>
      <c r="AP234" s="40"/>
      <c r="AQ234" s="40"/>
      <c r="AR234" s="40"/>
      <c r="AS234" s="40"/>
      <c r="AT234" s="41"/>
    </row>
    <row r="235" spans="1:46" ht="13" hidden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40"/>
      <c r="T235" s="40"/>
      <c r="U235" s="40"/>
      <c r="V235" s="40"/>
      <c r="W235" s="41"/>
      <c r="X235" s="41"/>
      <c r="Y235" s="41"/>
      <c r="Z235" s="3"/>
      <c r="AA235" s="3"/>
      <c r="AB235" s="40"/>
      <c r="AC235" s="40"/>
      <c r="AD235" s="40"/>
      <c r="AE235" s="40"/>
      <c r="AF235" s="41"/>
      <c r="AG235" s="3"/>
      <c r="AH235" s="3"/>
      <c r="AI235" s="40"/>
      <c r="AJ235" s="40"/>
      <c r="AK235" s="40"/>
      <c r="AL235" s="40"/>
      <c r="AM235" s="41"/>
      <c r="AN235" s="3"/>
      <c r="AO235" s="3"/>
      <c r="AP235" s="40"/>
      <c r="AQ235" s="40"/>
      <c r="AR235" s="40"/>
      <c r="AS235" s="40"/>
      <c r="AT235" s="41"/>
    </row>
    <row r="236" spans="1:46" ht="13" hidden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40"/>
      <c r="T236" s="40"/>
      <c r="U236" s="40"/>
      <c r="V236" s="40"/>
      <c r="W236" s="41"/>
      <c r="X236" s="41"/>
      <c r="Y236" s="41"/>
      <c r="Z236" s="3"/>
      <c r="AA236" s="3"/>
      <c r="AB236" s="40"/>
      <c r="AC236" s="40"/>
      <c r="AD236" s="40"/>
      <c r="AE236" s="40"/>
      <c r="AF236" s="41"/>
      <c r="AG236" s="3"/>
      <c r="AH236" s="3"/>
      <c r="AI236" s="40"/>
      <c r="AJ236" s="40"/>
      <c r="AK236" s="40"/>
      <c r="AL236" s="40"/>
      <c r="AM236" s="41"/>
      <c r="AN236" s="3"/>
      <c r="AO236" s="3"/>
      <c r="AP236" s="40"/>
      <c r="AQ236" s="40"/>
      <c r="AR236" s="40"/>
      <c r="AS236" s="40"/>
      <c r="AT236" s="41"/>
    </row>
    <row r="237" spans="1:46" ht="13" hidden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40"/>
      <c r="T237" s="40"/>
      <c r="U237" s="40"/>
      <c r="V237" s="40"/>
      <c r="W237" s="41"/>
      <c r="X237" s="41"/>
      <c r="Y237" s="41"/>
      <c r="Z237" s="3"/>
      <c r="AA237" s="3"/>
      <c r="AB237" s="40"/>
      <c r="AC237" s="40"/>
      <c r="AD237" s="40"/>
      <c r="AE237" s="40"/>
      <c r="AF237" s="41"/>
      <c r="AG237" s="3"/>
      <c r="AH237" s="3"/>
      <c r="AI237" s="40"/>
      <c r="AJ237" s="40"/>
      <c r="AK237" s="40"/>
      <c r="AL237" s="40"/>
      <c r="AM237" s="41"/>
      <c r="AN237" s="3"/>
      <c r="AO237" s="3"/>
      <c r="AP237" s="40"/>
      <c r="AQ237" s="40"/>
      <c r="AR237" s="40"/>
      <c r="AS237" s="40"/>
      <c r="AT237" s="41"/>
    </row>
    <row r="238" spans="1:46" ht="13" hidden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40"/>
      <c r="T238" s="40"/>
      <c r="U238" s="40"/>
      <c r="V238" s="40"/>
      <c r="W238" s="41"/>
      <c r="X238" s="41"/>
      <c r="Y238" s="41"/>
      <c r="Z238" s="3"/>
      <c r="AA238" s="3"/>
      <c r="AB238" s="40"/>
      <c r="AC238" s="40"/>
      <c r="AD238" s="40"/>
      <c r="AE238" s="40"/>
      <c r="AF238" s="41"/>
      <c r="AG238" s="3"/>
      <c r="AH238" s="3"/>
      <c r="AI238" s="40"/>
      <c r="AJ238" s="40"/>
      <c r="AK238" s="40"/>
      <c r="AL238" s="40"/>
      <c r="AM238" s="41"/>
      <c r="AN238" s="3"/>
      <c r="AO238" s="3"/>
      <c r="AP238" s="40"/>
      <c r="AQ238" s="40"/>
      <c r="AR238" s="40"/>
      <c r="AS238" s="40"/>
      <c r="AT238" s="41"/>
    </row>
    <row r="239" spans="1:46" ht="13" hidden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40"/>
      <c r="T239" s="40"/>
      <c r="U239" s="40"/>
      <c r="V239" s="40"/>
      <c r="W239" s="41"/>
      <c r="X239" s="41"/>
      <c r="Y239" s="41"/>
      <c r="Z239" s="3"/>
      <c r="AA239" s="3"/>
      <c r="AB239" s="40"/>
      <c r="AC239" s="40"/>
      <c r="AD239" s="40"/>
      <c r="AE239" s="40"/>
      <c r="AF239" s="41"/>
      <c r="AG239" s="3"/>
      <c r="AH239" s="3"/>
      <c r="AI239" s="40"/>
      <c r="AJ239" s="40"/>
      <c r="AK239" s="40"/>
      <c r="AL239" s="40"/>
      <c r="AM239" s="41"/>
      <c r="AN239" s="3"/>
      <c r="AO239" s="3"/>
      <c r="AP239" s="40"/>
      <c r="AQ239" s="40"/>
      <c r="AR239" s="40"/>
      <c r="AS239" s="40"/>
      <c r="AT239" s="41"/>
    </row>
    <row r="240" spans="1:46" ht="13" hidden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40"/>
      <c r="T240" s="40"/>
      <c r="U240" s="40"/>
      <c r="V240" s="40"/>
      <c r="W240" s="41"/>
      <c r="X240" s="41"/>
      <c r="Y240" s="41"/>
      <c r="Z240" s="3"/>
      <c r="AA240" s="3"/>
      <c r="AB240" s="40"/>
      <c r="AC240" s="40"/>
      <c r="AD240" s="40"/>
      <c r="AE240" s="40"/>
      <c r="AF240" s="41"/>
      <c r="AG240" s="3"/>
      <c r="AH240" s="3"/>
      <c r="AI240" s="40"/>
      <c r="AJ240" s="40"/>
      <c r="AK240" s="40"/>
      <c r="AL240" s="40"/>
      <c r="AM240" s="41"/>
      <c r="AN240" s="3"/>
      <c r="AO240" s="3"/>
      <c r="AP240" s="40"/>
      <c r="AQ240" s="40"/>
      <c r="AR240" s="40"/>
      <c r="AS240" s="40"/>
      <c r="AT240" s="41"/>
    </row>
    <row r="241" spans="1:46" ht="13" hidden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40"/>
      <c r="T241" s="40"/>
      <c r="U241" s="40"/>
      <c r="V241" s="40"/>
      <c r="W241" s="41"/>
      <c r="X241" s="41"/>
      <c r="Y241" s="41"/>
      <c r="Z241" s="3"/>
      <c r="AA241" s="3"/>
      <c r="AB241" s="40"/>
      <c r="AC241" s="40"/>
      <c r="AD241" s="40"/>
      <c r="AE241" s="40"/>
      <c r="AF241" s="41"/>
      <c r="AG241" s="3"/>
      <c r="AH241" s="3"/>
      <c r="AI241" s="40"/>
      <c r="AJ241" s="40"/>
      <c r="AK241" s="40"/>
      <c r="AL241" s="40"/>
      <c r="AM241" s="41"/>
      <c r="AN241" s="3"/>
      <c r="AO241" s="3"/>
      <c r="AP241" s="40"/>
      <c r="AQ241" s="40"/>
      <c r="AR241" s="40"/>
      <c r="AS241" s="40"/>
      <c r="AT241" s="41"/>
    </row>
    <row r="242" spans="1:46" ht="13" hidden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40"/>
      <c r="T242" s="40"/>
      <c r="U242" s="40"/>
      <c r="V242" s="40"/>
      <c r="W242" s="41"/>
      <c r="X242" s="41"/>
      <c r="Y242" s="41"/>
      <c r="Z242" s="3"/>
      <c r="AA242" s="3"/>
      <c r="AB242" s="40"/>
      <c r="AC242" s="40"/>
      <c r="AD242" s="40"/>
      <c r="AE242" s="40"/>
      <c r="AF242" s="41"/>
      <c r="AG242" s="3"/>
      <c r="AH242" s="3"/>
      <c r="AI242" s="40"/>
      <c r="AJ242" s="40"/>
      <c r="AK242" s="40"/>
      <c r="AL242" s="40"/>
      <c r="AM242" s="41"/>
      <c r="AN242" s="3"/>
      <c r="AO242" s="3"/>
      <c r="AP242" s="40"/>
      <c r="AQ242" s="40"/>
      <c r="AR242" s="40"/>
      <c r="AS242" s="40"/>
      <c r="AT242" s="41"/>
    </row>
    <row r="243" spans="1:46" ht="13" hidden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40"/>
      <c r="T243" s="40"/>
      <c r="U243" s="40"/>
      <c r="V243" s="40"/>
      <c r="W243" s="41"/>
      <c r="X243" s="41"/>
      <c r="Y243" s="41"/>
      <c r="Z243" s="3"/>
      <c r="AA243" s="3"/>
      <c r="AB243" s="40"/>
      <c r="AC243" s="40"/>
      <c r="AD243" s="40"/>
      <c r="AE243" s="40"/>
      <c r="AF243" s="41"/>
      <c r="AG243" s="3"/>
      <c r="AH243" s="3"/>
      <c r="AI243" s="40"/>
      <c r="AJ243" s="40"/>
      <c r="AK243" s="40"/>
      <c r="AL243" s="40"/>
      <c r="AM243" s="41"/>
      <c r="AN243" s="3"/>
      <c r="AO243" s="3"/>
      <c r="AP243" s="40"/>
      <c r="AQ243" s="40"/>
      <c r="AR243" s="40"/>
      <c r="AS243" s="40"/>
      <c r="AT243" s="41"/>
    </row>
    <row r="244" spans="1:46" ht="13" hidden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40"/>
      <c r="T244" s="40"/>
      <c r="U244" s="40"/>
      <c r="V244" s="40"/>
      <c r="W244" s="41"/>
      <c r="X244" s="41"/>
      <c r="Y244" s="41"/>
      <c r="Z244" s="3"/>
      <c r="AA244" s="3"/>
      <c r="AB244" s="40"/>
      <c r="AC244" s="40"/>
      <c r="AD244" s="40"/>
      <c r="AE244" s="40"/>
      <c r="AF244" s="41"/>
      <c r="AG244" s="3"/>
      <c r="AH244" s="3"/>
      <c r="AI244" s="40"/>
      <c r="AJ244" s="40"/>
      <c r="AK244" s="40"/>
      <c r="AL244" s="40"/>
      <c r="AM244" s="41"/>
      <c r="AN244" s="3"/>
      <c r="AO244" s="3"/>
      <c r="AP244" s="40"/>
      <c r="AQ244" s="40"/>
      <c r="AR244" s="40"/>
      <c r="AS244" s="40"/>
      <c r="AT244" s="41"/>
    </row>
    <row r="245" spans="1:46" ht="13" hidden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40"/>
      <c r="T245" s="40"/>
      <c r="U245" s="40"/>
      <c r="V245" s="40"/>
      <c r="W245" s="41"/>
      <c r="X245" s="41"/>
      <c r="Y245" s="41"/>
      <c r="Z245" s="3"/>
      <c r="AA245" s="3"/>
      <c r="AB245" s="40"/>
      <c r="AC245" s="40"/>
      <c r="AD245" s="40"/>
      <c r="AE245" s="40"/>
      <c r="AF245" s="41"/>
      <c r="AG245" s="3"/>
      <c r="AH245" s="3"/>
      <c r="AI245" s="40"/>
      <c r="AJ245" s="40"/>
      <c r="AK245" s="40"/>
      <c r="AL245" s="40"/>
      <c r="AM245" s="41"/>
      <c r="AN245" s="3"/>
      <c r="AO245" s="3"/>
      <c r="AP245" s="40"/>
      <c r="AQ245" s="40"/>
      <c r="AR245" s="40"/>
      <c r="AS245" s="40"/>
      <c r="AT245" s="41"/>
    </row>
    <row r="246" spans="1:46" ht="13" hidden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40"/>
      <c r="T246" s="40"/>
      <c r="U246" s="40"/>
      <c r="V246" s="40"/>
      <c r="W246" s="41"/>
      <c r="X246" s="41"/>
      <c r="Y246" s="41"/>
      <c r="Z246" s="3"/>
      <c r="AA246" s="3"/>
      <c r="AB246" s="40"/>
      <c r="AC246" s="40"/>
      <c r="AD246" s="40"/>
      <c r="AE246" s="40"/>
      <c r="AF246" s="41"/>
      <c r="AG246" s="3"/>
      <c r="AH246" s="3"/>
      <c r="AI246" s="40"/>
      <c r="AJ246" s="40"/>
      <c r="AK246" s="40"/>
      <c r="AL246" s="40"/>
      <c r="AM246" s="41"/>
      <c r="AN246" s="3"/>
      <c r="AO246" s="3"/>
      <c r="AP246" s="40"/>
      <c r="AQ246" s="40"/>
      <c r="AR246" s="40"/>
      <c r="AS246" s="40"/>
      <c r="AT246" s="41"/>
    </row>
    <row r="247" spans="1:46" ht="13" hidden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40"/>
      <c r="T247" s="40"/>
      <c r="U247" s="40"/>
      <c r="V247" s="40"/>
      <c r="W247" s="41"/>
      <c r="X247" s="41"/>
      <c r="Y247" s="41"/>
      <c r="Z247" s="3"/>
      <c r="AA247" s="3"/>
      <c r="AB247" s="40"/>
      <c r="AC247" s="40"/>
      <c r="AD247" s="40"/>
      <c r="AE247" s="40"/>
      <c r="AF247" s="41"/>
      <c r="AG247" s="3"/>
      <c r="AH247" s="3"/>
      <c r="AI247" s="40"/>
      <c r="AJ247" s="40"/>
      <c r="AK247" s="40"/>
      <c r="AL247" s="40"/>
      <c r="AM247" s="41"/>
      <c r="AN247" s="3"/>
      <c r="AO247" s="3"/>
      <c r="AP247" s="40"/>
      <c r="AQ247" s="40"/>
      <c r="AR247" s="40"/>
      <c r="AS247" s="40"/>
      <c r="AT247" s="41"/>
    </row>
    <row r="248" spans="1:46" ht="13" hidden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40"/>
      <c r="T248" s="40"/>
      <c r="U248" s="40"/>
      <c r="V248" s="40"/>
      <c r="W248" s="41"/>
      <c r="X248" s="41"/>
      <c r="Y248" s="41"/>
      <c r="Z248" s="3"/>
      <c r="AA248" s="3"/>
      <c r="AB248" s="40"/>
      <c r="AC248" s="40"/>
      <c r="AD248" s="40"/>
      <c r="AE248" s="40"/>
      <c r="AF248" s="41"/>
      <c r="AG248" s="3"/>
      <c r="AH248" s="3"/>
      <c r="AI248" s="40"/>
      <c r="AJ248" s="40"/>
      <c r="AK248" s="40"/>
      <c r="AL248" s="40"/>
      <c r="AM248" s="41"/>
      <c r="AN248" s="3"/>
      <c r="AO248" s="3"/>
      <c r="AP248" s="40"/>
      <c r="AQ248" s="40"/>
      <c r="AR248" s="40"/>
      <c r="AS248" s="40"/>
      <c r="AT248" s="41"/>
    </row>
    <row r="249" spans="1:46" ht="13" hidden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40"/>
      <c r="T249" s="40"/>
      <c r="U249" s="40"/>
      <c r="V249" s="40"/>
      <c r="W249" s="41"/>
      <c r="X249" s="41"/>
      <c r="Y249" s="41"/>
      <c r="Z249" s="3"/>
      <c r="AA249" s="3"/>
      <c r="AB249" s="40"/>
      <c r="AC249" s="40"/>
      <c r="AD249" s="40"/>
      <c r="AE249" s="40"/>
      <c r="AF249" s="41"/>
      <c r="AG249" s="3"/>
      <c r="AH249" s="3"/>
      <c r="AI249" s="40"/>
      <c r="AJ249" s="40"/>
      <c r="AK249" s="40"/>
      <c r="AL249" s="40"/>
      <c r="AM249" s="41"/>
      <c r="AN249" s="3"/>
      <c r="AO249" s="3"/>
      <c r="AP249" s="40"/>
      <c r="AQ249" s="40"/>
      <c r="AR249" s="40"/>
      <c r="AS249" s="40"/>
      <c r="AT249" s="41"/>
    </row>
    <row r="250" spans="1:46" ht="13" hidden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40"/>
      <c r="T250" s="40"/>
      <c r="U250" s="40"/>
      <c r="V250" s="40"/>
      <c r="W250" s="41"/>
      <c r="X250" s="41"/>
      <c r="Y250" s="41"/>
      <c r="Z250" s="3"/>
      <c r="AA250" s="3"/>
      <c r="AB250" s="40"/>
      <c r="AC250" s="40"/>
      <c r="AD250" s="40"/>
      <c r="AE250" s="40"/>
      <c r="AF250" s="41"/>
      <c r="AG250" s="3"/>
      <c r="AH250" s="3"/>
      <c r="AI250" s="40"/>
      <c r="AJ250" s="40"/>
      <c r="AK250" s="40"/>
      <c r="AL250" s="40"/>
      <c r="AM250" s="41"/>
      <c r="AN250" s="3"/>
      <c r="AO250" s="3"/>
      <c r="AP250" s="40"/>
      <c r="AQ250" s="40"/>
      <c r="AR250" s="40"/>
      <c r="AS250" s="40"/>
      <c r="AT250" s="41"/>
    </row>
    <row r="251" spans="1:46" ht="13" hidden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40"/>
      <c r="T251" s="40"/>
      <c r="U251" s="40"/>
      <c r="V251" s="40"/>
      <c r="W251" s="41"/>
      <c r="X251" s="41"/>
      <c r="Y251" s="41"/>
      <c r="Z251" s="3"/>
      <c r="AA251" s="3"/>
      <c r="AB251" s="40"/>
      <c r="AC251" s="40"/>
      <c r="AD251" s="40"/>
      <c r="AE251" s="40"/>
      <c r="AF251" s="41"/>
      <c r="AG251" s="3"/>
      <c r="AH251" s="3"/>
      <c r="AI251" s="40"/>
      <c r="AJ251" s="40"/>
      <c r="AK251" s="40"/>
      <c r="AL251" s="40"/>
      <c r="AM251" s="41"/>
      <c r="AN251" s="3"/>
      <c r="AO251" s="3"/>
      <c r="AP251" s="40"/>
      <c r="AQ251" s="40"/>
      <c r="AR251" s="40"/>
      <c r="AS251" s="40"/>
      <c r="AT251" s="41"/>
    </row>
    <row r="252" spans="1:46" ht="13" hidden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40"/>
      <c r="T252" s="40"/>
      <c r="U252" s="40"/>
      <c r="V252" s="40"/>
      <c r="W252" s="41"/>
      <c r="X252" s="41"/>
      <c r="Y252" s="41"/>
      <c r="Z252" s="3"/>
      <c r="AA252" s="3"/>
      <c r="AB252" s="40"/>
      <c r="AC252" s="40"/>
      <c r="AD252" s="40"/>
      <c r="AE252" s="40"/>
      <c r="AF252" s="41"/>
      <c r="AG252" s="3"/>
      <c r="AH252" s="3"/>
      <c r="AI252" s="40"/>
      <c r="AJ252" s="40"/>
      <c r="AK252" s="40"/>
      <c r="AL252" s="40"/>
      <c r="AM252" s="41"/>
      <c r="AN252" s="3"/>
      <c r="AO252" s="3"/>
      <c r="AP252" s="40"/>
      <c r="AQ252" s="40"/>
      <c r="AR252" s="40"/>
      <c r="AS252" s="40"/>
      <c r="AT252" s="41"/>
    </row>
    <row r="253" spans="1:46" ht="13" hidden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40"/>
      <c r="T253" s="40"/>
      <c r="U253" s="40"/>
      <c r="V253" s="40"/>
      <c r="W253" s="41"/>
      <c r="X253" s="41"/>
      <c r="Y253" s="41"/>
      <c r="Z253" s="3"/>
      <c r="AA253" s="3"/>
      <c r="AB253" s="40"/>
      <c r="AC253" s="40"/>
      <c r="AD253" s="40"/>
      <c r="AE253" s="40"/>
      <c r="AF253" s="41"/>
      <c r="AG253" s="3"/>
      <c r="AH253" s="3"/>
      <c r="AI253" s="40"/>
      <c r="AJ253" s="40"/>
      <c r="AK253" s="40"/>
      <c r="AL253" s="40"/>
      <c r="AM253" s="41"/>
      <c r="AN253" s="3"/>
      <c r="AO253" s="3"/>
      <c r="AP253" s="40"/>
      <c r="AQ253" s="40"/>
      <c r="AR253" s="40"/>
      <c r="AS253" s="40"/>
      <c r="AT253" s="41"/>
    </row>
    <row r="254" spans="1:46" ht="13" hidden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40"/>
      <c r="T254" s="40"/>
      <c r="U254" s="40"/>
      <c r="V254" s="40"/>
      <c r="W254" s="41"/>
      <c r="X254" s="41"/>
      <c r="Y254" s="41"/>
      <c r="Z254" s="3"/>
      <c r="AA254" s="3"/>
      <c r="AB254" s="40"/>
      <c r="AC254" s="40"/>
      <c r="AD254" s="40"/>
      <c r="AE254" s="40"/>
      <c r="AF254" s="41"/>
      <c r="AG254" s="3"/>
      <c r="AH254" s="3"/>
      <c r="AI254" s="40"/>
      <c r="AJ254" s="40"/>
      <c r="AK254" s="40"/>
      <c r="AL254" s="40"/>
      <c r="AM254" s="41"/>
      <c r="AN254" s="3"/>
      <c r="AO254" s="3"/>
      <c r="AP254" s="40"/>
      <c r="AQ254" s="40"/>
      <c r="AR254" s="40"/>
      <c r="AS254" s="40"/>
      <c r="AT254" s="41"/>
    </row>
    <row r="255" spans="1:46" ht="13" hidden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40"/>
      <c r="T255" s="40"/>
      <c r="U255" s="40"/>
      <c r="V255" s="40"/>
      <c r="W255" s="41"/>
      <c r="X255" s="41"/>
      <c r="Y255" s="41"/>
      <c r="Z255" s="3"/>
      <c r="AA255" s="3"/>
      <c r="AB255" s="40"/>
      <c r="AC255" s="40"/>
      <c r="AD255" s="40"/>
      <c r="AE255" s="40"/>
      <c r="AF255" s="41"/>
      <c r="AG255" s="3"/>
      <c r="AH255" s="3"/>
      <c r="AI255" s="40"/>
      <c r="AJ255" s="40"/>
      <c r="AK255" s="40"/>
      <c r="AL255" s="40"/>
      <c r="AM255" s="41"/>
      <c r="AN255" s="3"/>
      <c r="AO255" s="3"/>
      <c r="AP255" s="40"/>
      <c r="AQ255" s="40"/>
      <c r="AR255" s="40"/>
      <c r="AS255" s="40"/>
      <c r="AT255" s="41"/>
    </row>
    <row r="256" spans="1:46" ht="13" hidden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40"/>
      <c r="T256" s="40"/>
      <c r="U256" s="40"/>
      <c r="V256" s="40"/>
      <c r="W256" s="41"/>
      <c r="X256" s="41"/>
      <c r="Y256" s="41"/>
      <c r="Z256" s="3"/>
      <c r="AA256" s="3"/>
      <c r="AB256" s="40"/>
      <c r="AC256" s="40"/>
      <c r="AD256" s="40"/>
      <c r="AE256" s="40"/>
      <c r="AF256" s="41"/>
      <c r="AG256" s="3"/>
      <c r="AH256" s="3"/>
      <c r="AI256" s="40"/>
      <c r="AJ256" s="40"/>
      <c r="AK256" s="40"/>
      <c r="AL256" s="40"/>
      <c r="AM256" s="41"/>
      <c r="AN256" s="3"/>
      <c r="AO256" s="3"/>
      <c r="AP256" s="40"/>
      <c r="AQ256" s="40"/>
      <c r="AR256" s="40"/>
      <c r="AS256" s="40"/>
      <c r="AT256" s="41"/>
    </row>
    <row r="257" spans="1:46" ht="13" hidden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40"/>
      <c r="T257" s="40"/>
      <c r="U257" s="40"/>
      <c r="V257" s="40"/>
      <c r="W257" s="41"/>
      <c r="X257" s="41"/>
      <c r="Y257" s="41"/>
      <c r="Z257" s="3"/>
      <c r="AA257" s="3"/>
      <c r="AB257" s="40"/>
      <c r="AC257" s="40"/>
      <c r="AD257" s="40"/>
      <c r="AE257" s="40"/>
      <c r="AF257" s="41"/>
      <c r="AG257" s="3"/>
      <c r="AH257" s="3"/>
      <c r="AI257" s="40"/>
      <c r="AJ257" s="40"/>
      <c r="AK257" s="40"/>
      <c r="AL257" s="40"/>
      <c r="AM257" s="41"/>
      <c r="AN257" s="3"/>
      <c r="AO257" s="3"/>
      <c r="AP257" s="40"/>
      <c r="AQ257" s="40"/>
      <c r="AR257" s="40"/>
      <c r="AS257" s="40"/>
      <c r="AT257" s="41"/>
    </row>
    <row r="258" spans="1:46" ht="13" hidden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40"/>
      <c r="T258" s="40"/>
      <c r="U258" s="40"/>
      <c r="V258" s="40"/>
      <c r="W258" s="41"/>
      <c r="X258" s="41"/>
      <c r="Y258" s="41"/>
      <c r="Z258" s="3"/>
      <c r="AA258" s="3"/>
      <c r="AB258" s="40"/>
      <c r="AC258" s="40"/>
      <c r="AD258" s="40"/>
      <c r="AE258" s="40"/>
      <c r="AF258" s="41"/>
      <c r="AG258" s="3"/>
      <c r="AH258" s="3"/>
      <c r="AI258" s="40"/>
      <c r="AJ258" s="40"/>
      <c r="AK258" s="40"/>
      <c r="AL258" s="40"/>
      <c r="AM258" s="41"/>
      <c r="AN258" s="3"/>
      <c r="AO258" s="3"/>
      <c r="AP258" s="40"/>
      <c r="AQ258" s="40"/>
      <c r="AR258" s="40"/>
      <c r="AS258" s="40"/>
      <c r="AT258" s="41"/>
    </row>
    <row r="259" spans="1:46" ht="13" hidden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40"/>
      <c r="T259" s="40"/>
      <c r="U259" s="40"/>
      <c r="V259" s="40"/>
      <c r="W259" s="41"/>
      <c r="X259" s="41"/>
      <c r="Y259" s="41"/>
      <c r="Z259" s="3"/>
      <c r="AA259" s="3"/>
      <c r="AB259" s="40"/>
      <c r="AC259" s="40"/>
      <c r="AD259" s="40"/>
      <c r="AE259" s="40"/>
      <c r="AF259" s="41"/>
      <c r="AG259" s="3"/>
      <c r="AH259" s="3"/>
      <c r="AI259" s="40"/>
      <c r="AJ259" s="40"/>
      <c r="AK259" s="40"/>
      <c r="AL259" s="40"/>
      <c r="AM259" s="41"/>
      <c r="AN259" s="3"/>
      <c r="AO259" s="3"/>
      <c r="AP259" s="40"/>
      <c r="AQ259" s="40"/>
      <c r="AR259" s="40"/>
      <c r="AS259" s="40"/>
      <c r="AT259" s="41"/>
    </row>
    <row r="260" spans="1:46" ht="13" hidden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40"/>
      <c r="T260" s="40"/>
      <c r="U260" s="40"/>
      <c r="V260" s="40"/>
      <c r="W260" s="41"/>
      <c r="X260" s="41"/>
      <c r="Y260" s="41"/>
      <c r="Z260" s="3"/>
      <c r="AA260" s="3"/>
      <c r="AB260" s="40"/>
      <c r="AC260" s="40"/>
      <c r="AD260" s="40"/>
      <c r="AE260" s="40"/>
      <c r="AF260" s="41"/>
      <c r="AG260" s="3"/>
      <c r="AH260" s="3"/>
      <c r="AI260" s="40"/>
      <c r="AJ260" s="40"/>
      <c r="AK260" s="40"/>
      <c r="AL260" s="40"/>
      <c r="AM260" s="41"/>
      <c r="AN260" s="3"/>
      <c r="AO260" s="3"/>
      <c r="AP260" s="40"/>
      <c r="AQ260" s="40"/>
      <c r="AR260" s="40"/>
      <c r="AS260" s="40"/>
      <c r="AT260" s="41"/>
    </row>
    <row r="261" spans="1:46" ht="13" hidden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40"/>
      <c r="T261" s="40"/>
      <c r="U261" s="40"/>
      <c r="V261" s="40"/>
      <c r="W261" s="41"/>
      <c r="X261" s="41"/>
      <c r="Y261" s="41"/>
      <c r="Z261" s="3"/>
      <c r="AA261" s="3"/>
      <c r="AB261" s="40"/>
      <c r="AC261" s="40"/>
      <c r="AD261" s="40"/>
      <c r="AE261" s="40"/>
      <c r="AF261" s="41"/>
      <c r="AG261" s="3"/>
      <c r="AH261" s="3"/>
      <c r="AI261" s="40"/>
      <c r="AJ261" s="40"/>
      <c r="AK261" s="40"/>
      <c r="AL261" s="40"/>
      <c r="AM261" s="41"/>
      <c r="AN261" s="3"/>
      <c r="AO261" s="3"/>
      <c r="AP261" s="40"/>
      <c r="AQ261" s="40"/>
      <c r="AR261" s="40"/>
      <c r="AS261" s="40"/>
      <c r="AT261" s="41"/>
    </row>
    <row r="262" spans="1:46" ht="13" hidden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40"/>
      <c r="T262" s="40"/>
      <c r="U262" s="40"/>
      <c r="V262" s="40"/>
      <c r="W262" s="41"/>
      <c r="X262" s="41"/>
      <c r="Y262" s="41"/>
      <c r="Z262" s="3"/>
      <c r="AA262" s="3"/>
      <c r="AB262" s="40"/>
      <c r="AC262" s="40"/>
      <c r="AD262" s="40"/>
      <c r="AE262" s="40"/>
      <c r="AF262" s="41"/>
      <c r="AG262" s="3"/>
      <c r="AH262" s="3"/>
      <c r="AI262" s="40"/>
      <c r="AJ262" s="40"/>
      <c r="AK262" s="40"/>
      <c r="AL262" s="40"/>
      <c r="AM262" s="41"/>
      <c r="AN262" s="3"/>
      <c r="AO262" s="3"/>
      <c r="AP262" s="40"/>
      <c r="AQ262" s="40"/>
      <c r="AR262" s="40"/>
      <c r="AS262" s="40"/>
      <c r="AT262" s="41"/>
    </row>
    <row r="263" spans="1:46" ht="13" hidden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40"/>
      <c r="T263" s="40"/>
      <c r="U263" s="40"/>
      <c r="V263" s="40"/>
      <c r="W263" s="41"/>
      <c r="X263" s="41"/>
      <c r="Y263" s="41"/>
      <c r="Z263" s="3"/>
      <c r="AA263" s="3"/>
      <c r="AB263" s="40"/>
      <c r="AC263" s="40"/>
      <c r="AD263" s="40"/>
      <c r="AE263" s="40"/>
      <c r="AF263" s="41"/>
      <c r="AG263" s="3"/>
      <c r="AH263" s="3"/>
      <c r="AI263" s="40"/>
      <c r="AJ263" s="40"/>
      <c r="AK263" s="40"/>
      <c r="AL263" s="40"/>
      <c r="AM263" s="41"/>
      <c r="AN263" s="3"/>
      <c r="AO263" s="3"/>
      <c r="AP263" s="40"/>
      <c r="AQ263" s="40"/>
      <c r="AR263" s="40"/>
      <c r="AS263" s="40"/>
      <c r="AT263" s="41"/>
    </row>
    <row r="264" spans="1:46" ht="13" hidden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40"/>
      <c r="T264" s="40"/>
      <c r="U264" s="40"/>
      <c r="V264" s="40"/>
      <c r="W264" s="41"/>
      <c r="X264" s="41"/>
      <c r="Y264" s="41"/>
      <c r="Z264" s="3"/>
      <c r="AA264" s="3"/>
      <c r="AB264" s="40"/>
      <c r="AC264" s="40"/>
      <c r="AD264" s="40"/>
      <c r="AE264" s="40"/>
      <c r="AF264" s="41"/>
      <c r="AG264" s="3"/>
      <c r="AH264" s="3"/>
      <c r="AI264" s="40"/>
      <c r="AJ264" s="40"/>
      <c r="AK264" s="40"/>
      <c r="AL264" s="40"/>
      <c r="AM264" s="41"/>
      <c r="AN264" s="3"/>
      <c r="AO264" s="3"/>
      <c r="AP264" s="40"/>
      <c r="AQ264" s="40"/>
      <c r="AR264" s="40"/>
      <c r="AS264" s="40"/>
      <c r="AT264" s="41"/>
    </row>
    <row r="265" spans="1:46" ht="13" hidden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40"/>
      <c r="T265" s="40"/>
      <c r="U265" s="40"/>
      <c r="V265" s="40"/>
      <c r="W265" s="41"/>
      <c r="X265" s="41"/>
      <c r="Y265" s="41"/>
      <c r="Z265" s="3"/>
      <c r="AA265" s="3"/>
      <c r="AB265" s="40"/>
      <c r="AC265" s="40"/>
      <c r="AD265" s="40"/>
      <c r="AE265" s="40"/>
      <c r="AF265" s="41"/>
      <c r="AG265" s="3"/>
      <c r="AH265" s="3"/>
      <c r="AI265" s="40"/>
      <c r="AJ265" s="40"/>
      <c r="AK265" s="40"/>
      <c r="AL265" s="40"/>
      <c r="AM265" s="41"/>
      <c r="AN265" s="3"/>
      <c r="AO265" s="3"/>
      <c r="AP265" s="40"/>
      <c r="AQ265" s="40"/>
      <c r="AR265" s="40"/>
      <c r="AS265" s="40"/>
      <c r="AT265" s="41"/>
    </row>
    <row r="266" spans="1:46" ht="13" hidden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40"/>
      <c r="T266" s="40"/>
      <c r="U266" s="40"/>
      <c r="V266" s="40"/>
      <c r="W266" s="41"/>
      <c r="X266" s="41"/>
      <c r="Y266" s="41"/>
      <c r="Z266" s="3"/>
      <c r="AA266" s="3"/>
      <c r="AB266" s="40"/>
      <c r="AC266" s="40"/>
      <c r="AD266" s="40"/>
      <c r="AE266" s="40"/>
      <c r="AF266" s="41"/>
      <c r="AG266" s="3"/>
      <c r="AH266" s="3"/>
      <c r="AI266" s="40"/>
      <c r="AJ266" s="40"/>
      <c r="AK266" s="40"/>
      <c r="AL266" s="40"/>
      <c r="AM266" s="41"/>
      <c r="AN266" s="3"/>
      <c r="AO266" s="3"/>
      <c r="AP266" s="40"/>
      <c r="AQ266" s="40"/>
      <c r="AR266" s="40"/>
      <c r="AS266" s="40"/>
      <c r="AT266" s="41"/>
    </row>
    <row r="267" spans="1:46" ht="13" hidden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40"/>
      <c r="T267" s="40"/>
      <c r="U267" s="40"/>
      <c r="V267" s="40"/>
      <c r="W267" s="41"/>
      <c r="X267" s="41"/>
      <c r="Y267" s="41"/>
      <c r="Z267" s="3"/>
      <c r="AA267" s="3"/>
      <c r="AB267" s="40"/>
      <c r="AC267" s="40"/>
      <c r="AD267" s="40"/>
      <c r="AE267" s="40"/>
      <c r="AF267" s="41"/>
      <c r="AG267" s="3"/>
      <c r="AH267" s="3"/>
      <c r="AI267" s="40"/>
      <c r="AJ267" s="40"/>
      <c r="AK267" s="40"/>
      <c r="AL267" s="40"/>
      <c r="AM267" s="41"/>
      <c r="AN267" s="3"/>
      <c r="AO267" s="3"/>
      <c r="AP267" s="40"/>
      <c r="AQ267" s="40"/>
      <c r="AR267" s="40"/>
      <c r="AS267" s="40"/>
      <c r="AT267" s="41"/>
    </row>
    <row r="268" spans="1:46" ht="13" hidden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40"/>
      <c r="T268" s="40"/>
      <c r="U268" s="40"/>
      <c r="V268" s="40"/>
      <c r="W268" s="41"/>
      <c r="X268" s="41"/>
      <c r="Y268" s="41"/>
      <c r="Z268" s="3"/>
      <c r="AA268" s="3"/>
      <c r="AB268" s="40"/>
      <c r="AC268" s="40"/>
      <c r="AD268" s="40"/>
      <c r="AE268" s="40"/>
      <c r="AF268" s="41"/>
      <c r="AG268" s="3"/>
      <c r="AH268" s="3"/>
      <c r="AI268" s="40"/>
      <c r="AJ268" s="40"/>
      <c r="AK268" s="40"/>
      <c r="AL268" s="40"/>
      <c r="AM268" s="41"/>
      <c r="AN268" s="3"/>
      <c r="AO268" s="3"/>
      <c r="AP268" s="40"/>
      <c r="AQ268" s="40"/>
      <c r="AR268" s="40"/>
      <c r="AS268" s="40"/>
      <c r="AT268" s="41"/>
    </row>
    <row r="269" spans="1:46" ht="13" hidden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40"/>
      <c r="T269" s="40"/>
      <c r="U269" s="40"/>
      <c r="V269" s="40"/>
      <c r="W269" s="41"/>
      <c r="X269" s="41"/>
      <c r="Y269" s="41"/>
      <c r="Z269" s="3"/>
      <c r="AA269" s="3"/>
      <c r="AB269" s="40"/>
      <c r="AC269" s="40"/>
      <c r="AD269" s="40"/>
      <c r="AE269" s="40"/>
      <c r="AF269" s="41"/>
      <c r="AG269" s="3"/>
      <c r="AH269" s="3"/>
      <c r="AI269" s="40"/>
      <c r="AJ269" s="40"/>
      <c r="AK269" s="40"/>
      <c r="AL269" s="40"/>
      <c r="AM269" s="41"/>
      <c r="AN269" s="3"/>
      <c r="AO269" s="3"/>
      <c r="AP269" s="40"/>
      <c r="AQ269" s="40"/>
      <c r="AR269" s="40"/>
      <c r="AS269" s="40"/>
      <c r="AT269" s="41"/>
    </row>
    <row r="270" spans="1:46" ht="13" hidden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40"/>
      <c r="T270" s="40"/>
      <c r="U270" s="40"/>
      <c r="V270" s="40"/>
      <c r="W270" s="41"/>
      <c r="X270" s="41"/>
      <c r="Y270" s="41"/>
      <c r="Z270" s="3"/>
      <c r="AA270" s="3"/>
      <c r="AB270" s="40"/>
      <c r="AC270" s="40"/>
      <c r="AD270" s="40"/>
      <c r="AE270" s="40"/>
      <c r="AF270" s="41"/>
      <c r="AG270" s="3"/>
      <c r="AH270" s="3"/>
      <c r="AI270" s="40"/>
      <c r="AJ270" s="40"/>
      <c r="AK270" s="40"/>
      <c r="AL270" s="40"/>
      <c r="AM270" s="41"/>
      <c r="AN270" s="3"/>
      <c r="AO270" s="3"/>
      <c r="AP270" s="40"/>
      <c r="AQ270" s="40"/>
      <c r="AR270" s="40"/>
      <c r="AS270" s="40"/>
      <c r="AT270" s="41"/>
    </row>
    <row r="271" spans="1:46" ht="13" hidden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40"/>
      <c r="T271" s="40"/>
      <c r="U271" s="40"/>
      <c r="V271" s="40"/>
      <c r="W271" s="41"/>
      <c r="X271" s="41"/>
      <c r="Y271" s="41"/>
      <c r="Z271" s="3"/>
      <c r="AA271" s="3"/>
      <c r="AB271" s="40"/>
      <c r="AC271" s="40"/>
      <c r="AD271" s="40"/>
      <c r="AE271" s="40"/>
      <c r="AF271" s="41"/>
      <c r="AG271" s="3"/>
      <c r="AH271" s="3"/>
      <c r="AI271" s="40"/>
      <c r="AJ271" s="40"/>
      <c r="AK271" s="40"/>
      <c r="AL271" s="40"/>
      <c r="AM271" s="41"/>
      <c r="AN271" s="3"/>
      <c r="AO271" s="3"/>
      <c r="AP271" s="40"/>
      <c r="AQ271" s="40"/>
      <c r="AR271" s="40"/>
      <c r="AS271" s="40"/>
      <c r="AT271" s="41"/>
    </row>
    <row r="272" spans="1:46" ht="13" hidden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40"/>
      <c r="T272" s="40"/>
      <c r="U272" s="40"/>
      <c r="V272" s="40"/>
      <c r="W272" s="41"/>
      <c r="X272" s="41"/>
      <c r="Y272" s="41"/>
      <c r="Z272" s="3"/>
      <c r="AA272" s="3"/>
      <c r="AB272" s="40"/>
      <c r="AC272" s="40"/>
      <c r="AD272" s="40"/>
      <c r="AE272" s="40"/>
      <c r="AF272" s="41"/>
      <c r="AG272" s="3"/>
      <c r="AH272" s="3"/>
      <c r="AI272" s="40"/>
      <c r="AJ272" s="40"/>
      <c r="AK272" s="40"/>
      <c r="AL272" s="40"/>
      <c r="AM272" s="41"/>
      <c r="AN272" s="3"/>
      <c r="AO272" s="3"/>
      <c r="AP272" s="40"/>
      <c r="AQ272" s="40"/>
      <c r="AR272" s="40"/>
      <c r="AS272" s="40"/>
      <c r="AT272" s="41"/>
    </row>
    <row r="273" spans="1:46" ht="13" hidden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40"/>
      <c r="T273" s="40"/>
      <c r="U273" s="40"/>
      <c r="V273" s="40"/>
      <c r="W273" s="41"/>
      <c r="X273" s="41"/>
      <c r="Y273" s="41"/>
      <c r="Z273" s="3"/>
      <c r="AA273" s="3"/>
      <c r="AB273" s="40"/>
      <c r="AC273" s="40"/>
      <c r="AD273" s="40"/>
      <c r="AE273" s="40"/>
      <c r="AF273" s="41"/>
      <c r="AG273" s="3"/>
      <c r="AH273" s="3"/>
      <c r="AI273" s="40"/>
      <c r="AJ273" s="40"/>
      <c r="AK273" s="40"/>
      <c r="AL273" s="40"/>
      <c r="AM273" s="41"/>
      <c r="AN273" s="3"/>
      <c r="AO273" s="3"/>
      <c r="AP273" s="40"/>
      <c r="AQ273" s="40"/>
      <c r="AR273" s="40"/>
      <c r="AS273" s="40"/>
      <c r="AT273" s="41"/>
    </row>
    <row r="274" spans="1:46" ht="13" hidden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40"/>
      <c r="T274" s="40"/>
      <c r="U274" s="40"/>
      <c r="V274" s="40"/>
      <c r="W274" s="41"/>
      <c r="X274" s="41"/>
      <c r="Y274" s="41"/>
      <c r="Z274" s="3"/>
      <c r="AA274" s="3"/>
      <c r="AB274" s="40"/>
      <c r="AC274" s="40"/>
      <c r="AD274" s="40"/>
      <c r="AE274" s="40"/>
      <c r="AF274" s="41"/>
      <c r="AG274" s="3"/>
      <c r="AH274" s="3"/>
      <c r="AI274" s="40"/>
      <c r="AJ274" s="40"/>
      <c r="AK274" s="40"/>
      <c r="AL274" s="40"/>
      <c r="AM274" s="41"/>
      <c r="AN274" s="3"/>
      <c r="AO274" s="3"/>
      <c r="AP274" s="40"/>
      <c r="AQ274" s="40"/>
      <c r="AR274" s="40"/>
      <c r="AS274" s="40"/>
      <c r="AT274" s="41"/>
    </row>
    <row r="275" spans="1:46" ht="13" hidden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40"/>
      <c r="T275" s="40"/>
      <c r="U275" s="40"/>
      <c r="V275" s="40"/>
      <c r="W275" s="41"/>
      <c r="X275" s="41"/>
      <c r="Y275" s="41"/>
      <c r="Z275" s="3"/>
      <c r="AA275" s="3"/>
      <c r="AB275" s="40"/>
      <c r="AC275" s="40"/>
      <c r="AD275" s="40"/>
      <c r="AE275" s="40"/>
      <c r="AF275" s="41"/>
      <c r="AG275" s="3"/>
      <c r="AH275" s="3"/>
      <c r="AI275" s="40"/>
      <c r="AJ275" s="40"/>
      <c r="AK275" s="40"/>
      <c r="AL275" s="40"/>
      <c r="AM275" s="41"/>
      <c r="AN275" s="3"/>
      <c r="AO275" s="3"/>
      <c r="AP275" s="40"/>
      <c r="AQ275" s="40"/>
      <c r="AR275" s="40"/>
      <c r="AS275" s="40"/>
      <c r="AT275" s="41"/>
    </row>
    <row r="276" spans="1:46" ht="13" hidden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40"/>
      <c r="T276" s="40"/>
      <c r="U276" s="40"/>
      <c r="V276" s="40"/>
      <c r="W276" s="41"/>
      <c r="X276" s="41"/>
      <c r="Y276" s="41"/>
      <c r="Z276" s="3"/>
      <c r="AA276" s="3"/>
      <c r="AB276" s="40"/>
      <c r="AC276" s="40"/>
      <c r="AD276" s="40"/>
      <c r="AE276" s="40"/>
      <c r="AF276" s="41"/>
      <c r="AG276" s="3"/>
      <c r="AH276" s="3"/>
      <c r="AI276" s="40"/>
      <c r="AJ276" s="40"/>
      <c r="AK276" s="40"/>
      <c r="AL276" s="40"/>
      <c r="AM276" s="41"/>
      <c r="AN276" s="3"/>
      <c r="AO276" s="3"/>
      <c r="AP276" s="40"/>
      <c r="AQ276" s="40"/>
      <c r="AR276" s="40"/>
      <c r="AS276" s="40"/>
      <c r="AT276" s="41"/>
    </row>
    <row r="277" spans="1:46" ht="13" hidden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40"/>
      <c r="T277" s="40"/>
      <c r="U277" s="40"/>
      <c r="V277" s="40"/>
      <c r="W277" s="41"/>
      <c r="X277" s="41"/>
      <c r="Y277" s="41"/>
      <c r="Z277" s="3"/>
      <c r="AA277" s="3"/>
      <c r="AB277" s="40"/>
      <c r="AC277" s="40"/>
      <c r="AD277" s="40"/>
      <c r="AE277" s="40"/>
      <c r="AF277" s="41"/>
      <c r="AG277" s="3"/>
      <c r="AH277" s="3"/>
      <c r="AI277" s="40"/>
      <c r="AJ277" s="40"/>
      <c r="AK277" s="40"/>
      <c r="AL277" s="40"/>
      <c r="AM277" s="41"/>
      <c r="AN277" s="3"/>
      <c r="AO277" s="3"/>
      <c r="AP277" s="40"/>
      <c r="AQ277" s="40"/>
      <c r="AR277" s="40"/>
      <c r="AS277" s="40"/>
      <c r="AT277" s="41"/>
    </row>
    <row r="278" spans="1:46" ht="13" hidden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40"/>
      <c r="T278" s="40"/>
      <c r="U278" s="40"/>
      <c r="V278" s="40"/>
      <c r="W278" s="41"/>
      <c r="X278" s="41"/>
      <c r="Y278" s="41"/>
      <c r="Z278" s="3"/>
      <c r="AA278" s="3"/>
      <c r="AB278" s="40"/>
      <c r="AC278" s="40"/>
      <c r="AD278" s="40"/>
      <c r="AE278" s="40"/>
      <c r="AF278" s="41"/>
      <c r="AG278" s="3"/>
      <c r="AH278" s="3"/>
      <c r="AI278" s="40"/>
      <c r="AJ278" s="40"/>
      <c r="AK278" s="40"/>
      <c r="AL278" s="40"/>
      <c r="AM278" s="41"/>
      <c r="AN278" s="3"/>
      <c r="AO278" s="3"/>
      <c r="AP278" s="40"/>
      <c r="AQ278" s="40"/>
      <c r="AR278" s="40"/>
      <c r="AS278" s="40"/>
      <c r="AT278" s="41"/>
    </row>
    <row r="279" spans="1:46" ht="13" hidden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40"/>
      <c r="T279" s="40"/>
      <c r="U279" s="40"/>
      <c r="V279" s="40"/>
      <c r="W279" s="41"/>
      <c r="X279" s="41"/>
      <c r="Y279" s="41"/>
      <c r="Z279" s="3"/>
      <c r="AA279" s="3"/>
      <c r="AB279" s="40"/>
      <c r="AC279" s="40"/>
      <c r="AD279" s="40"/>
      <c r="AE279" s="40"/>
      <c r="AF279" s="41"/>
      <c r="AG279" s="3"/>
      <c r="AH279" s="3"/>
      <c r="AI279" s="40"/>
      <c r="AJ279" s="40"/>
      <c r="AK279" s="40"/>
      <c r="AL279" s="40"/>
      <c r="AM279" s="41"/>
      <c r="AN279" s="3"/>
      <c r="AO279" s="3"/>
      <c r="AP279" s="40"/>
      <c r="AQ279" s="40"/>
      <c r="AR279" s="40"/>
      <c r="AS279" s="40"/>
      <c r="AT279" s="41"/>
    </row>
    <row r="280" spans="1:46" ht="13" hidden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40"/>
      <c r="T280" s="40"/>
      <c r="U280" s="40"/>
      <c r="V280" s="40"/>
      <c r="W280" s="41"/>
      <c r="X280" s="41"/>
      <c r="Y280" s="41"/>
      <c r="Z280" s="3"/>
      <c r="AA280" s="3"/>
      <c r="AB280" s="40"/>
      <c r="AC280" s="40"/>
      <c r="AD280" s="40"/>
      <c r="AE280" s="40"/>
      <c r="AF280" s="41"/>
      <c r="AG280" s="3"/>
      <c r="AH280" s="3"/>
      <c r="AI280" s="40"/>
      <c r="AJ280" s="40"/>
      <c r="AK280" s="40"/>
      <c r="AL280" s="40"/>
      <c r="AM280" s="41"/>
      <c r="AN280" s="3"/>
      <c r="AO280" s="3"/>
      <c r="AP280" s="40"/>
      <c r="AQ280" s="40"/>
      <c r="AR280" s="40"/>
      <c r="AS280" s="40"/>
      <c r="AT280" s="41"/>
    </row>
    <row r="281" spans="1:46" ht="13" hidden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40"/>
      <c r="T281" s="40"/>
      <c r="U281" s="40"/>
      <c r="V281" s="40"/>
      <c r="W281" s="41"/>
      <c r="X281" s="41"/>
      <c r="Y281" s="41"/>
      <c r="Z281" s="3"/>
      <c r="AA281" s="3"/>
      <c r="AB281" s="40"/>
      <c r="AC281" s="40"/>
      <c r="AD281" s="40"/>
      <c r="AE281" s="40"/>
      <c r="AF281" s="41"/>
      <c r="AG281" s="3"/>
      <c r="AH281" s="3"/>
      <c r="AI281" s="40"/>
      <c r="AJ281" s="40"/>
      <c r="AK281" s="40"/>
      <c r="AL281" s="40"/>
      <c r="AM281" s="41"/>
      <c r="AN281" s="3"/>
      <c r="AO281" s="3"/>
      <c r="AP281" s="40"/>
      <c r="AQ281" s="40"/>
      <c r="AR281" s="40"/>
      <c r="AS281" s="40"/>
      <c r="AT281" s="41"/>
    </row>
    <row r="282" spans="1:46" ht="13" hidden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40"/>
      <c r="T282" s="40"/>
      <c r="U282" s="40"/>
      <c r="V282" s="40"/>
      <c r="W282" s="41"/>
      <c r="X282" s="41"/>
      <c r="Y282" s="41"/>
      <c r="Z282" s="3"/>
      <c r="AA282" s="3"/>
      <c r="AB282" s="40"/>
      <c r="AC282" s="40"/>
      <c r="AD282" s="40"/>
      <c r="AE282" s="40"/>
      <c r="AF282" s="41"/>
      <c r="AG282" s="3"/>
      <c r="AH282" s="3"/>
      <c r="AI282" s="40"/>
      <c r="AJ282" s="40"/>
      <c r="AK282" s="40"/>
      <c r="AL282" s="40"/>
      <c r="AM282" s="41"/>
      <c r="AN282" s="3"/>
      <c r="AO282" s="3"/>
      <c r="AP282" s="40"/>
      <c r="AQ282" s="40"/>
      <c r="AR282" s="40"/>
      <c r="AS282" s="40"/>
      <c r="AT282" s="41"/>
    </row>
    <row r="283" spans="1:46" ht="13" hidden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40"/>
      <c r="T283" s="40"/>
      <c r="U283" s="40"/>
      <c r="V283" s="40"/>
      <c r="W283" s="41"/>
      <c r="X283" s="41"/>
      <c r="Y283" s="41"/>
      <c r="Z283" s="3"/>
      <c r="AA283" s="3"/>
      <c r="AB283" s="40"/>
      <c r="AC283" s="40"/>
      <c r="AD283" s="40"/>
      <c r="AE283" s="40"/>
      <c r="AF283" s="41"/>
      <c r="AG283" s="3"/>
      <c r="AH283" s="3"/>
      <c r="AI283" s="40"/>
      <c r="AJ283" s="40"/>
      <c r="AK283" s="40"/>
      <c r="AL283" s="40"/>
      <c r="AM283" s="41"/>
      <c r="AN283" s="3"/>
      <c r="AO283" s="3"/>
      <c r="AP283" s="40"/>
      <c r="AQ283" s="40"/>
      <c r="AR283" s="40"/>
      <c r="AS283" s="40"/>
      <c r="AT283" s="41"/>
    </row>
    <row r="284" spans="1:46" ht="13" hidden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40"/>
      <c r="T284" s="40"/>
      <c r="U284" s="40"/>
      <c r="V284" s="40"/>
      <c r="W284" s="41"/>
      <c r="X284" s="41"/>
      <c r="Y284" s="41"/>
      <c r="Z284" s="3"/>
      <c r="AA284" s="3"/>
      <c r="AB284" s="40"/>
      <c r="AC284" s="40"/>
      <c r="AD284" s="40"/>
      <c r="AE284" s="40"/>
      <c r="AF284" s="41"/>
      <c r="AG284" s="3"/>
      <c r="AH284" s="3"/>
      <c r="AI284" s="40"/>
      <c r="AJ284" s="40"/>
      <c r="AK284" s="40"/>
      <c r="AL284" s="40"/>
      <c r="AM284" s="41"/>
      <c r="AN284" s="3"/>
      <c r="AO284" s="3"/>
      <c r="AP284" s="40"/>
      <c r="AQ284" s="40"/>
      <c r="AR284" s="40"/>
      <c r="AS284" s="40"/>
      <c r="AT284" s="41"/>
    </row>
    <row r="285" spans="1:46" ht="13" hidden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40"/>
      <c r="T285" s="40"/>
      <c r="U285" s="40"/>
      <c r="V285" s="40"/>
      <c r="W285" s="41"/>
      <c r="X285" s="41"/>
      <c r="Y285" s="41"/>
      <c r="Z285" s="3"/>
      <c r="AA285" s="3"/>
      <c r="AB285" s="40"/>
      <c r="AC285" s="40"/>
      <c r="AD285" s="40"/>
      <c r="AE285" s="40"/>
      <c r="AF285" s="41"/>
      <c r="AG285" s="3"/>
      <c r="AH285" s="3"/>
      <c r="AI285" s="40"/>
      <c r="AJ285" s="40"/>
      <c r="AK285" s="40"/>
      <c r="AL285" s="40"/>
      <c r="AM285" s="41"/>
      <c r="AN285" s="3"/>
      <c r="AO285" s="3"/>
      <c r="AP285" s="40"/>
      <c r="AQ285" s="40"/>
      <c r="AR285" s="40"/>
      <c r="AS285" s="40"/>
      <c r="AT285" s="41"/>
    </row>
    <row r="286" spans="1:46" ht="13" hidden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40"/>
      <c r="T286" s="40"/>
      <c r="U286" s="40"/>
      <c r="V286" s="40"/>
      <c r="W286" s="41"/>
      <c r="X286" s="41"/>
      <c r="Y286" s="41"/>
      <c r="Z286" s="3"/>
      <c r="AA286" s="3"/>
      <c r="AB286" s="40"/>
      <c r="AC286" s="40"/>
      <c r="AD286" s="40"/>
      <c r="AE286" s="40"/>
      <c r="AF286" s="41"/>
      <c r="AG286" s="3"/>
      <c r="AH286" s="3"/>
      <c r="AI286" s="40"/>
      <c r="AJ286" s="40"/>
      <c r="AK286" s="40"/>
      <c r="AL286" s="40"/>
      <c r="AM286" s="41"/>
      <c r="AN286" s="3"/>
      <c r="AO286" s="3"/>
      <c r="AP286" s="40"/>
      <c r="AQ286" s="40"/>
      <c r="AR286" s="40"/>
      <c r="AS286" s="40"/>
      <c r="AT286" s="41"/>
    </row>
    <row r="287" spans="1:46" ht="13" hidden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40"/>
      <c r="T287" s="40"/>
      <c r="U287" s="40"/>
      <c r="V287" s="40"/>
      <c r="W287" s="41"/>
      <c r="X287" s="41"/>
      <c r="Y287" s="41"/>
      <c r="Z287" s="3"/>
      <c r="AA287" s="3"/>
      <c r="AB287" s="40"/>
      <c r="AC287" s="40"/>
      <c r="AD287" s="40"/>
      <c r="AE287" s="40"/>
      <c r="AF287" s="41"/>
      <c r="AG287" s="3"/>
      <c r="AH287" s="3"/>
      <c r="AI287" s="40"/>
      <c r="AJ287" s="40"/>
      <c r="AK287" s="40"/>
      <c r="AL287" s="40"/>
      <c r="AM287" s="41"/>
      <c r="AN287" s="3"/>
      <c r="AO287" s="3"/>
      <c r="AP287" s="40"/>
      <c r="AQ287" s="40"/>
      <c r="AR287" s="40"/>
      <c r="AS287" s="40"/>
      <c r="AT287" s="41"/>
    </row>
    <row r="288" spans="1:46" ht="13" hidden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40"/>
      <c r="T288" s="40"/>
      <c r="U288" s="40"/>
      <c r="V288" s="40"/>
      <c r="W288" s="41"/>
      <c r="X288" s="41"/>
      <c r="Y288" s="41"/>
      <c r="Z288" s="3"/>
      <c r="AA288" s="3"/>
      <c r="AB288" s="40"/>
      <c r="AC288" s="40"/>
      <c r="AD288" s="40"/>
      <c r="AE288" s="40"/>
      <c r="AF288" s="41"/>
      <c r="AG288" s="3"/>
      <c r="AH288" s="3"/>
      <c r="AI288" s="40"/>
      <c r="AJ288" s="40"/>
      <c r="AK288" s="40"/>
      <c r="AL288" s="40"/>
      <c r="AM288" s="41"/>
      <c r="AN288" s="3"/>
      <c r="AO288" s="3"/>
      <c r="AP288" s="40"/>
      <c r="AQ288" s="40"/>
      <c r="AR288" s="40"/>
      <c r="AS288" s="40"/>
      <c r="AT288" s="41"/>
    </row>
    <row r="289" spans="1:46" ht="13" hidden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40"/>
      <c r="T289" s="40"/>
      <c r="U289" s="40"/>
      <c r="V289" s="40"/>
      <c r="W289" s="41"/>
      <c r="X289" s="41"/>
      <c r="Y289" s="41"/>
      <c r="Z289" s="3"/>
      <c r="AA289" s="3"/>
      <c r="AB289" s="40"/>
      <c r="AC289" s="40"/>
      <c r="AD289" s="40"/>
      <c r="AE289" s="40"/>
      <c r="AF289" s="41"/>
      <c r="AG289" s="3"/>
      <c r="AH289" s="3"/>
      <c r="AI289" s="40"/>
      <c r="AJ289" s="40"/>
      <c r="AK289" s="40"/>
      <c r="AL289" s="40"/>
      <c r="AM289" s="41"/>
      <c r="AN289" s="3"/>
      <c r="AO289" s="3"/>
      <c r="AP289" s="40"/>
      <c r="AQ289" s="40"/>
      <c r="AR289" s="40"/>
      <c r="AS289" s="40"/>
      <c r="AT289" s="41"/>
    </row>
    <row r="290" spans="1:46" ht="13" hidden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40"/>
      <c r="T290" s="40"/>
      <c r="U290" s="40"/>
      <c r="V290" s="40"/>
      <c r="W290" s="41"/>
      <c r="X290" s="41"/>
      <c r="Y290" s="41"/>
      <c r="Z290" s="3"/>
      <c r="AA290" s="3"/>
      <c r="AB290" s="40"/>
      <c r="AC290" s="40"/>
      <c r="AD290" s="40"/>
      <c r="AE290" s="40"/>
      <c r="AF290" s="41"/>
      <c r="AG290" s="3"/>
      <c r="AH290" s="3"/>
      <c r="AI290" s="40"/>
      <c r="AJ290" s="40"/>
      <c r="AK290" s="40"/>
      <c r="AL290" s="40"/>
      <c r="AM290" s="41"/>
      <c r="AN290" s="3"/>
      <c r="AO290" s="3"/>
      <c r="AP290" s="40"/>
      <c r="AQ290" s="40"/>
      <c r="AR290" s="40"/>
      <c r="AS290" s="40"/>
      <c r="AT290" s="41"/>
    </row>
    <row r="291" spans="1:46" ht="13" hidden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40"/>
      <c r="T291" s="40"/>
      <c r="U291" s="40"/>
      <c r="V291" s="40"/>
      <c r="W291" s="41"/>
      <c r="X291" s="41"/>
      <c r="Y291" s="41"/>
      <c r="Z291" s="3"/>
      <c r="AA291" s="3"/>
      <c r="AB291" s="40"/>
      <c r="AC291" s="40"/>
      <c r="AD291" s="40"/>
      <c r="AE291" s="40"/>
      <c r="AF291" s="41"/>
      <c r="AG291" s="3"/>
      <c r="AH291" s="3"/>
      <c r="AI291" s="40"/>
      <c r="AJ291" s="40"/>
      <c r="AK291" s="40"/>
      <c r="AL291" s="40"/>
      <c r="AM291" s="41"/>
      <c r="AN291" s="3"/>
      <c r="AO291" s="3"/>
      <c r="AP291" s="40"/>
      <c r="AQ291" s="40"/>
      <c r="AR291" s="40"/>
      <c r="AS291" s="40"/>
      <c r="AT291" s="41"/>
    </row>
    <row r="292" spans="1:46" ht="13" hidden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40"/>
      <c r="T292" s="40"/>
      <c r="U292" s="40"/>
      <c r="V292" s="40"/>
      <c r="W292" s="41"/>
      <c r="X292" s="41"/>
      <c r="Y292" s="41"/>
      <c r="Z292" s="3"/>
      <c r="AA292" s="3"/>
      <c r="AB292" s="40"/>
      <c r="AC292" s="40"/>
      <c r="AD292" s="40"/>
      <c r="AE292" s="40"/>
      <c r="AF292" s="41"/>
      <c r="AG292" s="3"/>
      <c r="AH292" s="3"/>
      <c r="AI292" s="40"/>
      <c r="AJ292" s="40"/>
      <c r="AK292" s="40"/>
      <c r="AL292" s="40"/>
      <c r="AM292" s="41"/>
      <c r="AN292" s="3"/>
      <c r="AO292" s="3"/>
      <c r="AP292" s="40"/>
      <c r="AQ292" s="40"/>
      <c r="AR292" s="40"/>
      <c r="AS292" s="40"/>
      <c r="AT292" s="41"/>
    </row>
    <row r="293" spans="1:46" ht="13" hidden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40"/>
      <c r="T293" s="40"/>
      <c r="U293" s="40"/>
      <c r="V293" s="40"/>
      <c r="W293" s="41"/>
      <c r="X293" s="41"/>
      <c r="Y293" s="41"/>
      <c r="Z293" s="3"/>
      <c r="AA293" s="3"/>
      <c r="AB293" s="40"/>
      <c r="AC293" s="40"/>
      <c r="AD293" s="40"/>
      <c r="AE293" s="40"/>
      <c r="AF293" s="41"/>
      <c r="AG293" s="3"/>
      <c r="AH293" s="3"/>
      <c r="AI293" s="40"/>
      <c r="AJ293" s="40"/>
      <c r="AK293" s="40"/>
      <c r="AL293" s="40"/>
      <c r="AM293" s="41"/>
      <c r="AN293" s="3"/>
      <c r="AO293" s="3"/>
      <c r="AP293" s="40"/>
      <c r="AQ293" s="40"/>
      <c r="AR293" s="40"/>
      <c r="AS293" s="40"/>
      <c r="AT293" s="41"/>
    </row>
    <row r="294" spans="1:46" ht="13" hidden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40"/>
      <c r="T294" s="40"/>
      <c r="U294" s="40"/>
      <c r="V294" s="40"/>
      <c r="W294" s="41"/>
      <c r="X294" s="41"/>
      <c r="Y294" s="41"/>
      <c r="Z294" s="3"/>
      <c r="AA294" s="3"/>
      <c r="AB294" s="40"/>
      <c r="AC294" s="40"/>
      <c r="AD294" s="40"/>
      <c r="AE294" s="40"/>
      <c r="AF294" s="41"/>
      <c r="AG294" s="3"/>
      <c r="AH294" s="3"/>
      <c r="AI294" s="40"/>
      <c r="AJ294" s="40"/>
      <c r="AK294" s="40"/>
      <c r="AL294" s="40"/>
      <c r="AM294" s="41"/>
      <c r="AN294" s="3"/>
      <c r="AO294" s="3"/>
      <c r="AP294" s="40"/>
      <c r="AQ294" s="40"/>
      <c r="AR294" s="40"/>
      <c r="AS294" s="40"/>
      <c r="AT294" s="41"/>
    </row>
    <row r="295" spans="1:46" ht="13" hidden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40"/>
      <c r="T295" s="40"/>
      <c r="U295" s="40"/>
      <c r="V295" s="40"/>
      <c r="W295" s="41"/>
      <c r="X295" s="41"/>
      <c r="Y295" s="41"/>
      <c r="Z295" s="3"/>
      <c r="AA295" s="3"/>
      <c r="AB295" s="40"/>
      <c r="AC295" s="40"/>
      <c r="AD295" s="40"/>
      <c r="AE295" s="40"/>
      <c r="AF295" s="41"/>
      <c r="AG295" s="3"/>
      <c r="AH295" s="3"/>
      <c r="AI295" s="40"/>
      <c r="AJ295" s="40"/>
      <c r="AK295" s="40"/>
      <c r="AL295" s="40"/>
      <c r="AM295" s="41"/>
      <c r="AN295" s="3"/>
      <c r="AO295" s="3"/>
      <c r="AP295" s="40"/>
      <c r="AQ295" s="40"/>
      <c r="AR295" s="40"/>
      <c r="AS295" s="40"/>
      <c r="AT295" s="41"/>
    </row>
    <row r="296" spans="1:46" ht="13" hidden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40"/>
      <c r="T296" s="40"/>
      <c r="U296" s="40"/>
      <c r="V296" s="40"/>
      <c r="W296" s="41"/>
      <c r="X296" s="41"/>
      <c r="Y296" s="41"/>
      <c r="Z296" s="3"/>
      <c r="AA296" s="3"/>
      <c r="AB296" s="40"/>
      <c r="AC296" s="40"/>
      <c r="AD296" s="40"/>
      <c r="AE296" s="40"/>
      <c r="AF296" s="41"/>
      <c r="AG296" s="3"/>
      <c r="AH296" s="3"/>
      <c r="AI296" s="40"/>
      <c r="AJ296" s="40"/>
      <c r="AK296" s="40"/>
      <c r="AL296" s="40"/>
      <c r="AM296" s="41"/>
      <c r="AN296" s="3"/>
      <c r="AO296" s="3"/>
      <c r="AP296" s="40"/>
      <c r="AQ296" s="40"/>
      <c r="AR296" s="40"/>
      <c r="AS296" s="40"/>
      <c r="AT296" s="41"/>
    </row>
    <row r="297" spans="1:46" ht="13" hidden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40"/>
      <c r="T297" s="40"/>
      <c r="U297" s="40"/>
      <c r="V297" s="40"/>
      <c r="W297" s="41"/>
      <c r="X297" s="41"/>
      <c r="Y297" s="41"/>
      <c r="Z297" s="3"/>
      <c r="AA297" s="3"/>
      <c r="AB297" s="40"/>
      <c r="AC297" s="40"/>
      <c r="AD297" s="40"/>
      <c r="AE297" s="40"/>
      <c r="AF297" s="41"/>
      <c r="AG297" s="3"/>
      <c r="AH297" s="3"/>
      <c r="AI297" s="40"/>
      <c r="AJ297" s="40"/>
      <c r="AK297" s="40"/>
      <c r="AL297" s="40"/>
      <c r="AM297" s="41"/>
      <c r="AN297" s="3"/>
      <c r="AO297" s="3"/>
      <c r="AP297" s="40"/>
      <c r="AQ297" s="40"/>
      <c r="AR297" s="40"/>
      <c r="AS297" s="40"/>
      <c r="AT297" s="41"/>
    </row>
    <row r="298" spans="1:46" ht="13" hidden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40"/>
      <c r="T298" s="40"/>
      <c r="U298" s="40"/>
      <c r="V298" s="40"/>
      <c r="W298" s="41"/>
      <c r="X298" s="41"/>
      <c r="Y298" s="41"/>
      <c r="Z298" s="3"/>
      <c r="AA298" s="3"/>
      <c r="AB298" s="40"/>
      <c r="AC298" s="40"/>
      <c r="AD298" s="40"/>
      <c r="AE298" s="40"/>
      <c r="AF298" s="41"/>
      <c r="AG298" s="3"/>
      <c r="AH298" s="3"/>
      <c r="AI298" s="40"/>
      <c r="AJ298" s="40"/>
      <c r="AK298" s="40"/>
      <c r="AL298" s="40"/>
      <c r="AM298" s="41"/>
      <c r="AN298" s="3"/>
      <c r="AO298" s="3"/>
      <c r="AP298" s="40"/>
      <c r="AQ298" s="40"/>
      <c r="AR298" s="40"/>
      <c r="AS298" s="40"/>
      <c r="AT298" s="41"/>
    </row>
    <row r="299" spans="1:46" ht="13" hidden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40"/>
      <c r="T299" s="40"/>
      <c r="U299" s="40"/>
      <c r="V299" s="40"/>
      <c r="W299" s="41"/>
      <c r="X299" s="41"/>
      <c r="Y299" s="41"/>
      <c r="Z299" s="3"/>
      <c r="AA299" s="3"/>
      <c r="AB299" s="40"/>
      <c r="AC299" s="40"/>
      <c r="AD299" s="40"/>
      <c r="AE299" s="40"/>
      <c r="AF299" s="41"/>
      <c r="AG299" s="3"/>
      <c r="AH299" s="3"/>
      <c r="AI299" s="40"/>
      <c r="AJ299" s="40"/>
      <c r="AK299" s="40"/>
      <c r="AL299" s="40"/>
      <c r="AM299" s="41"/>
      <c r="AN299" s="3"/>
      <c r="AO299" s="3"/>
      <c r="AP299" s="40"/>
      <c r="AQ299" s="40"/>
      <c r="AR299" s="40"/>
      <c r="AS299" s="40"/>
      <c r="AT299" s="41"/>
    </row>
    <row r="300" spans="1:46" ht="13" hidden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40"/>
      <c r="T300" s="40"/>
      <c r="U300" s="40"/>
      <c r="V300" s="40"/>
      <c r="W300" s="41"/>
      <c r="X300" s="41"/>
      <c r="Y300" s="41"/>
      <c r="Z300" s="3"/>
      <c r="AA300" s="3"/>
      <c r="AB300" s="40"/>
      <c r="AC300" s="40"/>
      <c r="AD300" s="40"/>
      <c r="AE300" s="40"/>
      <c r="AF300" s="41"/>
      <c r="AG300" s="3"/>
      <c r="AH300" s="3"/>
      <c r="AI300" s="40"/>
      <c r="AJ300" s="40"/>
      <c r="AK300" s="40"/>
      <c r="AL300" s="40"/>
      <c r="AM300" s="41"/>
      <c r="AN300" s="3"/>
      <c r="AO300" s="3"/>
      <c r="AP300" s="40"/>
      <c r="AQ300" s="40"/>
      <c r="AR300" s="40"/>
      <c r="AS300" s="40"/>
      <c r="AT300" s="41"/>
    </row>
    <row r="301" spans="1:46" ht="13" hidden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40"/>
      <c r="T301" s="40"/>
      <c r="U301" s="40"/>
      <c r="V301" s="40"/>
      <c r="W301" s="41"/>
      <c r="X301" s="41"/>
      <c r="Y301" s="41"/>
      <c r="Z301" s="3"/>
      <c r="AA301" s="3"/>
      <c r="AB301" s="40"/>
      <c r="AC301" s="40"/>
      <c r="AD301" s="40"/>
      <c r="AE301" s="40"/>
      <c r="AF301" s="41"/>
      <c r="AG301" s="3"/>
      <c r="AH301" s="3"/>
      <c r="AI301" s="40"/>
      <c r="AJ301" s="40"/>
      <c r="AK301" s="40"/>
      <c r="AL301" s="40"/>
      <c r="AM301" s="41"/>
      <c r="AN301" s="3"/>
      <c r="AO301" s="3"/>
      <c r="AP301" s="40"/>
      <c r="AQ301" s="40"/>
      <c r="AR301" s="40"/>
      <c r="AS301" s="40"/>
      <c r="AT301" s="41"/>
    </row>
    <row r="302" spans="1:46" ht="13" hidden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40"/>
      <c r="T302" s="40"/>
      <c r="U302" s="40"/>
      <c r="V302" s="40"/>
      <c r="W302" s="41"/>
      <c r="X302" s="41"/>
      <c r="Y302" s="41"/>
      <c r="Z302" s="3"/>
      <c r="AA302" s="3"/>
      <c r="AB302" s="40"/>
      <c r="AC302" s="40"/>
      <c r="AD302" s="40"/>
      <c r="AE302" s="40"/>
      <c r="AF302" s="41"/>
      <c r="AG302" s="3"/>
      <c r="AH302" s="3"/>
      <c r="AI302" s="40"/>
      <c r="AJ302" s="40"/>
      <c r="AK302" s="40"/>
      <c r="AL302" s="40"/>
      <c r="AM302" s="41"/>
      <c r="AN302" s="3"/>
      <c r="AO302" s="3"/>
      <c r="AP302" s="40"/>
      <c r="AQ302" s="40"/>
      <c r="AR302" s="40"/>
      <c r="AS302" s="40"/>
      <c r="AT302" s="41"/>
    </row>
    <row r="303" spans="1:46" ht="13" hidden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40"/>
      <c r="T303" s="40"/>
      <c r="U303" s="40"/>
      <c r="V303" s="40"/>
      <c r="W303" s="41"/>
      <c r="X303" s="41"/>
      <c r="Y303" s="41"/>
      <c r="Z303" s="3"/>
      <c r="AA303" s="3"/>
      <c r="AB303" s="40"/>
      <c r="AC303" s="40"/>
      <c r="AD303" s="40"/>
      <c r="AE303" s="40"/>
      <c r="AF303" s="41"/>
      <c r="AG303" s="3"/>
      <c r="AH303" s="3"/>
      <c r="AI303" s="40"/>
      <c r="AJ303" s="40"/>
      <c r="AK303" s="40"/>
      <c r="AL303" s="40"/>
      <c r="AM303" s="41"/>
      <c r="AN303" s="3"/>
      <c r="AO303" s="3"/>
      <c r="AP303" s="40"/>
      <c r="AQ303" s="40"/>
      <c r="AR303" s="40"/>
      <c r="AS303" s="40"/>
      <c r="AT303" s="41"/>
    </row>
    <row r="304" spans="1:46" ht="13" hidden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40"/>
      <c r="T304" s="40"/>
      <c r="U304" s="40"/>
      <c r="V304" s="40"/>
      <c r="W304" s="41"/>
      <c r="X304" s="41"/>
      <c r="Y304" s="41"/>
      <c r="Z304" s="3"/>
      <c r="AA304" s="3"/>
      <c r="AB304" s="40"/>
      <c r="AC304" s="40"/>
      <c r="AD304" s="40"/>
      <c r="AE304" s="40"/>
      <c r="AF304" s="41"/>
      <c r="AG304" s="3"/>
      <c r="AH304" s="3"/>
      <c r="AI304" s="40"/>
      <c r="AJ304" s="40"/>
      <c r="AK304" s="40"/>
      <c r="AL304" s="40"/>
      <c r="AM304" s="41"/>
      <c r="AN304" s="3"/>
      <c r="AO304" s="3"/>
      <c r="AP304" s="40"/>
      <c r="AQ304" s="40"/>
      <c r="AR304" s="40"/>
      <c r="AS304" s="40"/>
      <c r="AT304" s="41"/>
    </row>
    <row r="305" spans="1:46" ht="13" hidden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40"/>
      <c r="T305" s="40"/>
      <c r="U305" s="40"/>
      <c r="V305" s="40"/>
      <c r="W305" s="41"/>
      <c r="X305" s="41"/>
      <c r="Y305" s="41"/>
      <c r="Z305" s="3"/>
      <c r="AA305" s="3"/>
      <c r="AB305" s="40"/>
      <c r="AC305" s="40"/>
      <c r="AD305" s="40"/>
      <c r="AE305" s="40"/>
      <c r="AF305" s="41"/>
      <c r="AG305" s="3"/>
      <c r="AH305" s="3"/>
      <c r="AI305" s="40"/>
      <c r="AJ305" s="40"/>
      <c r="AK305" s="40"/>
      <c r="AL305" s="40"/>
      <c r="AM305" s="41"/>
      <c r="AN305" s="3"/>
      <c r="AO305" s="3"/>
      <c r="AP305" s="40"/>
      <c r="AQ305" s="40"/>
      <c r="AR305" s="40"/>
      <c r="AS305" s="40"/>
      <c r="AT305" s="41"/>
    </row>
    <row r="306" spans="1:46" ht="13" hidden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40"/>
      <c r="T306" s="40"/>
      <c r="U306" s="40"/>
      <c r="V306" s="40"/>
      <c r="W306" s="41"/>
      <c r="X306" s="41"/>
      <c r="Y306" s="41"/>
      <c r="Z306" s="3"/>
      <c r="AA306" s="3"/>
      <c r="AB306" s="40"/>
      <c r="AC306" s="40"/>
      <c r="AD306" s="40"/>
      <c r="AE306" s="40"/>
      <c r="AF306" s="41"/>
      <c r="AG306" s="3"/>
      <c r="AH306" s="3"/>
      <c r="AI306" s="40"/>
      <c r="AJ306" s="40"/>
      <c r="AK306" s="40"/>
      <c r="AL306" s="40"/>
      <c r="AM306" s="41"/>
      <c r="AN306" s="3"/>
      <c r="AO306" s="3"/>
      <c r="AP306" s="40"/>
      <c r="AQ306" s="40"/>
      <c r="AR306" s="40"/>
      <c r="AS306" s="40"/>
      <c r="AT306" s="41"/>
    </row>
    <row r="307" spans="1:46" ht="13" hidden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40"/>
      <c r="T307" s="40"/>
      <c r="U307" s="40"/>
      <c r="V307" s="40"/>
      <c r="W307" s="41"/>
      <c r="X307" s="41"/>
      <c r="Y307" s="41"/>
      <c r="Z307" s="3"/>
      <c r="AA307" s="3"/>
      <c r="AB307" s="40"/>
      <c r="AC307" s="40"/>
      <c r="AD307" s="40"/>
      <c r="AE307" s="40"/>
      <c r="AF307" s="41"/>
      <c r="AG307" s="3"/>
      <c r="AH307" s="3"/>
      <c r="AI307" s="40"/>
      <c r="AJ307" s="40"/>
      <c r="AK307" s="40"/>
      <c r="AL307" s="40"/>
      <c r="AM307" s="41"/>
      <c r="AN307" s="3"/>
      <c r="AO307" s="3"/>
      <c r="AP307" s="40"/>
      <c r="AQ307" s="40"/>
      <c r="AR307" s="40"/>
      <c r="AS307" s="40"/>
      <c r="AT307" s="41"/>
    </row>
    <row r="308" spans="1:46" ht="13" hidden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40"/>
      <c r="T308" s="40"/>
      <c r="U308" s="40"/>
      <c r="V308" s="40"/>
      <c r="W308" s="41"/>
      <c r="X308" s="41"/>
      <c r="Y308" s="41"/>
      <c r="Z308" s="3"/>
      <c r="AA308" s="3"/>
      <c r="AB308" s="40"/>
      <c r="AC308" s="40"/>
      <c r="AD308" s="40"/>
      <c r="AE308" s="40"/>
      <c r="AF308" s="41"/>
      <c r="AG308" s="3"/>
      <c r="AH308" s="3"/>
      <c r="AI308" s="40"/>
      <c r="AJ308" s="40"/>
      <c r="AK308" s="40"/>
      <c r="AL308" s="40"/>
      <c r="AM308" s="41"/>
      <c r="AN308" s="3"/>
      <c r="AO308" s="3"/>
      <c r="AP308" s="40"/>
      <c r="AQ308" s="40"/>
      <c r="AR308" s="40"/>
      <c r="AS308" s="40"/>
      <c r="AT308" s="41"/>
    </row>
    <row r="309" spans="1:46" ht="13" hidden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40"/>
      <c r="T309" s="40"/>
      <c r="U309" s="40"/>
      <c r="V309" s="40"/>
      <c r="W309" s="41"/>
      <c r="X309" s="41"/>
      <c r="Y309" s="41"/>
      <c r="Z309" s="3"/>
      <c r="AA309" s="3"/>
      <c r="AB309" s="40"/>
      <c r="AC309" s="40"/>
      <c r="AD309" s="40"/>
      <c r="AE309" s="40"/>
      <c r="AF309" s="41"/>
      <c r="AG309" s="3"/>
      <c r="AH309" s="3"/>
      <c r="AI309" s="40"/>
      <c r="AJ309" s="40"/>
      <c r="AK309" s="40"/>
      <c r="AL309" s="40"/>
      <c r="AM309" s="41"/>
      <c r="AN309" s="3"/>
      <c r="AO309" s="3"/>
      <c r="AP309" s="40"/>
      <c r="AQ309" s="40"/>
      <c r="AR309" s="40"/>
      <c r="AS309" s="40"/>
      <c r="AT309" s="41"/>
    </row>
    <row r="310" spans="1:46" ht="13" hidden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40"/>
      <c r="T310" s="40"/>
      <c r="U310" s="40"/>
      <c r="V310" s="40"/>
      <c r="W310" s="41"/>
      <c r="X310" s="41"/>
      <c r="Y310" s="41"/>
      <c r="Z310" s="3"/>
      <c r="AA310" s="3"/>
      <c r="AB310" s="40"/>
      <c r="AC310" s="40"/>
      <c r="AD310" s="40"/>
      <c r="AE310" s="40"/>
      <c r="AF310" s="41"/>
      <c r="AG310" s="3"/>
      <c r="AH310" s="3"/>
      <c r="AI310" s="40"/>
      <c r="AJ310" s="40"/>
      <c r="AK310" s="40"/>
      <c r="AL310" s="40"/>
      <c r="AM310" s="41"/>
      <c r="AN310" s="3"/>
      <c r="AO310" s="3"/>
      <c r="AP310" s="40"/>
      <c r="AQ310" s="40"/>
      <c r="AR310" s="40"/>
      <c r="AS310" s="40"/>
      <c r="AT310" s="41"/>
    </row>
    <row r="311" spans="1:46" ht="13" hidden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40"/>
      <c r="T311" s="40"/>
      <c r="U311" s="40"/>
      <c r="V311" s="40"/>
      <c r="W311" s="41"/>
      <c r="X311" s="41"/>
      <c r="Y311" s="41"/>
      <c r="Z311" s="3"/>
      <c r="AA311" s="3"/>
      <c r="AB311" s="40"/>
      <c r="AC311" s="40"/>
      <c r="AD311" s="40"/>
      <c r="AE311" s="40"/>
      <c r="AF311" s="41"/>
      <c r="AG311" s="3"/>
      <c r="AH311" s="3"/>
      <c r="AI311" s="40"/>
      <c r="AJ311" s="40"/>
      <c r="AK311" s="40"/>
      <c r="AL311" s="40"/>
      <c r="AM311" s="41"/>
      <c r="AN311" s="3"/>
      <c r="AO311" s="3"/>
      <c r="AP311" s="40"/>
      <c r="AQ311" s="40"/>
      <c r="AR311" s="40"/>
      <c r="AS311" s="40"/>
      <c r="AT311" s="41"/>
    </row>
    <row r="312" spans="1:46" ht="13" hidden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40"/>
      <c r="T312" s="40"/>
      <c r="U312" s="40"/>
      <c r="V312" s="40"/>
      <c r="W312" s="41"/>
      <c r="X312" s="41"/>
      <c r="Y312" s="41"/>
      <c r="Z312" s="3"/>
      <c r="AA312" s="3"/>
      <c r="AB312" s="40"/>
      <c r="AC312" s="40"/>
      <c r="AD312" s="40"/>
      <c r="AE312" s="40"/>
      <c r="AF312" s="41"/>
      <c r="AG312" s="3"/>
      <c r="AH312" s="3"/>
      <c r="AI312" s="40"/>
      <c r="AJ312" s="40"/>
      <c r="AK312" s="40"/>
      <c r="AL312" s="40"/>
      <c r="AM312" s="41"/>
      <c r="AN312" s="3"/>
      <c r="AO312" s="3"/>
      <c r="AP312" s="40"/>
      <c r="AQ312" s="40"/>
      <c r="AR312" s="40"/>
      <c r="AS312" s="40"/>
      <c r="AT312" s="41"/>
    </row>
    <row r="313" spans="1:46" ht="13" hidden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40"/>
      <c r="T313" s="40"/>
      <c r="U313" s="40"/>
      <c r="V313" s="40"/>
      <c r="W313" s="41"/>
      <c r="X313" s="41"/>
      <c r="Y313" s="41"/>
      <c r="Z313" s="3"/>
      <c r="AA313" s="3"/>
      <c r="AB313" s="40"/>
      <c r="AC313" s="40"/>
      <c r="AD313" s="40"/>
      <c r="AE313" s="40"/>
      <c r="AF313" s="41"/>
      <c r="AG313" s="3"/>
      <c r="AH313" s="3"/>
      <c r="AI313" s="40"/>
      <c r="AJ313" s="40"/>
      <c r="AK313" s="40"/>
      <c r="AL313" s="40"/>
      <c r="AM313" s="41"/>
      <c r="AN313" s="3"/>
      <c r="AO313" s="3"/>
      <c r="AP313" s="40"/>
      <c r="AQ313" s="40"/>
      <c r="AR313" s="40"/>
      <c r="AS313" s="40"/>
      <c r="AT313" s="41"/>
    </row>
    <row r="314" spans="1:46" ht="13" hidden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40"/>
      <c r="T314" s="40"/>
      <c r="U314" s="40"/>
      <c r="V314" s="40"/>
      <c r="W314" s="41"/>
      <c r="X314" s="41"/>
      <c r="Y314" s="41"/>
      <c r="Z314" s="3"/>
      <c r="AA314" s="3"/>
      <c r="AB314" s="40"/>
      <c r="AC314" s="40"/>
      <c r="AD314" s="40"/>
      <c r="AE314" s="40"/>
      <c r="AF314" s="41"/>
      <c r="AG314" s="3"/>
      <c r="AH314" s="3"/>
      <c r="AI314" s="40"/>
      <c r="AJ314" s="40"/>
      <c r="AK314" s="40"/>
      <c r="AL314" s="40"/>
      <c r="AM314" s="41"/>
      <c r="AN314" s="3"/>
      <c r="AO314" s="3"/>
      <c r="AP314" s="40"/>
      <c r="AQ314" s="40"/>
      <c r="AR314" s="40"/>
      <c r="AS314" s="40"/>
      <c r="AT314" s="41"/>
    </row>
    <row r="315" spans="1:46" ht="13" hidden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40"/>
      <c r="T315" s="40"/>
      <c r="U315" s="40"/>
      <c r="V315" s="40"/>
      <c r="W315" s="41"/>
      <c r="X315" s="41"/>
      <c r="Y315" s="41"/>
      <c r="Z315" s="3"/>
      <c r="AA315" s="3"/>
      <c r="AB315" s="40"/>
      <c r="AC315" s="40"/>
      <c r="AD315" s="40"/>
      <c r="AE315" s="40"/>
      <c r="AF315" s="41"/>
      <c r="AG315" s="3"/>
      <c r="AH315" s="3"/>
      <c r="AI315" s="40"/>
      <c r="AJ315" s="40"/>
      <c r="AK315" s="40"/>
      <c r="AL315" s="40"/>
      <c r="AM315" s="41"/>
      <c r="AN315" s="3"/>
      <c r="AO315" s="3"/>
      <c r="AP315" s="40"/>
      <c r="AQ315" s="40"/>
      <c r="AR315" s="40"/>
      <c r="AS315" s="40"/>
      <c r="AT315" s="41"/>
    </row>
    <row r="316" spans="1:46" ht="13" hidden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40"/>
      <c r="T316" s="40"/>
      <c r="U316" s="40"/>
      <c r="V316" s="40"/>
      <c r="W316" s="41"/>
      <c r="X316" s="41"/>
      <c r="Y316" s="41"/>
      <c r="Z316" s="3"/>
      <c r="AA316" s="3"/>
      <c r="AB316" s="40"/>
      <c r="AC316" s="40"/>
      <c r="AD316" s="40"/>
      <c r="AE316" s="40"/>
      <c r="AF316" s="41"/>
      <c r="AG316" s="3"/>
      <c r="AH316" s="3"/>
      <c r="AI316" s="40"/>
      <c r="AJ316" s="40"/>
      <c r="AK316" s="40"/>
      <c r="AL316" s="40"/>
      <c r="AM316" s="41"/>
      <c r="AN316" s="3"/>
      <c r="AO316" s="3"/>
      <c r="AP316" s="40"/>
      <c r="AQ316" s="40"/>
      <c r="AR316" s="40"/>
      <c r="AS316" s="40"/>
      <c r="AT316" s="41"/>
    </row>
    <row r="317" spans="1:46" ht="13" hidden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40"/>
      <c r="T317" s="40"/>
      <c r="U317" s="40"/>
      <c r="V317" s="40"/>
      <c r="W317" s="41"/>
      <c r="X317" s="41"/>
      <c r="Y317" s="41"/>
      <c r="Z317" s="3"/>
      <c r="AA317" s="3"/>
      <c r="AB317" s="40"/>
      <c r="AC317" s="40"/>
      <c r="AD317" s="40"/>
      <c r="AE317" s="40"/>
      <c r="AF317" s="41"/>
      <c r="AG317" s="3"/>
      <c r="AH317" s="3"/>
      <c r="AI317" s="40"/>
      <c r="AJ317" s="40"/>
      <c r="AK317" s="40"/>
      <c r="AL317" s="40"/>
      <c r="AM317" s="41"/>
      <c r="AN317" s="3"/>
      <c r="AO317" s="3"/>
      <c r="AP317" s="40"/>
      <c r="AQ317" s="40"/>
      <c r="AR317" s="40"/>
      <c r="AS317" s="40"/>
      <c r="AT317" s="41"/>
    </row>
    <row r="318" spans="1:46" ht="13" hidden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40"/>
      <c r="T318" s="40"/>
      <c r="U318" s="40"/>
      <c r="V318" s="40"/>
      <c r="W318" s="41"/>
      <c r="X318" s="41"/>
      <c r="Y318" s="41"/>
      <c r="Z318" s="3"/>
      <c r="AA318" s="3"/>
      <c r="AB318" s="40"/>
      <c r="AC318" s="40"/>
      <c r="AD318" s="40"/>
      <c r="AE318" s="40"/>
      <c r="AF318" s="41"/>
      <c r="AG318" s="3"/>
      <c r="AH318" s="3"/>
      <c r="AI318" s="40"/>
      <c r="AJ318" s="40"/>
      <c r="AK318" s="40"/>
      <c r="AL318" s="40"/>
      <c r="AM318" s="41"/>
      <c r="AN318" s="3"/>
      <c r="AO318" s="3"/>
      <c r="AP318" s="40"/>
      <c r="AQ318" s="40"/>
      <c r="AR318" s="40"/>
      <c r="AS318" s="40"/>
      <c r="AT318" s="41"/>
    </row>
    <row r="319" spans="1:46" ht="13" hidden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40"/>
      <c r="T319" s="40"/>
      <c r="U319" s="40"/>
      <c r="V319" s="40"/>
      <c r="W319" s="41"/>
      <c r="X319" s="41"/>
      <c r="Y319" s="41"/>
      <c r="Z319" s="3"/>
      <c r="AA319" s="3"/>
      <c r="AB319" s="40"/>
      <c r="AC319" s="40"/>
      <c r="AD319" s="40"/>
      <c r="AE319" s="40"/>
      <c r="AF319" s="41"/>
      <c r="AG319" s="3"/>
      <c r="AH319" s="3"/>
      <c r="AI319" s="40"/>
      <c r="AJ319" s="40"/>
      <c r="AK319" s="40"/>
      <c r="AL319" s="40"/>
      <c r="AM319" s="41"/>
      <c r="AN319" s="3"/>
      <c r="AO319" s="3"/>
      <c r="AP319" s="40"/>
      <c r="AQ319" s="40"/>
      <c r="AR319" s="40"/>
      <c r="AS319" s="40"/>
      <c r="AT319" s="41"/>
    </row>
    <row r="320" spans="1:46" ht="13" hidden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40"/>
      <c r="T320" s="40"/>
      <c r="U320" s="40"/>
      <c r="V320" s="40"/>
      <c r="W320" s="41"/>
      <c r="X320" s="41"/>
      <c r="Y320" s="41"/>
      <c r="Z320" s="3"/>
      <c r="AA320" s="3"/>
      <c r="AB320" s="40"/>
      <c r="AC320" s="40"/>
      <c r="AD320" s="40"/>
      <c r="AE320" s="40"/>
      <c r="AF320" s="41"/>
      <c r="AG320" s="3"/>
      <c r="AH320" s="3"/>
      <c r="AI320" s="40"/>
      <c r="AJ320" s="40"/>
      <c r="AK320" s="40"/>
      <c r="AL320" s="40"/>
      <c r="AM320" s="41"/>
      <c r="AN320" s="3"/>
      <c r="AO320" s="3"/>
      <c r="AP320" s="40"/>
      <c r="AQ320" s="40"/>
      <c r="AR320" s="40"/>
      <c r="AS320" s="40"/>
      <c r="AT320" s="41"/>
    </row>
    <row r="321" spans="1:46" ht="13" hidden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40"/>
      <c r="T321" s="40"/>
      <c r="U321" s="40"/>
      <c r="V321" s="40"/>
      <c r="W321" s="41"/>
      <c r="X321" s="41"/>
      <c r="Y321" s="41"/>
      <c r="Z321" s="3"/>
      <c r="AA321" s="3"/>
      <c r="AB321" s="40"/>
      <c r="AC321" s="40"/>
      <c r="AD321" s="40"/>
      <c r="AE321" s="40"/>
      <c r="AF321" s="41"/>
      <c r="AG321" s="3"/>
      <c r="AH321" s="3"/>
      <c r="AI321" s="40"/>
      <c r="AJ321" s="40"/>
      <c r="AK321" s="40"/>
      <c r="AL321" s="40"/>
      <c r="AM321" s="41"/>
      <c r="AN321" s="3"/>
      <c r="AO321" s="3"/>
      <c r="AP321" s="40"/>
      <c r="AQ321" s="40"/>
      <c r="AR321" s="40"/>
      <c r="AS321" s="40"/>
      <c r="AT321" s="41"/>
    </row>
    <row r="322" spans="1:46" ht="13" hidden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40"/>
      <c r="T322" s="40"/>
      <c r="U322" s="40"/>
      <c r="V322" s="40"/>
      <c r="W322" s="41"/>
      <c r="X322" s="41"/>
      <c r="Y322" s="41"/>
      <c r="Z322" s="3"/>
      <c r="AA322" s="3"/>
      <c r="AB322" s="40"/>
      <c r="AC322" s="40"/>
      <c r="AD322" s="40"/>
      <c r="AE322" s="40"/>
      <c r="AF322" s="41"/>
      <c r="AG322" s="3"/>
      <c r="AH322" s="3"/>
      <c r="AI322" s="40"/>
      <c r="AJ322" s="40"/>
      <c r="AK322" s="40"/>
      <c r="AL322" s="40"/>
      <c r="AM322" s="41"/>
      <c r="AN322" s="3"/>
      <c r="AO322" s="3"/>
      <c r="AP322" s="40"/>
      <c r="AQ322" s="40"/>
      <c r="AR322" s="40"/>
      <c r="AS322" s="40"/>
      <c r="AT322" s="41"/>
    </row>
    <row r="323" spans="1:46" ht="13" hidden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40"/>
      <c r="T323" s="40"/>
      <c r="U323" s="40"/>
      <c r="V323" s="40"/>
      <c r="W323" s="41"/>
      <c r="X323" s="41"/>
      <c r="Y323" s="41"/>
      <c r="Z323" s="3"/>
      <c r="AA323" s="3"/>
      <c r="AB323" s="40"/>
      <c r="AC323" s="40"/>
      <c r="AD323" s="40"/>
      <c r="AE323" s="40"/>
      <c r="AF323" s="41"/>
      <c r="AG323" s="3"/>
      <c r="AH323" s="3"/>
      <c r="AI323" s="40"/>
      <c r="AJ323" s="40"/>
      <c r="AK323" s="40"/>
      <c r="AL323" s="40"/>
      <c r="AM323" s="41"/>
      <c r="AN323" s="3"/>
      <c r="AO323" s="3"/>
      <c r="AP323" s="40"/>
      <c r="AQ323" s="40"/>
      <c r="AR323" s="40"/>
      <c r="AS323" s="40"/>
      <c r="AT323" s="41"/>
    </row>
    <row r="324" spans="1:46" ht="13" hidden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40"/>
      <c r="T324" s="40"/>
      <c r="U324" s="40"/>
      <c r="V324" s="40"/>
      <c r="W324" s="41"/>
      <c r="X324" s="41"/>
      <c r="Y324" s="41"/>
      <c r="Z324" s="3"/>
      <c r="AA324" s="3"/>
      <c r="AB324" s="40"/>
      <c r="AC324" s="40"/>
      <c r="AD324" s="40"/>
      <c r="AE324" s="40"/>
      <c r="AF324" s="41"/>
      <c r="AG324" s="3"/>
      <c r="AH324" s="3"/>
      <c r="AI324" s="40"/>
      <c r="AJ324" s="40"/>
      <c r="AK324" s="40"/>
      <c r="AL324" s="40"/>
      <c r="AM324" s="41"/>
      <c r="AN324" s="3"/>
      <c r="AO324" s="3"/>
      <c r="AP324" s="40"/>
      <c r="AQ324" s="40"/>
      <c r="AR324" s="40"/>
      <c r="AS324" s="40"/>
      <c r="AT324" s="41"/>
    </row>
    <row r="325" spans="1:46" ht="13" hidden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40"/>
      <c r="T325" s="40"/>
      <c r="U325" s="40"/>
      <c r="V325" s="40"/>
      <c r="W325" s="41"/>
      <c r="X325" s="41"/>
      <c r="Y325" s="41"/>
      <c r="Z325" s="3"/>
      <c r="AA325" s="3"/>
      <c r="AB325" s="40"/>
      <c r="AC325" s="40"/>
      <c r="AD325" s="40"/>
      <c r="AE325" s="40"/>
      <c r="AF325" s="41"/>
      <c r="AG325" s="3"/>
      <c r="AH325" s="3"/>
      <c r="AI325" s="40"/>
      <c r="AJ325" s="40"/>
      <c r="AK325" s="40"/>
      <c r="AL325" s="40"/>
      <c r="AM325" s="41"/>
      <c r="AN325" s="3"/>
      <c r="AO325" s="3"/>
      <c r="AP325" s="40"/>
      <c r="AQ325" s="40"/>
      <c r="AR325" s="40"/>
      <c r="AS325" s="40"/>
      <c r="AT325" s="41"/>
    </row>
    <row r="326" spans="1:46" ht="13" hidden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40"/>
      <c r="T326" s="40"/>
      <c r="U326" s="40"/>
      <c r="V326" s="40"/>
      <c r="W326" s="41"/>
      <c r="X326" s="41"/>
      <c r="Y326" s="41"/>
      <c r="Z326" s="3"/>
      <c r="AA326" s="3"/>
      <c r="AB326" s="40"/>
      <c r="AC326" s="40"/>
      <c r="AD326" s="40"/>
      <c r="AE326" s="40"/>
      <c r="AF326" s="41"/>
      <c r="AG326" s="3"/>
      <c r="AH326" s="3"/>
      <c r="AI326" s="40"/>
      <c r="AJ326" s="40"/>
      <c r="AK326" s="40"/>
      <c r="AL326" s="40"/>
      <c r="AM326" s="41"/>
      <c r="AN326" s="3"/>
      <c r="AO326" s="3"/>
      <c r="AP326" s="40"/>
      <c r="AQ326" s="40"/>
      <c r="AR326" s="40"/>
      <c r="AS326" s="40"/>
      <c r="AT326" s="41"/>
    </row>
    <row r="327" spans="1:46" ht="13" hidden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40"/>
      <c r="T327" s="40"/>
      <c r="U327" s="40"/>
      <c r="V327" s="40"/>
      <c r="W327" s="41"/>
      <c r="X327" s="41"/>
      <c r="Y327" s="41"/>
      <c r="Z327" s="3"/>
      <c r="AA327" s="3"/>
      <c r="AB327" s="40"/>
      <c r="AC327" s="40"/>
      <c r="AD327" s="40"/>
      <c r="AE327" s="40"/>
      <c r="AF327" s="41"/>
      <c r="AG327" s="3"/>
      <c r="AH327" s="3"/>
      <c r="AI327" s="40"/>
      <c r="AJ327" s="40"/>
      <c r="AK327" s="40"/>
      <c r="AL327" s="40"/>
      <c r="AM327" s="41"/>
      <c r="AN327" s="3"/>
      <c r="AO327" s="3"/>
      <c r="AP327" s="40"/>
      <c r="AQ327" s="40"/>
      <c r="AR327" s="40"/>
      <c r="AS327" s="40"/>
      <c r="AT327" s="41"/>
    </row>
    <row r="328" spans="1:46" ht="13" hidden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40"/>
      <c r="T328" s="40"/>
      <c r="U328" s="40"/>
      <c r="V328" s="40"/>
      <c r="W328" s="41"/>
      <c r="X328" s="41"/>
      <c r="Y328" s="41"/>
      <c r="Z328" s="3"/>
      <c r="AA328" s="3"/>
      <c r="AB328" s="40"/>
      <c r="AC328" s="40"/>
      <c r="AD328" s="40"/>
      <c r="AE328" s="40"/>
      <c r="AF328" s="41"/>
      <c r="AG328" s="3"/>
      <c r="AH328" s="3"/>
      <c r="AI328" s="40"/>
      <c r="AJ328" s="40"/>
      <c r="AK328" s="40"/>
      <c r="AL328" s="40"/>
      <c r="AM328" s="41"/>
      <c r="AN328" s="3"/>
      <c r="AO328" s="3"/>
      <c r="AP328" s="40"/>
      <c r="AQ328" s="40"/>
      <c r="AR328" s="40"/>
      <c r="AS328" s="40"/>
      <c r="AT328" s="41"/>
    </row>
    <row r="329" spans="1:46" ht="13" hidden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40"/>
      <c r="T329" s="40"/>
      <c r="U329" s="40"/>
      <c r="V329" s="40"/>
      <c r="W329" s="41"/>
      <c r="X329" s="41"/>
      <c r="Y329" s="41"/>
      <c r="Z329" s="3"/>
      <c r="AA329" s="3"/>
      <c r="AB329" s="40"/>
      <c r="AC329" s="40"/>
      <c r="AD329" s="40"/>
      <c r="AE329" s="40"/>
      <c r="AF329" s="41"/>
      <c r="AG329" s="3"/>
      <c r="AH329" s="3"/>
      <c r="AI329" s="40"/>
      <c r="AJ329" s="40"/>
      <c r="AK329" s="40"/>
      <c r="AL329" s="40"/>
      <c r="AM329" s="41"/>
      <c r="AN329" s="3"/>
      <c r="AO329" s="3"/>
      <c r="AP329" s="40"/>
      <c r="AQ329" s="40"/>
      <c r="AR329" s="40"/>
      <c r="AS329" s="40"/>
      <c r="AT329" s="41"/>
    </row>
    <row r="330" spans="1:46" ht="13" hidden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40"/>
      <c r="T330" s="40"/>
      <c r="U330" s="40"/>
      <c r="V330" s="40"/>
      <c r="W330" s="41"/>
      <c r="X330" s="41"/>
      <c r="Y330" s="41"/>
      <c r="Z330" s="3"/>
      <c r="AA330" s="3"/>
      <c r="AB330" s="40"/>
      <c r="AC330" s="40"/>
      <c r="AD330" s="40"/>
      <c r="AE330" s="40"/>
      <c r="AF330" s="41"/>
      <c r="AG330" s="3"/>
      <c r="AH330" s="3"/>
      <c r="AI330" s="40"/>
      <c r="AJ330" s="40"/>
      <c r="AK330" s="40"/>
      <c r="AL330" s="40"/>
      <c r="AM330" s="41"/>
      <c r="AN330" s="3"/>
      <c r="AO330" s="3"/>
      <c r="AP330" s="40"/>
      <c r="AQ330" s="40"/>
      <c r="AR330" s="40"/>
      <c r="AS330" s="40"/>
      <c r="AT330" s="41"/>
    </row>
    <row r="331" spans="1:46" ht="13" hidden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40"/>
      <c r="T331" s="40"/>
      <c r="U331" s="40"/>
      <c r="V331" s="40"/>
      <c r="W331" s="41"/>
      <c r="X331" s="41"/>
      <c r="Y331" s="41"/>
      <c r="Z331" s="3"/>
      <c r="AA331" s="3"/>
      <c r="AB331" s="40"/>
      <c r="AC331" s="40"/>
      <c r="AD331" s="40"/>
      <c r="AE331" s="40"/>
      <c r="AF331" s="41"/>
      <c r="AG331" s="3"/>
      <c r="AH331" s="3"/>
      <c r="AI331" s="40"/>
      <c r="AJ331" s="40"/>
      <c r="AK331" s="40"/>
      <c r="AL331" s="40"/>
      <c r="AM331" s="41"/>
      <c r="AN331" s="3"/>
      <c r="AO331" s="3"/>
      <c r="AP331" s="40"/>
      <c r="AQ331" s="40"/>
      <c r="AR331" s="40"/>
      <c r="AS331" s="40"/>
      <c r="AT331" s="41"/>
    </row>
    <row r="332" spans="1:46" ht="13" hidden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40"/>
      <c r="T332" s="40"/>
      <c r="U332" s="40"/>
      <c r="V332" s="40"/>
      <c r="W332" s="41"/>
      <c r="X332" s="41"/>
      <c r="Y332" s="41"/>
      <c r="Z332" s="3"/>
      <c r="AA332" s="3"/>
      <c r="AB332" s="40"/>
      <c r="AC332" s="40"/>
      <c r="AD332" s="40"/>
      <c r="AE332" s="40"/>
      <c r="AF332" s="41"/>
      <c r="AG332" s="3"/>
      <c r="AH332" s="3"/>
      <c r="AI332" s="40"/>
      <c r="AJ332" s="40"/>
      <c r="AK332" s="40"/>
      <c r="AL332" s="40"/>
      <c r="AM332" s="41"/>
      <c r="AN332" s="3"/>
      <c r="AO332" s="3"/>
      <c r="AP332" s="40"/>
      <c r="AQ332" s="40"/>
      <c r="AR332" s="40"/>
      <c r="AS332" s="40"/>
      <c r="AT332" s="41"/>
    </row>
    <row r="333" spans="1:46" ht="13" hidden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40"/>
      <c r="T333" s="40"/>
      <c r="U333" s="40"/>
      <c r="V333" s="40"/>
      <c r="W333" s="41"/>
      <c r="X333" s="41"/>
      <c r="Y333" s="41"/>
      <c r="Z333" s="3"/>
      <c r="AA333" s="3"/>
      <c r="AB333" s="40"/>
      <c r="AC333" s="40"/>
      <c r="AD333" s="40"/>
      <c r="AE333" s="40"/>
      <c r="AF333" s="41"/>
      <c r="AG333" s="3"/>
      <c r="AH333" s="3"/>
      <c r="AI333" s="40"/>
      <c r="AJ333" s="40"/>
      <c r="AK333" s="40"/>
      <c r="AL333" s="40"/>
      <c r="AM333" s="41"/>
      <c r="AN333" s="3"/>
      <c r="AO333" s="3"/>
      <c r="AP333" s="40"/>
      <c r="AQ333" s="40"/>
      <c r="AR333" s="40"/>
      <c r="AS333" s="40"/>
      <c r="AT333" s="41"/>
    </row>
    <row r="334" spans="1:46" ht="13" hidden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40"/>
      <c r="T334" s="40"/>
      <c r="U334" s="40"/>
      <c r="V334" s="40"/>
      <c r="W334" s="41"/>
      <c r="X334" s="41"/>
      <c r="Y334" s="41"/>
      <c r="Z334" s="3"/>
      <c r="AA334" s="3"/>
      <c r="AB334" s="40"/>
      <c r="AC334" s="40"/>
      <c r="AD334" s="40"/>
      <c r="AE334" s="40"/>
      <c r="AF334" s="41"/>
      <c r="AG334" s="3"/>
      <c r="AH334" s="3"/>
      <c r="AI334" s="40"/>
      <c r="AJ334" s="40"/>
      <c r="AK334" s="40"/>
      <c r="AL334" s="40"/>
      <c r="AM334" s="41"/>
      <c r="AN334" s="3"/>
      <c r="AO334" s="3"/>
      <c r="AP334" s="40"/>
      <c r="AQ334" s="40"/>
      <c r="AR334" s="40"/>
      <c r="AS334" s="40"/>
      <c r="AT334" s="41"/>
    </row>
    <row r="335" spans="1:46" ht="13" hidden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40"/>
      <c r="T335" s="40"/>
      <c r="U335" s="40"/>
      <c r="V335" s="40"/>
      <c r="W335" s="41"/>
      <c r="X335" s="41"/>
      <c r="Y335" s="41"/>
      <c r="Z335" s="3"/>
      <c r="AA335" s="3"/>
      <c r="AB335" s="40"/>
      <c r="AC335" s="40"/>
      <c r="AD335" s="40"/>
      <c r="AE335" s="40"/>
      <c r="AF335" s="41"/>
      <c r="AG335" s="3"/>
      <c r="AH335" s="3"/>
      <c r="AI335" s="40"/>
      <c r="AJ335" s="40"/>
      <c r="AK335" s="40"/>
      <c r="AL335" s="40"/>
      <c r="AM335" s="41"/>
      <c r="AN335" s="3"/>
      <c r="AO335" s="3"/>
      <c r="AP335" s="40"/>
      <c r="AQ335" s="40"/>
      <c r="AR335" s="40"/>
      <c r="AS335" s="40"/>
      <c r="AT335" s="41"/>
    </row>
    <row r="336" spans="1:46" ht="13" hidden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40"/>
      <c r="T336" s="40"/>
      <c r="U336" s="40"/>
      <c r="V336" s="40"/>
      <c r="W336" s="41"/>
      <c r="X336" s="41"/>
      <c r="Y336" s="41"/>
      <c r="Z336" s="3"/>
      <c r="AA336" s="3"/>
      <c r="AB336" s="40"/>
      <c r="AC336" s="40"/>
      <c r="AD336" s="40"/>
      <c r="AE336" s="40"/>
      <c r="AF336" s="41"/>
      <c r="AG336" s="3"/>
      <c r="AH336" s="3"/>
      <c r="AI336" s="40"/>
      <c r="AJ336" s="40"/>
      <c r="AK336" s="40"/>
      <c r="AL336" s="40"/>
      <c r="AM336" s="41"/>
      <c r="AN336" s="3"/>
      <c r="AO336" s="3"/>
      <c r="AP336" s="40"/>
      <c r="AQ336" s="40"/>
      <c r="AR336" s="40"/>
      <c r="AS336" s="40"/>
      <c r="AT336" s="41"/>
    </row>
    <row r="337" spans="1:46" ht="13" hidden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40"/>
      <c r="T337" s="40"/>
      <c r="U337" s="40"/>
      <c r="V337" s="40"/>
      <c r="W337" s="41"/>
      <c r="X337" s="41"/>
      <c r="Y337" s="41"/>
      <c r="Z337" s="3"/>
      <c r="AA337" s="3"/>
      <c r="AB337" s="40"/>
      <c r="AC337" s="40"/>
      <c r="AD337" s="40"/>
      <c r="AE337" s="40"/>
      <c r="AF337" s="41"/>
      <c r="AG337" s="3"/>
      <c r="AH337" s="3"/>
      <c r="AI337" s="40"/>
      <c r="AJ337" s="40"/>
      <c r="AK337" s="40"/>
      <c r="AL337" s="40"/>
      <c r="AM337" s="41"/>
      <c r="AN337" s="3"/>
      <c r="AO337" s="3"/>
      <c r="AP337" s="40"/>
      <c r="AQ337" s="40"/>
      <c r="AR337" s="40"/>
      <c r="AS337" s="40"/>
      <c r="AT337" s="41"/>
    </row>
    <row r="338" spans="1:46" ht="13" hidden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40"/>
      <c r="T338" s="40"/>
      <c r="U338" s="40"/>
      <c r="V338" s="40"/>
      <c r="W338" s="41"/>
      <c r="X338" s="41"/>
      <c r="Y338" s="41"/>
      <c r="Z338" s="3"/>
      <c r="AA338" s="3"/>
      <c r="AB338" s="40"/>
      <c r="AC338" s="40"/>
      <c r="AD338" s="40"/>
      <c r="AE338" s="40"/>
      <c r="AF338" s="41"/>
      <c r="AG338" s="3"/>
      <c r="AH338" s="3"/>
      <c r="AI338" s="40"/>
      <c r="AJ338" s="40"/>
      <c r="AK338" s="40"/>
      <c r="AL338" s="40"/>
      <c r="AM338" s="41"/>
      <c r="AN338" s="3"/>
      <c r="AO338" s="3"/>
      <c r="AP338" s="40"/>
      <c r="AQ338" s="40"/>
      <c r="AR338" s="40"/>
      <c r="AS338" s="40"/>
      <c r="AT338" s="41"/>
    </row>
    <row r="339" spans="1:46" ht="13" hidden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40"/>
      <c r="T339" s="40"/>
      <c r="U339" s="40"/>
      <c r="V339" s="40"/>
      <c r="W339" s="41"/>
      <c r="X339" s="41"/>
      <c r="Y339" s="41"/>
      <c r="Z339" s="3"/>
      <c r="AA339" s="3"/>
      <c r="AB339" s="40"/>
      <c r="AC339" s="40"/>
      <c r="AD339" s="40"/>
      <c r="AE339" s="40"/>
      <c r="AF339" s="41"/>
      <c r="AG339" s="3"/>
      <c r="AH339" s="3"/>
      <c r="AI339" s="40"/>
      <c r="AJ339" s="40"/>
      <c r="AK339" s="40"/>
      <c r="AL339" s="40"/>
      <c r="AM339" s="41"/>
      <c r="AN339" s="3"/>
      <c r="AO339" s="3"/>
      <c r="AP339" s="40"/>
      <c r="AQ339" s="40"/>
      <c r="AR339" s="40"/>
      <c r="AS339" s="40"/>
      <c r="AT339" s="41"/>
    </row>
    <row r="340" spans="1:46" ht="13" hidden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40"/>
      <c r="T340" s="40"/>
      <c r="U340" s="40"/>
      <c r="V340" s="40"/>
      <c r="W340" s="41"/>
      <c r="X340" s="41"/>
      <c r="Y340" s="41"/>
      <c r="Z340" s="3"/>
      <c r="AA340" s="3"/>
      <c r="AB340" s="40"/>
      <c r="AC340" s="40"/>
      <c r="AD340" s="40"/>
      <c r="AE340" s="40"/>
      <c r="AF340" s="41"/>
      <c r="AG340" s="3"/>
      <c r="AH340" s="3"/>
      <c r="AI340" s="40"/>
      <c r="AJ340" s="40"/>
      <c r="AK340" s="40"/>
      <c r="AL340" s="40"/>
      <c r="AM340" s="41"/>
      <c r="AN340" s="3"/>
      <c r="AO340" s="3"/>
      <c r="AP340" s="40"/>
      <c r="AQ340" s="40"/>
      <c r="AR340" s="40"/>
      <c r="AS340" s="40"/>
      <c r="AT340" s="41"/>
    </row>
    <row r="341" spans="1:46" ht="13" hidden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40"/>
      <c r="T341" s="40"/>
      <c r="U341" s="40"/>
      <c r="V341" s="40"/>
      <c r="W341" s="41"/>
      <c r="X341" s="41"/>
      <c r="Y341" s="41"/>
      <c r="Z341" s="3"/>
      <c r="AA341" s="3"/>
      <c r="AB341" s="40"/>
      <c r="AC341" s="40"/>
      <c r="AD341" s="40"/>
      <c r="AE341" s="40"/>
      <c r="AF341" s="41"/>
      <c r="AG341" s="3"/>
      <c r="AH341" s="3"/>
      <c r="AI341" s="40"/>
      <c r="AJ341" s="40"/>
      <c r="AK341" s="40"/>
      <c r="AL341" s="40"/>
      <c r="AM341" s="41"/>
      <c r="AN341" s="3"/>
      <c r="AO341" s="3"/>
      <c r="AP341" s="40"/>
      <c r="AQ341" s="40"/>
      <c r="AR341" s="40"/>
      <c r="AS341" s="40"/>
      <c r="AT341" s="41"/>
    </row>
    <row r="342" spans="1:46" ht="13" hidden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40"/>
      <c r="T342" s="40"/>
      <c r="U342" s="40"/>
      <c r="V342" s="40"/>
      <c r="W342" s="41"/>
      <c r="X342" s="41"/>
      <c r="Y342" s="41"/>
      <c r="Z342" s="3"/>
      <c r="AA342" s="3"/>
      <c r="AB342" s="40"/>
      <c r="AC342" s="40"/>
      <c r="AD342" s="40"/>
      <c r="AE342" s="40"/>
      <c r="AF342" s="41"/>
      <c r="AG342" s="3"/>
      <c r="AH342" s="3"/>
      <c r="AI342" s="40"/>
      <c r="AJ342" s="40"/>
      <c r="AK342" s="40"/>
      <c r="AL342" s="40"/>
      <c r="AM342" s="41"/>
      <c r="AN342" s="3"/>
      <c r="AO342" s="3"/>
      <c r="AP342" s="40"/>
      <c r="AQ342" s="40"/>
      <c r="AR342" s="40"/>
      <c r="AS342" s="40"/>
      <c r="AT342" s="41"/>
    </row>
    <row r="343" spans="1:46" ht="13" hidden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40"/>
      <c r="T343" s="40"/>
      <c r="U343" s="40"/>
      <c r="V343" s="40"/>
      <c r="W343" s="41"/>
      <c r="X343" s="41"/>
      <c r="Y343" s="41"/>
      <c r="Z343" s="3"/>
      <c r="AA343" s="3"/>
      <c r="AB343" s="40"/>
      <c r="AC343" s="40"/>
      <c r="AD343" s="40"/>
      <c r="AE343" s="40"/>
      <c r="AF343" s="41"/>
      <c r="AG343" s="3"/>
      <c r="AH343" s="3"/>
      <c r="AI343" s="40"/>
      <c r="AJ343" s="40"/>
      <c r="AK343" s="40"/>
      <c r="AL343" s="40"/>
      <c r="AM343" s="41"/>
      <c r="AN343" s="3"/>
      <c r="AO343" s="3"/>
      <c r="AP343" s="40"/>
      <c r="AQ343" s="40"/>
      <c r="AR343" s="40"/>
      <c r="AS343" s="40"/>
      <c r="AT343" s="41"/>
    </row>
    <row r="344" spans="1:46" ht="13" hidden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40"/>
      <c r="T344" s="40"/>
      <c r="U344" s="40"/>
      <c r="V344" s="40"/>
      <c r="W344" s="41"/>
      <c r="X344" s="41"/>
      <c r="Y344" s="41"/>
      <c r="Z344" s="3"/>
      <c r="AA344" s="3"/>
      <c r="AB344" s="40"/>
      <c r="AC344" s="40"/>
      <c r="AD344" s="40"/>
      <c r="AE344" s="40"/>
      <c r="AF344" s="41"/>
      <c r="AG344" s="3"/>
      <c r="AH344" s="3"/>
      <c r="AI344" s="40"/>
      <c r="AJ344" s="40"/>
      <c r="AK344" s="40"/>
      <c r="AL344" s="40"/>
      <c r="AM344" s="41"/>
      <c r="AN344" s="3"/>
      <c r="AO344" s="3"/>
      <c r="AP344" s="40"/>
      <c r="AQ344" s="40"/>
      <c r="AR344" s="40"/>
      <c r="AS344" s="40"/>
      <c r="AT344" s="41"/>
    </row>
    <row r="345" spans="1:46" ht="13" hidden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40"/>
      <c r="T345" s="40"/>
      <c r="U345" s="40"/>
      <c r="V345" s="40"/>
      <c r="W345" s="41"/>
      <c r="X345" s="41"/>
      <c r="Y345" s="41"/>
      <c r="Z345" s="3"/>
      <c r="AA345" s="3"/>
      <c r="AB345" s="40"/>
      <c r="AC345" s="40"/>
      <c r="AD345" s="40"/>
      <c r="AE345" s="40"/>
      <c r="AF345" s="41"/>
      <c r="AG345" s="3"/>
      <c r="AH345" s="3"/>
      <c r="AI345" s="40"/>
      <c r="AJ345" s="40"/>
      <c r="AK345" s="40"/>
      <c r="AL345" s="40"/>
      <c r="AM345" s="41"/>
      <c r="AN345" s="3"/>
      <c r="AO345" s="3"/>
      <c r="AP345" s="40"/>
      <c r="AQ345" s="40"/>
      <c r="AR345" s="40"/>
      <c r="AS345" s="40"/>
      <c r="AT345" s="41"/>
    </row>
    <row r="346" spans="1:46" ht="13" hidden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40"/>
      <c r="T346" s="40"/>
      <c r="U346" s="40"/>
      <c r="V346" s="40"/>
      <c r="W346" s="41"/>
      <c r="X346" s="41"/>
      <c r="Y346" s="41"/>
      <c r="Z346" s="3"/>
      <c r="AA346" s="3"/>
      <c r="AB346" s="40"/>
      <c r="AC346" s="40"/>
      <c r="AD346" s="40"/>
      <c r="AE346" s="40"/>
      <c r="AF346" s="41"/>
      <c r="AG346" s="3"/>
      <c r="AH346" s="3"/>
      <c r="AI346" s="40"/>
      <c r="AJ346" s="40"/>
      <c r="AK346" s="40"/>
      <c r="AL346" s="40"/>
      <c r="AM346" s="41"/>
      <c r="AN346" s="3"/>
      <c r="AO346" s="3"/>
      <c r="AP346" s="40"/>
      <c r="AQ346" s="40"/>
      <c r="AR346" s="40"/>
      <c r="AS346" s="40"/>
      <c r="AT346" s="41"/>
    </row>
    <row r="347" spans="1:46" ht="13" hidden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40"/>
      <c r="T347" s="40"/>
      <c r="U347" s="40"/>
      <c r="V347" s="40"/>
      <c r="W347" s="41"/>
      <c r="X347" s="41"/>
      <c r="Y347" s="41"/>
      <c r="Z347" s="3"/>
      <c r="AA347" s="3"/>
      <c r="AB347" s="40"/>
      <c r="AC347" s="40"/>
      <c r="AD347" s="40"/>
      <c r="AE347" s="40"/>
      <c r="AF347" s="41"/>
      <c r="AG347" s="3"/>
      <c r="AH347" s="3"/>
      <c r="AI347" s="40"/>
      <c r="AJ347" s="40"/>
      <c r="AK347" s="40"/>
      <c r="AL347" s="40"/>
      <c r="AM347" s="41"/>
      <c r="AN347" s="3"/>
      <c r="AO347" s="3"/>
      <c r="AP347" s="40"/>
      <c r="AQ347" s="40"/>
      <c r="AR347" s="40"/>
      <c r="AS347" s="40"/>
      <c r="AT347" s="41"/>
    </row>
    <row r="348" spans="1:46" ht="13" hidden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40"/>
      <c r="T348" s="40"/>
      <c r="U348" s="40"/>
      <c r="V348" s="40"/>
      <c r="W348" s="41"/>
      <c r="X348" s="41"/>
      <c r="Y348" s="41"/>
      <c r="Z348" s="3"/>
      <c r="AA348" s="3"/>
      <c r="AB348" s="40"/>
      <c r="AC348" s="40"/>
      <c r="AD348" s="40"/>
      <c r="AE348" s="40"/>
      <c r="AF348" s="41"/>
      <c r="AG348" s="3"/>
      <c r="AH348" s="3"/>
      <c r="AI348" s="40"/>
      <c r="AJ348" s="40"/>
      <c r="AK348" s="40"/>
      <c r="AL348" s="40"/>
      <c r="AM348" s="41"/>
      <c r="AN348" s="3"/>
      <c r="AO348" s="3"/>
      <c r="AP348" s="40"/>
      <c r="AQ348" s="40"/>
      <c r="AR348" s="40"/>
      <c r="AS348" s="40"/>
      <c r="AT348" s="41"/>
    </row>
    <row r="349" spans="1:46" ht="13" hidden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40"/>
      <c r="T349" s="40"/>
      <c r="U349" s="40"/>
      <c r="V349" s="40"/>
      <c r="W349" s="41"/>
      <c r="X349" s="41"/>
      <c r="Y349" s="41"/>
      <c r="Z349" s="3"/>
      <c r="AA349" s="3"/>
      <c r="AB349" s="40"/>
      <c r="AC349" s="40"/>
      <c r="AD349" s="40"/>
      <c r="AE349" s="40"/>
      <c r="AF349" s="41"/>
      <c r="AG349" s="3"/>
      <c r="AH349" s="3"/>
      <c r="AI349" s="40"/>
      <c r="AJ349" s="40"/>
      <c r="AK349" s="40"/>
      <c r="AL349" s="40"/>
      <c r="AM349" s="41"/>
      <c r="AN349" s="3"/>
      <c r="AO349" s="3"/>
      <c r="AP349" s="40"/>
      <c r="AQ349" s="40"/>
      <c r="AR349" s="40"/>
      <c r="AS349" s="40"/>
      <c r="AT349" s="41"/>
    </row>
    <row r="350" spans="1:46" ht="13" hidden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40"/>
      <c r="T350" s="40"/>
      <c r="U350" s="40"/>
      <c r="V350" s="40"/>
      <c r="W350" s="41"/>
      <c r="X350" s="41"/>
      <c r="Y350" s="41"/>
      <c r="Z350" s="3"/>
      <c r="AA350" s="3"/>
      <c r="AB350" s="40"/>
      <c r="AC350" s="40"/>
      <c r="AD350" s="40"/>
      <c r="AE350" s="40"/>
      <c r="AF350" s="41"/>
      <c r="AG350" s="3"/>
      <c r="AH350" s="3"/>
      <c r="AI350" s="40"/>
      <c r="AJ350" s="40"/>
      <c r="AK350" s="40"/>
      <c r="AL350" s="40"/>
      <c r="AM350" s="41"/>
      <c r="AN350" s="3"/>
      <c r="AO350" s="3"/>
      <c r="AP350" s="40"/>
      <c r="AQ350" s="40"/>
      <c r="AR350" s="40"/>
      <c r="AS350" s="40"/>
      <c r="AT350" s="41"/>
    </row>
    <row r="351" spans="1:46" ht="13" hidden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40"/>
      <c r="T351" s="40"/>
      <c r="U351" s="40"/>
      <c r="V351" s="40"/>
      <c r="W351" s="41"/>
      <c r="X351" s="41"/>
      <c r="Y351" s="41"/>
      <c r="Z351" s="3"/>
      <c r="AA351" s="3"/>
      <c r="AB351" s="40"/>
      <c r="AC351" s="40"/>
      <c r="AD351" s="40"/>
      <c r="AE351" s="40"/>
      <c r="AF351" s="41"/>
      <c r="AG351" s="3"/>
      <c r="AH351" s="3"/>
      <c r="AI351" s="40"/>
      <c r="AJ351" s="40"/>
      <c r="AK351" s="40"/>
      <c r="AL351" s="40"/>
      <c r="AM351" s="41"/>
      <c r="AN351" s="3"/>
      <c r="AO351" s="3"/>
      <c r="AP351" s="40"/>
      <c r="AQ351" s="40"/>
      <c r="AR351" s="40"/>
      <c r="AS351" s="40"/>
      <c r="AT351" s="41"/>
    </row>
    <row r="352" spans="1:46" ht="13" hidden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40"/>
      <c r="T352" s="40"/>
      <c r="U352" s="40"/>
      <c r="V352" s="40"/>
      <c r="W352" s="41"/>
      <c r="X352" s="41"/>
      <c r="Y352" s="41"/>
      <c r="Z352" s="3"/>
      <c r="AA352" s="3"/>
      <c r="AB352" s="40"/>
      <c r="AC352" s="40"/>
      <c r="AD352" s="40"/>
      <c r="AE352" s="40"/>
      <c r="AF352" s="41"/>
      <c r="AG352" s="3"/>
      <c r="AH352" s="3"/>
      <c r="AI352" s="40"/>
      <c r="AJ352" s="40"/>
      <c r="AK352" s="40"/>
      <c r="AL352" s="40"/>
      <c r="AM352" s="41"/>
      <c r="AN352" s="3"/>
      <c r="AO352" s="3"/>
      <c r="AP352" s="40"/>
      <c r="AQ352" s="40"/>
      <c r="AR352" s="40"/>
      <c r="AS352" s="40"/>
      <c r="AT352" s="41"/>
    </row>
    <row r="353" spans="1:46" ht="13" hidden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40"/>
      <c r="T353" s="40"/>
      <c r="U353" s="40"/>
      <c r="V353" s="40"/>
      <c r="W353" s="41"/>
      <c r="X353" s="41"/>
      <c r="Y353" s="41"/>
      <c r="Z353" s="3"/>
      <c r="AA353" s="3"/>
      <c r="AB353" s="40"/>
      <c r="AC353" s="40"/>
      <c r="AD353" s="40"/>
      <c r="AE353" s="40"/>
      <c r="AF353" s="41"/>
      <c r="AG353" s="3"/>
      <c r="AH353" s="3"/>
      <c r="AI353" s="40"/>
      <c r="AJ353" s="40"/>
      <c r="AK353" s="40"/>
      <c r="AL353" s="40"/>
      <c r="AM353" s="41"/>
      <c r="AN353" s="3"/>
      <c r="AO353" s="3"/>
      <c r="AP353" s="40"/>
      <c r="AQ353" s="40"/>
      <c r="AR353" s="40"/>
      <c r="AS353" s="40"/>
      <c r="AT353" s="41"/>
    </row>
    <row r="354" spans="1:46" ht="13" hidden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40"/>
      <c r="T354" s="40"/>
      <c r="U354" s="40"/>
      <c r="V354" s="40"/>
      <c r="W354" s="41"/>
      <c r="X354" s="41"/>
      <c r="Y354" s="41"/>
      <c r="Z354" s="3"/>
      <c r="AA354" s="3"/>
      <c r="AB354" s="40"/>
      <c r="AC354" s="40"/>
      <c r="AD354" s="40"/>
      <c r="AE354" s="40"/>
      <c r="AF354" s="41"/>
      <c r="AG354" s="3"/>
      <c r="AH354" s="3"/>
      <c r="AI354" s="40"/>
      <c r="AJ354" s="40"/>
      <c r="AK354" s="40"/>
      <c r="AL354" s="40"/>
      <c r="AM354" s="41"/>
      <c r="AN354" s="3"/>
      <c r="AO354" s="3"/>
      <c r="AP354" s="40"/>
      <c r="AQ354" s="40"/>
      <c r="AR354" s="40"/>
      <c r="AS354" s="40"/>
      <c r="AT354" s="41"/>
    </row>
    <row r="355" spans="1:46" ht="13" hidden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40"/>
      <c r="T355" s="40"/>
      <c r="U355" s="40"/>
      <c r="V355" s="40"/>
      <c r="W355" s="41"/>
      <c r="X355" s="41"/>
      <c r="Y355" s="41"/>
      <c r="Z355" s="3"/>
      <c r="AA355" s="3"/>
      <c r="AB355" s="40"/>
      <c r="AC355" s="40"/>
      <c r="AD355" s="40"/>
      <c r="AE355" s="40"/>
      <c r="AF355" s="41"/>
      <c r="AG355" s="3"/>
      <c r="AH355" s="3"/>
      <c r="AI355" s="40"/>
      <c r="AJ355" s="40"/>
      <c r="AK355" s="40"/>
      <c r="AL355" s="40"/>
      <c r="AM355" s="41"/>
      <c r="AN355" s="3"/>
      <c r="AO355" s="3"/>
      <c r="AP355" s="40"/>
      <c r="AQ355" s="40"/>
      <c r="AR355" s="40"/>
      <c r="AS355" s="40"/>
      <c r="AT355" s="41"/>
    </row>
    <row r="356" spans="1:46" ht="13" hidden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40"/>
      <c r="T356" s="40"/>
      <c r="U356" s="40"/>
      <c r="V356" s="40"/>
      <c r="W356" s="41"/>
      <c r="X356" s="41"/>
      <c r="Y356" s="41"/>
      <c r="Z356" s="3"/>
      <c r="AA356" s="3"/>
      <c r="AB356" s="40"/>
      <c r="AC356" s="40"/>
      <c r="AD356" s="40"/>
      <c r="AE356" s="40"/>
      <c r="AF356" s="41"/>
      <c r="AG356" s="3"/>
      <c r="AH356" s="3"/>
      <c r="AI356" s="40"/>
      <c r="AJ356" s="40"/>
      <c r="AK356" s="40"/>
      <c r="AL356" s="40"/>
      <c r="AM356" s="41"/>
      <c r="AN356" s="3"/>
      <c r="AO356" s="3"/>
      <c r="AP356" s="40"/>
      <c r="AQ356" s="40"/>
      <c r="AR356" s="40"/>
      <c r="AS356" s="40"/>
      <c r="AT356" s="41"/>
    </row>
    <row r="357" spans="1:46" ht="13" hidden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40"/>
      <c r="T357" s="40"/>
      <c r="U357" s="40"/>
      <c r="V357" s="40"/>
      <c r="W357" s="41"/>
      <c r="X357" s="41"/>
      <c r="Y357" s="41"/>
      <c r="Z357" s="3"/>
      <c r="AA357" s="3"/>
      <c r="AB357" s="40"/>
      <c r="AC357" s="40"/>
      <c r="AD357" s="40"/>
      <c r="AE357" s="40"/>
      <c r="AF357" s="41"/>
      <c r="AG357" s="3"/>
      <c r="AH357" s="3"/>
      <c r="AI357" s="40"/>
      <c r="AJ357" s="40"/>
      <c r="AK357" s="40"/>
      <c r="AL357" s="40"/>
      <c r="AM357" s="41"/>
      <c r="AN357" s="3"/>
      <c r="AO357" s="3"/>
      <c r="AP357" s="40"/>
      <c r="AQ357" s="40"/>
      <c r="AR357" s="40"/>
      <c r="AS357" s="40"/>
      <c r="AT357" s="41"/>
    </row>
    <row r="358" spans="1:46" ht="13" hidden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40"/>
      <c r="T358" s="40"/>
      <c r="U358" s="40"/>
      <c r="V358" s="40"/>
      <c r="W358" s="41"/>
      <c r="X358" s="41"/>
      <c r="Y358" s="41"/>
      <c r="Z358" s="3"/>
      <c r="AA358" s="3"/>
      <c r="AB358" s="40"/>
      <c r="AC358" s="40"/>
      <c r="AD358" s="40"/>
      <c r="AE358" s="40"/>
      <c r="AF358" s="41"/>
      <c r="AG358" s="3"/>
      <c r="AH358" s="3"/>
      <c r="AI358" s="40"/>
      <c r="AJ358" s="40"/>
      <c r="AK358" s="40"/>
      <c r="AL358" s="40"/>
      <c r="AM358" s="41"/>
      <c r="AN358" s="3"/>
      <c r="AO358" s="3"/>
      <c r="AP358" s="40"/>
      <c r="AQ358" s="40"/>
      <c r="AR358" s="40"/>
      <c r="AS358" s="40"/>
      <c r="AT358" s="41"/>
    </row>
    <row r="359" spans="1:46" ht="13" hidden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40"/>
      <c r="T359" s="40"/>
      <c r="U359" s="40"/>
      <c r="V359" s="40"/>
      <c r="W359" s="41"/>
      <c r="X359" s="41"/>
      <c r="Y359" s="41"/>
      <c r="Z359" s="3"/>
      <c r="AA359" s="3"/>
      <c r="AB359" s="40"/>
      <c r="AC359" s="40"/>
      <c r="AD359" s="40"/>
      <c r="AE359" s="40"/>
      <c r="AF359" s="41"/>
      <c r="AG359" s="3"/>
      <c r="AH359" s="3"/>
      <c r="AI359" s="40"/>
      <c r="AJ359" s="40"/>
      <c r="AK359" s="40"/>
      <c r="AL359" s="40"/>
      <c r="AM359" s="41"/>
      <c r="AN359" s="3"/>
      <c r="AO359" s="3"/>
      <c r="AP359" s="40"/>
      <c r="AQ359" s="40"/>
      <c r="AR359" s="40"/>
      <c r="AS359" s="40"/>
      <c r="AT359" s="41"/>
    </row>
    <row r="360" spans="1:46" ht="13" hidden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40"/>
      <c r="T360" s="40"/>
      <c r="U360" s="40"/>
      <c r="V360" s="40"/>
      <c r="W360" s="41"/>
      <c r="X360" s="41"/>
      <c r="Y360" s="41"/>
      <c r="Z360" s="3"/>
      <c r="AA360" s="3"/>
      <c r="AB360" s="40"/>
      <c r="AC360" s="40"/>
      <c r="AD360" s="40"/>
      <c r="AE360" s="40"/>
      <c r="AF360" s="41"/>
      <c r="AG360" s="3"/>
      <c r="AH360" s="3"/>
      <c r="AI360" s="40"/>
      <c r="AJ360" s="40"/>
      <c r="AK360" s="40"/>
      <c r="AL360" s="40"/>
      <c r="AM360" s="41"/>
      <c r="AN360" s="3"/>
      <c r="AO360" s="3"/>
      <c r="AP360" s="40"/>
      <c r="AQ360" s="40"/>
      <c r="AR360" s="40"/>
      <c r="AS360" s="40"/>
      <c r="AT360" s="41"/>
    </row>
    <row r="361" spans="1:46" ht="13" hidden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40"/>
      <c r="T361" s="40"/>
      <c r="U361" s="40"/>
      <c r="V361" s="40"/>
      <c r="W361" s="41"/>
      <c r="X361" s="41"/>
      <c r="Y361" s="41"/>
      <c r="Z361" s="3"/>
      <c r="AA361" s="3"/>
      <c r="AB361" s="40"/>
      <c r="AC361" s="40"/>
      <c r="AD361" s="40"/>
      <c r="AE361" s="40"/>
      <c r="AF361" s="41"/>
      <c r="AG361" s="3"/>
      <c r="AH361" s="3"/>
      <c r="AI361" s="40"/>
      <c r="AJ361" s="40"/>
      <c r="AK361" s="40"/>
      <c r="AL361" s="40"/>
      <c r="AM361" s="41"/>
      <c r="AN361" s="3"/>
      <c r="AO361" s="3"/>
      <c r="AP361" s="40"/>
      <c r="AQ361" s="40"/>
      <c r="AR361" s="40"/>
      <c r="AS361" s="40"/>
      <c r="AT361" s="41"/>
    </row>
    <row r="362" spans="1:46" ht="13" hidden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40"/>
      <c r="T362" s="40"/>
      <c r="U362" s="40"/>
      <c r="V362" s="40"/>
      <c r="W362" s="41"/>
      <c r="X362" s="41"/>
      <c r="Y362" s="41"/>
      <c r="Z362" s="3"/>
      <c r="AA362" s="3"/>
      <c r="AB362" s="40"/>
      <c r="AC362" s="40"/>
      <c r="AD362" s="40"/>
      <c r="AE362" s="40"/>
      <c r="AF362" s="41"/>
      <c r="AG362" s="3"/>
      <c r="AH362" s="3"/>
      <c r="AI362" s="40"/>
      <c r="AJ362" s="40"/>
      <c r="AK362" s="40"/>
      <c r="AL362" s="40"/>
      <c r="AM362" s="41"/>
      <c r="AN362" s="3"/>
      <c r="AO362" s="3"/>
      <c r="AP362" s="40"/>
      <c r="AQ362" s="40"/>
      <c r="AR362" s="40"/>
      <c r="AS362" s="40"/>
      <c r="AT362" s="41"/>
    </row>
    <row r="363" spans="1:46" ht="13" hidden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40"/>
      <c r="T363" s="40"/>
      <c r="U363" s="40"/>
      <c r="V363" s="40"/>
      <c r="W363" s="41"/>
      <c r="X363" s="41"/>
      <c r="Y363" s="41"/>
      <c r="Z363" s="3"/>
      <c r="AA363" s="3"/>
      <c r="AB363" s="40"/>
      <c r="AC363" s="40"/>
      <c r="AD363" s="40"/>
      <c r="AE363" s="40"/>
      <c r="AF363" s="41"/>
      <c r="AG363" s="3"/>
      <c r="AH363" s="3"/>
      <c r="AI363" s="40"/>
      <c r="AJ363" s="40"/>
      <c r="AK363" s="40"/>
      <c r="AL363" s="40"/>
      <c r="AM363" s="41"/>
      <c r="AN363" s="3"/>
      <c r="AO363" s="3"/>
      <c r="AP363" s="40"/>
      <c r="AQ363" s="40"/>
      <c r="AR363" s="40"/>
      <c r="AS363" s="40"/>
      <c r="AT363" s="41"/>
    </row>
    <row r="364" spans="1:46" ht="13" hidden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40"/>
      <c r="T364" s="40"/>
      <c r="U364" s="40"/>
      <c r="V364" s="40"/>
      <c r="W364" s="41"/>
      <c r="X364" s="41"/>
      <c r="Y364" s="41"/>
      <c r="Z364" s="3"/>
      <c r="AA364" s="3"/>
      <c r="AB364" s="40"/>
      <c r="AC364" s="40"/>
      <c r="AD364" s="40"/>
      <c r="AE364" s="40"/>
      <c r="AF364" s="41"/>
      <c r="AG364" s="3"/>
      <c r="AH364" s="3"/>
      <c r="AI364" s="40"/>
      <c r="AJ364" s="40"/>
      <c r="AK364" s="40"/>
      <c r="AL364" s="40"/>
      <c r="AM364" s="41"/>
      <c r="AN364" s="3"/>
      <c r="AO364" s="3"/>
      <c r="AP364" s="40"/>
      <c r="AQ364" s="40"/>
      <c r="AR364" s="40"/>
      <c r="AS364" s="40"/>
      <c r="AT364" s="41"/>
    </row>
    <row r="365" spans="1:46" ht="13" hidden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40"/>
      <c r="T365" s="40"/>
      <c r="U365" s="40"/>
      <c r="V365" s="40"/>
      <c r="W365" s="41"/>
      <c r="X365" s="41"/>
      <c r="Y365" s="41"/>
      <c r="Z365" s="3"/>
      <c r="AA365" s="3"/>
      <c r="AB365" s="40"/>
      <c r="AC365" s="40"/>
      <c r="AD365" s="40"/>
      <c r="AE365" s="40"/>
      <c r="AF365" s="41"/>
      <c r="AG365" s="3"/>
      <c r="AH365" s="3"/>
      <c r="AI365" s="40"/>
      <c r="AJ365" s="40"/>
      <c r="AK365" s="40"/>
      <c r="AL365" s="40"/>
      <c r="AM365" s="41"/>
      <c r="AN365" s="3"/>
      <c r="AO365" s="3"/>
      <c r="AP365" s="40"/>
      <c r="AQ365" s="40"/>
      <c r="AR365" s="40"/>
      <c r="AS365" s="40"/>
      <c r="AT365" s="41"/>
    </row>
    <row r="366" spans="1:46" ht="13" hidden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40"/>
      <c r="T366" s="40"/>
      <c r="U366" s="40"/>
      <c r="V366" s="40"/>
      <c r="W366" s="41"/>
      <c r="X366" s="41"/>
      <c r="Y366" s="41"/>
      <c r="Z366" s="3"/>
      <c r="AA366" s="3"/>
      <c r="AB366" s="40"/>
      <c r="AC366" s="40"/>
      <c r="AD366" s="40"/>
      <c r="AE366" s="40"/>
      <c r="AF366" s="41"/>
      <c r="AG366" s="3"/>
      <c r="AH366" s="3"/>
      <c r="AI366" s="40"/>
      <c r="AJ366" s="40"/>
      <c r="AK366" s="40"/>
      <c r="AL366" s="40"/>
      <c r="AM366" s="41"/>
      <c r="AN366" s="3"/>
      <c r="AO366" s="3"/>
      <c r="AP366" s="40"/>
      <c r="AQ366" s="40"/>
      <c r="AR366" s="40"/>
      <c r="AS366" s="40"/>
      <c r="AT366" s="41"/>
    </row>
    <row r="367" spans="1:46" ht="13" hidden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40"/>
      <c r="T367" s="40"/>
      <c r="U367" s="40"/>
      <c r="V367" s="40"/>
      <c r="W367" s="41"/>
      <c r="X367" s="41"/>
      <c r="Y367" s="41"/>
      <c r="Z367" s="3"/>
      <c r="AA367" s="3"/>
      <c r="AB367" s="40"/>
      <c r="AC367" s="40"/>
      <c r="AD367" s="40"/>
      <c r="AE367" s="40"/>
      <c r="AF367" s="41"/>
      <c r="AG367" s="3"/>
      <c r="AH367" s="3"/>
      <c r="AI367" s="40"/>
      <c r="AJ367" s="40"/>
      <c r="AK367" s="40"/>
      <c r="AL367" s="40"/>
      <c r="AM367" s="41"/>
      <c r="AN367" s="3"/>
      <c r="AO367" s="3"/>
      <c r="AP367" s="40"/>
      <c r="AQ367" s="40"/>
      <c r="AR367" s="40"/>
      <c r="AS367" s="40"/>
      <c r="AT367" s="41"/>
    </row>
    <row r="368" spans="1:46" ht="13" hidden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40"/>
      <c r="T368" s="40"/>
      <c r="U368" s="40"/>
      <c r="V368" s="40"/>
      <c r="W368" s="41"/>
      <c r="X368" s="41"/>
      <c r="Y368" s="41"/>
      <c r="Z368" s="3"/>
      <c r="AA368" s="3"/>
      <c r="AB368" s="40"/>
      <c r="AC368" s="40"/>
      <c r="AD368" s="40"/>
      <c r="AE368" s="40"/>
      <c r="AF368" s="41"/>
      <c r="AG368" s="3"/>
      <c r="AH368" s="3"/>
      <c r="AI368" s="40"/>
      <c r="AJ368" s="40"/>
      <c r="AK368" s="40"/>
      <c r="AL368" s="40"/>
      <c r="AM368" s="41"/>
      <c r="AN368" s="3"/>
      <c r="AO368" s="3"/>
      <c r="AP368" s="40"/>
      <c r="AQ368" s="40"/>
      <c r="AR368" s="40"/>
      <c r="AS368" s="40"/>
      <c r="AT368" s="41"/>
    </row>
    <row r="369" spans="1:46" ht="13" hidden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40"/>
      <c r="T369" s="40"/>
      <c r="U369" s="40"/>
      <c r="V369" s="40"/>
      <c r="W369" s="41"/>
      <c r="X369" s="41"/>
      <c r="Y369" s="41"/>
      <c r="Z369" s="3"/>
      <c r="AA369" s="3"/>
      <c r="AB369" s="40"/>
      <c r="AC369" s="40"/>
      <c r="AD369" s="40"/>
      <c r="AE369" s="40"/>
      <c r="AF369" s="41"/>
      <c r="AG369" s="3"/>
      <c r="AH369" s="3"/>
      <c r="AI369" s="40"/>
      <c r="AJ369" s="40"/>
      <c r="AK369" s="40"/>
      <c r="AL369" s="40"/>
      <c r="AM369" s="41"/>
      <c r="AN369" s="3"/>
      <c r="AO369" s="3"/>
      <c r="AP369" s="40"/>
      <c r="AQ369" s="40"/>
      <c r="AR369" s="40"/>
      <c r="AS369" s="40"/>
      <c r="AT369" s="41"/>
    </row>
    <row r="370" spans="1:46" ht="13" hidden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40"/>
      <c r="T370" s="40"/>
      <c r="U370" s="40"/>
      <c r="V370" s="40"/>
      <c r="W370" s="41"/>
      <c r="X370" s="41"/>
      <c r="Y370" s="41"/>
      <c r="Z370" s="3"/>
      <c r="AA370" s="3"/>
      <c r="AB370" s="40"/>
      <c r="AC370" s="40"/>
      <c r="AD370" s="40"/>
      <c r="AE370" s="40"/>
      <c r="AF370" s="41"/>
      <c r="AG370" s="3"/>
      <c r="AH370" s="3"/>
      <c r="AI370" s="40"/>
      <c r="AJ370" s="40"/>
      <c r="AK370" s="40"/>
      <c r="AL370" s="40"/>
      <c r="AM370" s="41"/>
      <c r="AN370" s="3"/>
      <c r="AO370" s="3"/>
      <c r="AP370" s="40"/>
      <c r="AQ370" s="40"/>
      <c r="AR370" s="40"/>
      <c r="AS370" s="40"/>
      <c r="AT370" s="41"/>
    </row>
    <row r="371" spans="1:46" ht="13" hidden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40"/>
      <c r="T371" s="40"/>
      <c r="U371" s="40"/>
      <c r="V371" s="40"/>
      <c r="W371" s="41"/>
      <c r="X371" s="41"/>
      <c r="Y371" s="41"/>
      <c r="Z371" s="3"/>
      <c r="AA371" s="3"/>
      <c r="AB371" s="40"/>
      <c r="AC371" s="40"/>
      <c r="AD371" s="40"/>
      <c r="AE371" s="40"/>
      <c r="AF371" s="41"/>
      <c r="AG371" s="3"/>
      <c r="AH371" s="3"/>
      <c r="AI371" s="40"/>
      <c r="AJ371" s="40"/>
      <c r="AK371" s="40"/>
      <c r="AL371" s="40"/>
      <c r="AM371" s="41"/>
      <c r="AN371" s="3"/>
      <c r="AO371" s="3"/>
      <c r="AP371" s="40"/>
      <c r="AQ371" s="40"/>
      <c r="AR371" s="40"/>
      <c r="AS371" s="40"/>
      <c r="AT371" s="41"/>
    </row>
    <row r="372" spans="1:46" ht="13" hidden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40"/>
      <c r="T372" s="40"/>
      <c r="U372" s="40"/>
      <c r="V372" s="40"/>
      <c r="W372" s="41"/>
      <c r="X372" s="41"/>
      <c r="Y372" s="41"/>
      <c r="Z372" s="3"/>
      <c r="AA372" s="3"/>
      <c r="AB372" s="40"/>
      <c r="AC372" s="40"/>
      <c r="AD372" s="40"/>
      <c r="AE372" s="40"/>
      <c r="AF372" s="41"/>
      <c r="AG372" s="3"/>
      <c r="AH372" s="3"/>
      <c r="AI372" s="40"/>
      <c r="AJ372" s="40"/>
      <c r="AK372" s="40"/>
      <c r="AL372" s="40"/>
      <c r="AM372" s="41"/>
      <c r="AN372" s="3"/>
      <c r="AO372" s="3"/>
      <c r="AP372" s="40"/>
      <c r="AQ372" s="40"/>
      <c r="AR372" s="40"/>
      <c r="AS372" s="40"/>
      <c r="AT372" s="41"/>
    </row>
    <row r="373" spans="1:46" ht="13" hidden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40"/>
      <c r="T373" s="40"/>
      <c r="U373" s="40"/>
      <c r="V373" s="40"/>
      <c r="W373" s="41"/>
      <c r="X373" s="41"/>
      <c r="Y373" s="41"/>
      <c r="Z373" s="3"/>
      <c r="AA373" s="3"/>
      <c r="AB373" s="40"/>
      <c r="AC373" s="40"/>
      <c r="AD373" s="40"/>
      <c r="AE373" s="40"/>
      <c r="AF373" s="41"/>
      <c r="AG373" s="3"/>
      <c r="AH373" s="3"/>
      <c r="AI373" s="40"/>
      <c r="AJ373" s="40"/>
      <c r="AK373" s="40"/>
      <c r="AL373" s="40"/>
      <c r="AM373" s="41"/>
      <c r="AN373" s="3"/>
      <c r="AO373" s="3"/>
      <c r="AP373" s="40"/>
      <c r="AQ373" s="40"/>
      <c r="AR373" s="40"/>
      <c r="AS373" s="40"/>
      <c r="AT373" s="41"/>
    </row>
    <row r="374" spans="1:46" ht="13" hidden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40"/>
      <c r="T374" s="40"/>
      <c r="U374" s="40"/>
      <c r="V374" s="40"/>
      <c r="W374" s="41"/>
      <c r="X374" s="41"/>
      <c r="Y374" s="41"/>
      <c r="Z374" s="3"/>
      <c r="AA374" s="3"/>
      <c r="AB374" s="40"/>
      <c r="AC374" s="40"/>
      <c r="AD374" s="40"/>
      <c r="AE374" s="40"/>
      <c r="AF374" s="41"/>
      <c r="AG374" s="3"/>
      <c r="AH374" s="3"/>
      <c r="AI374" s="40"/>
      <c r="AJ374" s="40"/>
      <c r="AK374" s="40"/>
      <c r="AL374" s="40"/>
      <c r="AM374" s="41"/>
      <c r="AN374" s="3"/>
      <c r="AO374" s="3"/>
      <c r="AP374" s="40"/>
      <c r="AQ374" s="40"/>
      <c r="AR374" s="40"/>
      <c r="AS374" s="40"/>
      <c r="AT374" s="41"/>
    </row>
    <row r="375" spans="1:46" ht="13" hidden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40"/>
      <c r="T375" s="40"/>
      <c r="U375" s="40"/>
      <c r="V375" s="40"/>
      <c r="W375" s="41"/>
      <c r="X375" s="41"/>
      <c r="Y375" s="41"/>
      <c r="Z375" s="3"/>
      <c r="AA375" s="3"/>
      <c r="AB375" s="40"/>
      <c r="AC375" s="40"/>
      <c r="AD375" s="40"/>
      <c r="AE375" s="40"/>
      <c r="AF375" s="41"/>
      <c r="AG375" s="3"/>
      <c r="AH375" s="3"/>
      <c r="AI375" s="40"/>
      <c r="AJ375" s="40"/>
      <c r="AK375" s="40"/>
      <c r="AL375" s="40"/>
      <c r="AM375" s="41"/>
      <c r="AN375" s="3"/>
      <c r="AO375" s="3"/>
      <c r="AP375" s="40"/>
      <c r="AQ375" s="40"/>
      <c r="AR375" s="40"/>
      <c r="AS375" s="40"/>
      <c r="AT375" s="41"/>
    </row>
    <row r="376" spans="1:46" ht="13" hidden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40"/>
      <c r="T376" s="40"/>
      <c r="U376" s="40"/>
      <c r="V376" s="40"/>
      <c r="W376" s="41"/>
      <c r="X376" s="41"/>
      <c r="Y376" s="41"/>
      <c r="Z376" s="3"/>
      <c r="AA376" s="3"/>
      <c r="AB376" s="40"/>
      <c r="AC376" s="40"/>
      <c r="AD376" s="40"/>
      <c r="AE376" s="40"/>
      <c r="AF376" s="41"/>
      <c r="AG376" s="3"/>
      <c r="AH376" s="3"/>
      <c r="AI376" s="40"/>
      <c r="AJ376" s="40"/>
      <c r="AK376" s="40"/>
      <c r="AL376" s="40"/>
      <c r="AM376" s="41"/>
      <c r="AN376" s="3"/>
      <c r="AO376" s="3"/>
      <c r="AP376" s="40"/>
      <c r="AQ376" s="40"/>
      <c r="AR376" s="40"/>
      <c r="AS376" s="40"/>
      <c r="AT376" s="41"/>
    </row>
    <row r="377" spans="1:46" ht="13" hidden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40"/>
      <c r="T377" s="40"/>
      <c r="U377" s="40"/>
      <c r="V377" s="40"/>
      <c r="W377" s="41"/>
      <c r="X377" s="41"/>
      <c r="Y377" s="41"/>
      <c r="Z377" s="3"/>
      <c r="AA377" s="3"/>
      <c r="AB377" s="40"/>
      <c r="AC377" s="40"/>
      <c r="AD377" s="40"/>
      <c r="AE377" s="40"/>
      <c r="AF377" s="41"/>
      <c r="AG377" s="3"/>
      <c r="AH377" s="3"/>
      <c r="AI377" s="40"/>
      <c r="AJ377" s="40"/>
      <c r="AK377" s="40"/>
      <c r="AL377" s="40"/>
      <c r="AM377" s="41"/>
      <c r="AN377" s="3"/>
      <c r="AO377" s="3"/>
      <c r="AP377" s="40"/>
      <c r="AQ377" s="40"/>
      <c r="AR377" s="40"/>
      <c r="AS377" s="40"/>
      <c r="AT377" s="41"/>
    </row>
    <row r="378" spans="1:46" ht="13" hidden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40"/>
      <c r="T378" s="40"/>
      <c r="U378" s="40"/>
      <c r="V378" s="40"/>
      <c r="W378" s="41"/>
      <c r="X378" s="41"/>
      <c r="Y378" s="41"/>
      <c r="Z378" s="3"/>
      <c r="AA378" s="3"/>
      <c r="AB378" s="40"/>
      <c r="AC378" s="40"/>
      <c r="AD378" s="40"/>
      <c r="AE378" s="40"/>
      <c r="AF378" s="41"/>
      <c r="AG378" s="3"/>
      <c r="AH378" s="3"/>
      <c r="AI378" s="40"/>
      <c r="AJ378" s="40"/>
      <c r="AK378" s="40"/>
      <c r="AL378" s="40"/>
      <c r="AM378" s="41"/>
      <c r="AN378" s="3"/>
      <c r="AO378" s="3"/>
      <c r="AP378" s="40"/>
      <c r="AQ378" s="40"/>
      <c r="AR378" s="40"/>
      <c r="AS378" s="40"/>
      <c r="AT378" s="41"/>
    </row>
    <row r="379" spans="1:46" ht="13" hidden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40"/>
      <c r="T379" s="40"/>
      <c r="U379" s="40"/>
      <c r="V379" s="40"/>
      <c r="W379" s="41"/>
      <c r="X379" s="41"/>
      <c r="Y379" s="41"/>
      <c r="Z379" s="3"/>
      <c r="AA379" s="3"/>
      <c r="AB379" s="40"/>
      <c r="AC379" s="40"/>
      <c r="AD379" s="40"/>
      <c r="AE379" s="40"/>
      <c r="AF379" s="41"/>
      <c r="AG379" s="3"/>
      <c r="AH379" s="3"/>
      <c r="AI379" s="40"/>
      <c r="AJ379" s="40"/>
      <c r="AK379" s="40"/>
      <c r="AL379" s="40"/>
      <c r="AM379" s="41"/>
      <c r="AN379" s="3"/>
      <c r="AO379" s="3"/>
      <c r="AP379" s="40"/>
      <c r="AQ379" s="40"/>
      <c r="AR379" s="40"/>
      <c r="AS379" s="40"/>
      <c r="AT379" s="41"/>
    </row>
    <row r="380" spans="1:46" ht="13" hidden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40"/>
      <c r="T380" s="40"/>
      <c r="U380" s="40"/>
      <c r="V380" s="40"/>
      <c r="W380" s="41"/>
      <c r="X380" s="41"/>
      <c r="Y380" s="41"/>
      <c r="Z380" s="3"/>
      <c r="AA380" s="3"/>
      <c r="AB380" s="40"/>
      <c r="AC380" s="40"/>
      <c r="AD380" s="40"/>
      <c r="AE380" s="40"/>
      <c r="AF380" s="41"/>
      <c r="AG380" s="3"/>
      <c r="AH380" s="3"/>
      <c r="AI380" s="40"/>
      <c r="AJ380" s="40"/>
      <c r="AK380" s="40"/>
      <c r="AL380" s="40"/>
      <c r="AM380" s="41"/>
      <c r="AN380" s="3"/>
      <c r="AO380" s="3"/>
      <c r="AP380" s="40"/>
      <c r="AQ380" s="40"/>
      <c r="AR380" s="40"/>
      <c r="AS380" s="40"/>
      <c r="AT380" s="41"/>
    </row>
    <row r="381" spans="1:46" ht="13" hidden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40"/>
      <c r="T381" s="40"/>
      <c r="U381" s="40"/>
      <c r="V381" s="40"/>
      <c r="W381" s="41"/>
      <c r="X381" s="41"/>
      <c r="Y381" s="41"/>
      <c r="Z381" s="3"/>
      <c r="AA381" s="3"/>
      <c r="AB381" s="40"/>
      <c r="AC381" s="40"/>
      <c r="AD381" s="40"/>
      <c r="AE381" s="40"/>
      <c r="AF381" s="41"/>
      <c r="AG381" s="3"/>
      <c r="AH381" s="3"/>
      <c r="AI381" s="40"/>
      <c r="AJ381" s="40"/>
      <c r="AK381" s="40"/>
      <c r="AL381" s="40"/>
      <c r="AM381" s="41"/>
      <c r="AN381" s="3"/>
      <c r="AO381" s="3"/>
      <c r="AP381" s="40"/>
      <c r="AQ381" s="40"/>
      <c r="AR381" s="40"/>
      <c r="AS381" s="40"/>
      <c r="AT381" s="41"/>
    </row>
    <row r="382" spans="1:46" ht="13" hidden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40"/>
      <c r="T382" s="40"/>
      <c r="U382" s="40"/>
      <c r="V382" s="40"/>
      <c r="W382" s="41"/>
      <c r="X382" s="41"/>
      <c r="Y382" s="41"/>
      <c r="Z382" s="3"/>
      <c r="AA382" s="3"/>
      <c r="AB382" s="40"/>
      <c r="AC382" s="40"/>
      <c r="AD382" s="40"/>
      <c r="AE382" s="40"/>
      <c r="AF382" s="41"/>
      <c r="AG382" s="3"/>
      <c r="AH382" s="3"/>
      <c r="AI382" s="40"/>
      <c r="AJ382" s="40"/>
      <c r="AK382" s="40"/>
      <c r="AL382" s="40"/>
      <c r="AM382" s="41"/>
      <c r="AN382" s="3"/>
      <c r="AO382" s="3"/>
      <c r="AP382" s="40"/>
      <c r="AQ382" s="40"/>
      <c r="AR382" s="40"/>
      <c r="AS382" s="40"/>
      <c r="AT382" s="41"/>
    </row>
    <row r="383" spans="1:46" ht="13" hidden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40"/>
      <c r="T383" s="40"/>
      <c r="U383" s="40"/>
      <c r="V383" s="40"/>
      <c r="W383" s="41"/>
      <c r="X383" s="41"/>
      <c r="Y383" s="41"/>
      <c r="Z383" s="3"/>
      <c r="AA383" s="3"/>
      <c r="AB383" s="40"/>
      <c r="AC383" s="40"/>
      <c r="AD383" s="40"/>
      <c r="AE383" s="40"/>
      <c r="AF383" s="41"/>
      <c r="AG383" s="3"/>
      <c r="AH383" s="3"/>
      <c r="AI383" s="40"/>
      <c r="AJ383" s="40"/>
      <c r="AK383" s="40"/>
      <c r="AL383" s="40"/>
      <c r="AM383" s="41"/>
      <c r="AN383" s="3"/>
      <c r="AO383" s="3"/>
      <c r="AP383" s="40"/>
      <c r="AQ383" s="40"/>
      <c r="AR383" s="40"/>
      <c r="AS383" s="40"/>
      <c r="AT383" s="41"/>
    </row>
    <row r="384" spans="1:46" ht="13" hidden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40"/>
      <c r="T384" s="40"/>
      <c r="U384" s="40"/>
      <c r="V384" s="40"/>
      <c r="W384" s="41"/>
      <c r="X384" s="41"/>
      <c r="Y384" s="41"/>
      <c r="Z384" s="3"/>
      <c r="AA384" s="3"/>
      <c r="AB384" s="40"/>
      <c r="AC384" s="40"/>
      <c r="AD384" s="40"/>
      <c r="AE384" s="40"/>
      <c r="AF384" s="41"/>
      <c r="AG384" s="3"/>
      <c r="AH384" s="3"/>
      <c r="AI384" s="40"/>
      <c r="AJ384" s="40"/>
      <c r="AK384" s="40"/>
      <c r="AL384" s="40"/>
      <c r="AM384" s="41"/>
      <c r="AN384" s="3"/>
      <c r="AO384" s="3"/>
      <c r="AP384" s="40"/>
      <c r="AQ384" s="40"/>
      <c r="AR384" s="40"/>
      <c r="AS384" s="40"/>
      <c r="AT384" s="41"/>
    </row>
    <row r="385" spans="1:46" ht="13" hidden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40"/>
      <c r="T385" s="40"/>
      <c r="U385" s="40"/>
      <c r="V385" s="40"/>
      <c r="W385" s="41"/>
      <c r="X385" s="41"/>
      <c r="Y385" s="41"/>
      <c r="Z385" s="3"/>
      <c r="AA385" s="3"/>
      <c r="AB385" s="40"/>
      <c r="AC385" s="40"/>
      <c r="AD385" s="40"/>
      <c r="AE385" s="40"/>
      <c r="AF385" s="41"/>
      <c r="AG385" s="3"/>
      <c r="AH385" s="3"/>
      <c r="AI385" s="40"/>
      <c r="AJ385" s="40"/>
      <c r="AK385" s="40"/>
      <c r="AL385" s="40"/>
      <c r="AM385" s="41"/>
      <c r="AN385" s="3"/>
      <c r="AO385" s="3"/>
      <c r="AP385" s="40"/>
      <c r="AQ385" s="40"/>
      <c r="AR385" s="40"/>
      <c r="AS385" s="40"/>
      <c r="AT385" s="41"/>
    </row>
    <row r="386" spans="1:46" ht="13" hidden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40"/>
      <c r="T386" s="40"/>
      <c r="U386" s="40"/>
      <c r="V386" s="40"/>
      <c r="W386" s="41"/>
      <c r="X386" s="41"/>
      <c r="Y386" s="41"/>
      <c r="Z386" s="3"/>
      <c r="AA386" s="3"/>
      <c r="AB386" s="40"/>
      <c r="AC386" s="40"/>
      <c r="AD386" s="40"/>
      <c r="AE386" s="40"/>
      <c r="AF386" s="41"/>
      <c r="AG386" s="3"/>
      <c r="AH386" s="3"/>
      <c r="AI386" s="40"/>
      <c r="AJ386" s="40"/>
      <c r="AK386" s="40"/>
      <c r="AL386" s="40"/>
      <c r="AM386" s="41"/>
      <c r="AN386" s="3"/>
      <c r="AO386" s="3"/>
      <c r="AP386" s="40"/>
      <c r="AQ386" s="40"/>
      <c r="AR386" s="40"/>
      <c r="AS386" s="40"/>
      <c r="AT386" s="41"/>
    </row>
    <row r="387" spans="1:46" ht="13" hidden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40"/>
      <c r="T387" s="40"/>
      <c r="U387" s="40"/>
      <c r="V387" s="40"/>
      <c r="W387" s="41"/>
      <c r="X387" s="41"/>
      <c r="Y387" s="41"/>
      <c r="Z387" s="3"/>
      <c r="AA387" s="3"/>
      <c r="AB387" s="40"/>
      <c r="AC387" s="40"/>
      <c r="AD387" s="40"/>
      <c r="AE387" s="40"/>
      <c r="AF387" s="41"/>
      <c r="AG387" s="3"/>
      <c r="AH387" s="3"/>
      <c r="AI387" s="40"/>
      <c r="AJ387" s="40"/>
      <c r="AK387" s="40"/>
      <c r="AL387" s="40"/>
      <c r="AM387" s="41"/>
      <c r="AN387" s="3"/>
      <c r="AO387" s="3"/>
      <c r="AP387" s="40"/>
      <c r="AQ387" s="40"/>
      <c r="AR387" s="40"/>
      <c r="AS387" s="40"/>
      <c r="AT387" s="41"/>
    </row>
    <row r="388" spans="1:46" ht="13" hidden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40"/>
      <c r="T388" s="40"/>
      <c r="U388" s="40"/>
      <c r="V388" s="40"/>
      <c r="W388" s="41"/>
      <c r="X388" s="41"/>
      <c r="Y388" s="41"/>
      <c r="Z388" s="3"/>
      <c r="AA388" s="3"/>
      <c r="AB388" s="40"/>
      <c r="AC388" s="40"/>
      <c r="AD388" s="40"/>
      <c r="AE388" s="40"/>
      <c r="AF388" s="41"/>
      <c r="AG388" s="3"/>
      <c r="AH388" s="3"/>
      <c r="AI388" s="40"/>
      <c r="AJ388" s="40"/>
      <c r="AK388" s="40"/>
      <c r="AL388" s="40"/>
      <c r="AM388" s="41"/>
      <c r="AN388" s="3"/>
      <c r="AO388" s="3"/>
      <c r="AP388" s="40"/>
      <c r="AQ388" s="40"/>
      <c r="AR388" s="40"/>
      <c r="AS388" s="40"/>
      <c r="AT388" s="41"/>
    </row>
    <row r="389" spans="1:46" ht="13" hidden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40"/>
      <c r="T389" s="40"/>
      <c r="U389" s="40"/>
      <c r="V389" s="40"/>
      <c r="W389" s="41"/>
      <c r="X389" s="41"/>
      <c r="Y389" s="41"/>
      <c r="Z389" s="3"/>
      <c r="AA389" s="3"/>
      <c r="AB389" s="40"/>
      <c r="AC389" s="40"/>
      <c r="AD389" s="40"/>
      <c r="AE389" s="40"/>
      <c r="AF389" s="41"/>
      <c r="AG389" s="3"/>
      <c r="AH389" s="3"/>
      <c r="AI389" s="40"/>
      <c r="AJ389" s="40"/>
      <c r="AK389" s="40"/>
      <c r="AL389" s="40"/>
      <c r="AM389" s="41"/>
      <c r="AN389" s="3"/>
      <c r="AO389" s="3"/>
      <c r="AP389" s="40"/>
      <c r="AQ389" s="40"/>
      <c r="AR389" s="40"/>
      <c r="AS389" s="40"/>
      <c r="AT389" s="41"/>
    </row>
    <row r="390" spans="1:46" ht="13" hidden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40"/>
      <c r="T390" s="40"/>
      <c r="U390" s="40"/>
      <c r="V390" s="40"/>
      <c r="W390" s="41"/>
      <c r="X390" s="41"/>
      <c r="Y390" s="41"/>
      <c r="Z390" s="3"/>
      <c r="AA390" s="3"/>
      <c r="AB390" s="40"/>
      <c r="AC390" s="40"/>
      <c r="AD390" s="40"/>
      <c r="AE390" s="40"/>
      <c r="AF390" s="41"/>
      <c r="AG390" s="3"/>
      <c r="AH390" s="3"/>
      <c r="AI390" s="40"/>
      <c r="AJ390" s="40"/>
      <c r="AK390" s="40"/>
      <c r="AL390" s="40"/>
      <c r="AM390" s="41"/>
      <c r="AN390" s="3"/>
      <c r="AO390" s="3"/>
      <c r="AP390" s="40"/>
      <c r="AQ390" s="40"/>
      <c r="AR390" s="40"/>
      <c r="AS390" s="40"/>
      <c r="AT390" s="41"/>
    </row>
    <row r="391" spans="1:46" ht="13" hidden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40"/>
      <c r="T391" s="40"/>
      <c r="U391" s="40"/>
      <c r="V391" s="40"/>
      <c r="W391" s="41"/>
      <c r="X391" s="41"/>
      <c r="Y391" s="41"/>
      <c r="Z391" s="3"/>
      <c r="AA391" s="3"/>
      <c r="AB391" s="40"/>
      <c r="AC391" s="40"/>
      <c r="AD391" s="40"/>
      <c r="AE391" s="40"/>
      <c r="AF391" s="41"/>
      <c r="AG391" s="3"/>
      <c r="AH391" s="3"/>
      <c r="AI391" s="40"/>
      <c r="AJ391" s="40"/>
      <c r="AK391" s="40"/>
      <c r="AL391" s="40"/>
      <c r="AM391" s="41"/>
      <c r="AN391" s="3"/>
      <c r="AO391" s="3"/>
      <c r="AP391" s="40"/>
      <c r="AQ391" s="40"/>
      <c r="AR391" s="40"/>
      <c r="AS391" s="40"/>
      <c r="AT391" s="41"/>
    </row>
    <row r="392" spans="1:46" ht="13" hidden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40"/>
      <c r="T392" s="40"/>
      <c r="U392" s="40"/>
      <c r="V392" s="40"/>
      <c r="W392" s="41"/>
      <c r="X392" s="41"/>
      <c r="Y392" s="41"/>
      <c r="Z392" s="3"/>
      <c r="AA392" s="3"/>
      <c r="AB392" s="40"/>
      <c r="AC392" s="40"/>
      <c r="AD392" s="40"/>
      <c r="AE392" s="40"/>
      <c r="AF392" s="41"/>
      <c r="AG392" s="3"/>
      <c r="AH392" s="3"/>
      <c r="AI392" s="40"/>
      <c r="AJ392" s="40"/>
      <c r="AK392" s="40"/>
      <c r="AL392" s="40"/>
      <c r="AM392" s="41"/>
      <c r="AN392" s="3"/>
      <c r="AO392" s="3"/>
      <c r="AP392" s="40"/>
      <c r="AQ392" s="40"/>
      <c r="AR392" s="40"/>
      <c r="AS392" s="40"/>
      <c r="AT392" s="41"/>
    </row>
    <row r="393" spans="1:46" ht="13" hidden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40"/>
      <c r="T393" s="40"/>
      <c r="U393" s="40"/>
      <c r="V393" s="40"/>
      <c r="W393" s="41"/>
      <c r="X393" s="41"/>
      <c r="Y393" s="41"/>
      <c r="Z393" s="3"/>
      <c r="AA393" s="3"/>
      <c r="AB393" s="40"/>
      <c r="AC393" s="40"/>
      <c r="AD393" s="40"/>
      <c r="AE393" s="40"/>
      <c r="AF393" s="41"/>
      <c r="AG393" s="3"/>
      <c r="AH393" s="3"/>
      <c r="AI393" s="40"/>
      <c r="AJ393" s="40"/>
      <c r="AK393" s="40"/>
      <c r="AL393" s="40"/>
      <c r="AM393" s="41"/>
      <c r="AN393" s="3"/>
      <c r="AO393" s="3"/>
      <c r="AP393" s="40"/>
      <c r="AQ393" s="40"/>
      <c r="AR393" s="40"/>
      <c r="AS393" s="40"/>
      <c r="AT393" s="41"/>
    </row>
    <row r="394" spans="1:46" ht="13" hidden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40"/>
      <c r="T394" s="40"/>
      <c r="U394" s="40"/>
      <c r="V394" s="40"/>
      <c r="W394" s="41"/>
      <c r="X394" s="41"/>
      <c r="Y394" s="41"/>
      <c r="Z394" s="3"/>
      <c r="AA394" s="3"/>
      <c r="AB394" s="40"/>
      <c r="AC394" s="40"/>
      <c r="AD394" s="40"/>
      <c r="AE394" s="40"/>
      <c r="AF394" s="41"/>
      <c r="AG394" s="3"/>
      <c r="AH394" s="3"/>
      <c r="AI394" s="40"/>
      <c r="AJ394" s="40"/>
      <c r="AK394" s="40"/>
      <c r="AL394" s="40"/>
      <c r="AM394" s="41"/>
      <c r="AN394" s="3"/>
      <c r="AO394" s="3"/>
      <c r="AP394" s="40"/>
      <c r="AQ394" s="40"/>
      <c r="AR394" s="40"/>
      <c r="AS394" s="40"/>
      <c r="AT394" s="41"/>
    </row>
    <row r="395" spans="1:46" ht="13" hidden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40"/>
      <c r="T395" s="40"/>
      <c r="U395" s="40"/>
      <c r="V395" s="40"/>
      <c r="W395" s="41"/>
      <c r="X395" s="41"/>
      <c r="Y395" s="41"/>
      <c r="Z395" s="3"/>
      <c r="AA395" s="3"/>
      <c r="AB395" s="40"/>
      <c r="AC395" s="40"/>
      <c r="AD395" s="40"/>
      <c r="AE395" s="40"/>
      <c r="AF395" s="41"/>
      <c r="AG395" s="3"/>
      <c r="AH395" s="3"/>
      <c r="AI395" s="40"/>
      <c r="AJ395" s="40"/>
      <c r="AK395" s="40"/>
      <c r="AL395" s="40"/>
      <c r="AM395" s="41"/>
      <c r="AN395" s="3"/>
      <c r="AO395" s="3"/>
      <c r="AP395" s="40"/>
      <c r="AQ395" s="40"/>
      <c r="AR395" s="40"/>
      <c r="AS395" s="40"/>
      <c r="AT395" s="41"/>
    </row>
    <row r="396" spans="1:46" ht="13" hidden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40"/>
      <c r="T396" s="40"/>
      <c r="U396" s="40"/>
      <c r="V396" s="40"/>
      <c r="W396" s="41"/>
      <c r="X396" s="41"/>
      <c r="Y396" s="41"/>
      <c r="Z396" s="3"/>
      <c r="AA396" s="3"/>
      <c r="AB396" s="40"/>
      <c r="AC396" s="40"/>
      <c r="AD396" s="40"/>
      <c r="AE396" s="40"/>
      <c r="AF396" s="41"/>
      <c r="AG396" s="3"/>
      <c r="AH396" s="3"/>
      <c r="AI396" s="40"/>
      <c r="AJ396" s="40"/>
      <c r="AK396" s="40"/>
      <c r="AL396" s="40"/>
      <c r="AM396" s="41"/>
      <c r="AN396" s="3"/>
      <c r="AO396" s="3"/>
      <c r="AP396" s="40"/>
      <c r="AQ396" s="40"/>
      <c r="AR396" s="40"/>
      <c r="AS396" s="40"/>
      <c r="AT396" s="41"/>
    </row>
    <row r="397" spans="1:46" ht="13" hidden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40"/>
      <c r="T397" s="40"/>
      <c r="U397" s="40"/>
      <c r="V397" s="40"/>
      <c r="W397" s="41"/>
      <c r="X397" s="41"/>
      <c r="Y397" s="41"/>
      <c r="Z397" s="3"/>
      <c r="AA397" s="3"/>
      <c r="AB397" s="40"/>
      <c r="AC397" s="40"/>
      <c r="AD397" s="40"/>
      <c r="AE397" s="40"/>
      <c r="AF397" s="41"/>
      <c r="AG397" s="3"/>
      <c r="AH397" s="3"/>
      <c r="AI397" s="40"/>
      <c r="AJ397" s="40"/>
      <c r="AK397" s="40"/>
      <c r="AL397" s="40"/>
      <c r="AM397" s="41"/>
      <c r="AN397" s="3"/>
      <c r="AO397" s="3"/>
      <c r="AP397" s="40"/>
      <c r="AQ397" s="40"/>
      <c r="AR397" s="40"/>
      <c r="AS397" s="40"/>
      <c r="AT397" s="41"/>
    </row>
    <row r="398" spans="1:46" ht="13" hidden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40"/>
      <c r="T398" s="40"/>
      <c r="U398" s="40"/>
      <c r="V398" s="40"/>
      <c r="W398" s="41"/>
      <c r="X398" s="41"/>
      <c r="Y398" s="41"/>
      <c r="Z398" s="3"/>
      <c r="AA398" s="3"/>
      <c r="AB398" s="40"/>
      <c r="AC398" s="40"/>
      <c r="AD398" s="40"/>
      <c r="AE398" s="40"/>
      <c r="AF398" s="41"/>
      <c r="AG398" s="3"/>
      <c r="AH398" s="3"/>
      <c r="AI398" s="40"/>
      <c r="AJ398" s="40"/>
      <c r="AK398" s="40"/>
      <c r="AL398" s="40"/>
      <c r="AM398" s="41"/>
      <c r="AN398" s="3"/>
      <c r="AO398" s="3"/>
      <c r="AP398" s="40"/>
      <c r="AQ398" s="40"/>
      <c r="AR398" s="40"/>
      <c r="AS398" s="40"/>
      <c r="AT398" s="41"/>
    </row>
    <row r="399" spans="1:46" ht="13" hidden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40"/>
      <c r="T399" s="40"/>
      <c r="U399" s="40"/>
      <c r="V399" s="40"/>
      <c r="W399" s="41"/>
      <c r="X399" s="41"/>
      <c r="Y399" s="41"/>
      <c r="Z399" s="3"/>
      <c r="AA399" s="3"/>
      <c r="AB399" s="40"/>
      <c r="AC399" s="40"/>
      <c r="AD399" s="40"/>
      <c r="AE399" s="40"/>
      <c r="AF399" s="41"/>
      <c r="AG399" s="3"/>
      <c r="AH399" s="3"/>
      <c r="AI399" s="40"/>
      <c r="AJ399" s="40"/>
      <c r="AK399" s="40"/>
      <c r="AL399" s="40"/>
      <c r="AM399" s="41"/>
      <c r="AN399" s="3"/>
      <c r="AO399" s="3"/>
      <c r="AP399" s="40"/>
      <c r="AQ399" s="40"/>
      <c r="AR399" s="40"/>
      <c r="AS399" s="40"/>
      <c r="AT399" s="41"/>
    </row>
    <row r="400" spans="1:46" ht="13" hidden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40"/>
      <c r="T400" s="40"/>
      <c r="U400" s="40"/>
      <c r="V400" s="40"/>
      <c r="W400" s="41"/>
      <c r="X400" s="41"/>
      <c r="Y400" s="41"/>
      <c r="Z400" s="3"/>
      <c r="AA400" s="3"/>
      <c r="AB400" s="40"/>
      <c r="AC400" s="40"/>
      <c r="AD400" s="40"/>
      <c r="AE400" s="40"/>
      <c r="AF400" s="41"/>
      <c r="AG400" s="3"/>
      <c r="AH400" s="3"/>
      <c r="AI400" s="40"/>
      <c r="AJ400" s="40"/>
      <c r="AK400" s="40"/>
      <c r="AL400" s="40"/>
      <c r="AM400" s="41"/>
      <c r="AN400" s="3"/>
      <c r="AO400" s="3"/>
      <c r="AP400" s="40"/>
      <c r="AQ400" s="40"/>
      <c r="AR400" s="40"/>
      <c r="AS400" s="40"/>
      <c r="AT400" s="41"/>
    </row>
    <row r="401" spans="1:46" ht="13" hidden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40"/>
      <c r="T401" s="40"/>
      <c r="U401" s="40"/>
      <c r="V401" s="40"/>
      <c r="W401" s="41"/>
      <c r="X401" s="41"/>
      <c r="Y401" s="41"/>
      <c r="Z401" s="3"/>
      <c r="AA401" s="3"/>
      <c r="AB401" s="40"/>
      <c r="AC401" s="40"/>
      <c r="AD401" s="40"/>
      <c r="AE401" s="40"/>
      <c r="AF401" s="41"/>
      <c r="AG401" s="3"/>
      <c r="AH401" s="3"/>
      <c r="AI401" s="40"/>
      <c r="AJ401" s="40"/>
      <c r="AK401" s="40"/>
      <c r="AL401" s="40"/>
      <c r="AM401" s="41"/>
      <c r="AN401" s="3"/>
      <c r="AO401" s="3"/>
      <c r="AP401" s="40"/>
      <c r="AQ401" s="40"/>
      <c r="AR401" s="40"/>
      <c r="AS401" s="40"/>
      <c r="AT401" s="41"/>
    </row>
    <row r="402" spans="1:46" ht="13" hidden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40"/>
      <c r="T402" s="40"/>
      <c r="U402" s="40"/>
      <c r="V402" s="40"/>
      <c r="W402" s="41"/>
      <c r="X402" s="41"/>
      <c r="Y402" s="41"/>
      <c r="Z402" s="3"/>
      <c r="AA402" s="3"/>
      <c r="AB402" s="40"/>
      <c r="AC402" s="40"/>
      <c r="AD402" s="40"/>
      <c r="AE402" s="40"/>
      <c r="AF402" s="41"/>
      <c r="AG402" s="3"/>
      <c r="AH402" s="3"/>
      <c r="AI402" s="40"/>
      <c r="AJ402" s="40"/>
      <c r="AK402" s="40"/>
      <c r="AL402" s="40"/>
      <c r="AM402" s="41"/>
      <c r="AN402" s="3"/>
      <c r="AO402" s="3"/>
      <c r="AP402" s="40"/>
      <c r="AQ402" s="40"/>
      <c r="AR402" s="40"/>
      <c r="AS402" s="40"/>
      <c r="AT402" s="41"/>
    </row>
    <row r="403" spans="1:46" ht="13" hidden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40"/>
      <c r="T403" s="40"/>
      <c r="U403" s="40"/>
      <c r="V403" s="40"/>
      <c r="W403" s="41"/>
      <c r="X403" s="41"/>
      <c r="Y403" s="41"/>
      <c r="Z403" s="3"/>
      <c r="AA403" s="3"/>
      <c r="AB403" s="40"/>
      <c r="AC403" s="40"/>
      <c r="AD403" s="40"/>
      <c r="AE403" s="40"/>
      <c r="AF403" s="41"/>
      <c r="AG403" s="3"/>
      <c r="AH403" s="3"/>
      <c r="AI403" s="40"/>
      <c r="AJ403" s="40"/>
      <c r="AK403" s="40"/>
      <c r="AL403" s="40"/>
      <c r="AM403" s="41"/>
      <c r="AN403" s="3"/>
      <c r="AO403" s="3"/>
      <c r="AP403" s="40"/>
      <c r="AQ403" s="40"/>
      <c r="AR403" s="40"/>
      <c r="AS403" s="40"/>
      <c r="AT403" s="41"/>
    </row>
    <row r="404" spans="1:46" ht="13" hidden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40"/>
      <c r="T404" s="40"/>
      <c r="U404" s="40"/>
      <c r="V404" s="40"/>
      <c r="W404" s="41"/>
      <c r="X404" s="41"/>
      <c r="Y404" s="41"/>
      <c r="Z404" s="3"/>
      <c r="AA404" s="3"/>
      <c r="AB404" s="40"/>
      <c r="AC404" s="40"/>
      <c r="AD404" s="40"/>
      <c r="AE404" s="40"/>
      <c r="AF404" s="41"/>
      <c r="AG404" s="3"/>
      <c r="AH404" s="3"/>
      <c r="AI404" s="40"/>
      <c r="AJ404" s="40"/>
      <c r="AK404" s="40"/>
      <c r="AL404" s="40"/>
      <c r="AM404" s="41"/>
      <c r="AN404" s="3"/>
      <c r="AO404" s="3"/>
      <c r="AP404" s="40"/>
      <c r="AQ404" s="40"/>
      <c r="AR404" s="40"/>
      <c r="AS404" s="40"/>
      <c r="AT404" s="41"/>
    </row>
    <row r="405" spans="1:46" ht="13" hidden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40"/>
      <c r="T405" s="40"/>
      <c r="U405" s="40"/>
      <c r="V405" s="40"/>
      <c r="W405" s="41"/>
      <c r="X405" s="41"/>
      <c r="Y405" s="41"/>
      <c r="Z405" s="3"/>
      <c r="AA405" s="3"/>
      <c r="AB405" s="40"/>
      <c r="AC405" s="40"/>
      <c r="AD405" s="40"/>
      <c r="AE405" s="40"/>
      <c r="AF405" s="41"/>
      <c r="AG405" s="3"/>
      <c r="AH405" s="3"/>
      <c r="AI405" s="40"/>
      <c r="AJ405" s="40"/>
      <c r="AK405" s="40"/>
      <c r="AL405" s="40"/>
      <c r="AM405" s="41"/>
      <c r="AN405" s="3"/>
      <c r="AO405" s="3"/>
      <c r="AP405" s="40"/>
      <c r="AQ405" s="40"/>
      <c r="AR405" s="40"/>
      <c r="AS405" s="40"/>
      <c r="AT405" s="41"/>
    </row>
    <row r="406" spans="1:46" ht="13" hidden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40"/>
      <c r="T406" s="40"/>
      <c r="U406" s="40"/>
      <c r="V406" s="40"/>
      <c r="W406" s="41"/>
      <c r="X406" s="41"/>
      <c r="Y406" s="41"/>
      <c r="Z406" s="3"/>
      <c r="AA406" s="3"/>
      <c r="AB406" s="40"/>
      <c r="AC406" s="40"/>
      <c r="AD406" s="40"/>
      <c r="AE406" s="40"/>
      <c r="AF406" s="41"/>
      <c r="AG406" s="3"/>
      <c r="AH406" s="3"/>
      <c r="AI406" s="40"/>
      <c r="AJ406" s="40"/>
      <c r="AK406" s="40"/>
      <c r="AL406" s="40"/>
      <c r="AM406" s="41"/>
      <c r="AN406" s="3"/>
      <c r="AO406" s="3"/>
      <c r="AP406" s="40"/>
      <c r="AQ406" s="40"/>
      <c r="AR406" s="40"/>
      <c r="AS406" s="40"/>
      <c r="AT406" s="41"/>
    </row>
    <row r="407" spans="1:46" ht="13" hidden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40"/>
      <c r="T407" s="40"/>
      <c r="U407" s="40"/>
      <c r="V407" s="40"/>
      <c r="W407" s="41"/>
      <c r="X407" s="41"/>
      <c r="Y407" s="41"/>
      <c r="Z407" s="3"/>
      <c r="AA407" s="3"/>
      <c r="AB407" s="40"/>
      <c r="AC407" s="40"/>
      <c r="AD407" s="40"/>
      <c r="AE407" s="40"/>
      <c r="AF407" s="41"/>
      <c r="AG407" s="3"/>
      <c r="AH407" s="3"/>
      <c r="AI407" s="40"/>
      <c r="AJ407" s="40"/>
      <c r="AK407" s="40"/>
      <c r="AL407" s="40"/>
      <c r="AM407" s="41"/>
      <c r="AN407" s="3"/>
      <c r="AO407" s="3"/>
      <c r="AP407" s="40"/>
      <c r="AQ407" s="40"/>
      <c r="AR407" s="40"/>
      <c r="AS407" s="40"/>
      <c r="AT407" s="41"/>
    </row>
    <row r="408" spans="1:46" ht="13" hidden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40"/>
      <c r="T408" s="40"/>
      <c r="U408" s="40"/>
      <c r="V408" s="40"/>
      <c r="W408" s="41"/>
      <c r="X408" s="41"/>
      <c r="Y408" s="41"/>
      <c r="Z408" s="3"/>
      <c r="AA408" s="3"/>
      <c r="AB408" s="40"/>
      <c r="AC408" s="40"/>
      <c r="AD408" s="40"/>
      <c r="AE408" s="40"/>
      <c r="AF408" s="41"/>
      <c r="AG408" s="3"/>
      <c r="AH408" s="3"/>
      <c r="AI408" s="40"/>
      <c r="AJ408" s="40"/>
      <c r="AK408" s="40"/>
      <c r="AL408" s="40"/>
      <c r="AM408" s="41"/>
      <c r="AN408" s="3"/>
      <c r="AO408" s="3"/>
      <c r="AP408" s="40"/>
      <c r="AQ408" s="40"/>
      <c r="AR408" s="40"/>
      <c r="AS408" s="40"/>
      <c r="AT408" s="41"/>
    </row>
    <row r="409" spans="1:46" ht="13" hidden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40"/>
      <c r="T409" s="40"/>
      <c r="U409" s="40"/>
      <c r="V409" s="40"/>
      <c r="W409" s="41"/>
      <c r="X409" s="41"/>
      <c r="Y409" s="41"/>
      <c r="Z409" s="3"/>
      <c r="AA409" s="3"/>
      <c r="AB409" s="40"/>
      <c r="AC409" s="40"/>
      <c r="AD409" s="40"/>
      <c r="AE409" s="40"/>
      <c r="AF409" s="41"/>
      <c r="AG409" s="3"/>
      <c r="AH409" s="3"/>
      <c r="AI409" s="40"/>
      <c r="AJ409" s="40"/>
      <c r="AK409" s="40"/>
      <c r="AL409" s="40"/>
      <c r="AM409" s="41"/>
      <c r="AN409" s="3"/>
      <c r="AO409" s="3"/>
      <c r="AP409" s="40"/>
      <c r="AQ409" s="40"/>
      <c r="AR409" s="40"/>
      <c r="AS409" s="40"/>
      <c r="AT409" s="41"/>
    </row>
    <row r="410" spans="1:46" ht="13" hidden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40"/>
      <c r="T410" s="40"/>
      <c r="U410" s="40"/>
      <c r="V410" s="40"/>
      <c r="W410" s="41"/>
      <c r="X410" s="41"/>
      <c r="Y410" s="41"/>
      <c r="Z410" s="3"/>
      <c r="AA410" s="3"/>
      <c r="AB410" s="40"/>
      <c r="AC410" s="40"/>
      <c r="AD410" s="40"/>
      <c r="AE410" s="40"/>
      <c r="AF410" s="41"/>
      <c r="AG410" s="3"/>
      <c r="AH410" s="3"/>
      <c r="AI410" s="40"/>
      <c r="AJ410" s="40"/>
      <c r="AK410" s="40"/>
      <c r="AL410" s="40"/>
      <c r="AM410" s="41"/>
      <c r="AN410" s="3"/>
      <c r="AO410" s="3"/>
      <c r="AP410" s="40"/>
      <c r="AQ410" s="40"/>
      <c r="AR410" s="40"/>
      <c r="AS410" s="40"/>
      <c r="AT410" s="41"/>
    </row>
    <row r="411" spans="1:46" ht="13" hidden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40"/>
      <c r="T411" s="40"/>
      <c r="U411" s="40"/>
      <c r="V411" s="40"/>
      <c r="W411" s="41"/>
      <c r="X411" s="41"/>
      <c r="Y411" s="41"/>
      <c r="Z411" s="3"/>
      <c r="AA411" s="3"/>
      <c r="AB411" s="40"/>
      <c r="AC411" s="40"/>
      <c r="AD411" s="40"/>
      <c r="AE411" s="40"/>
      <c r="AF411" s="41"/>
      <c r="AG411" s="3"/>
      <c r="AH411" s="3"/>
      <c r="AI411" s="40"/>
      <c r="AJ411" s="40"/>
      <c r="AK411" s="40"/>
      <c r="AL411" s="40"/>
      <c r="AM411" s="41"/>
      <c r="AN411" s="3"/>
      <c r="AO411" s="3"/>
      <c r="AP411" s="40"/>
      <c r="AQ411" s="40"/>
      <c r="AR411" s="40"/>
      <c r="AS411" s="40"/>
      <c r="AT411" s="41"/>
    </row>
    <row r="412" spans="1:46" ht="13" hidden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40"/>
      <c r="T412" s="40"/>
      <c r="U412" s="40"/>
      <c r="V412" s="40"/>
      <c r="W412" s="41"/>
      <c r="X412" s="41"/>
      <c r="Y412" s="41"/>
      <c r="Z412" s="3"/>
      <c r="AA412" s="3"/>
      <c r="AB412" s="40"/>
      <c r="AC412" s="40"/>
      <c r="AD412" s="40"/>
      <c r="AE412" s="40"/>
      <c r="AF412" s="41"/>
      <c r="AG412" s="3"/>
      <c r="AH412" s="3"/>
      <c r="AI412" s="40"/>
      <c r="AJ412" s="40"/>
      <c r="AK412" s="40"/>
      <c r="AL412" s="40"/>
      <c r="AM412" s="41"/>
      <c r="AN412" s="3"/>
      <c r="AO412" s="3"/>
      <c r="AP412" s="40"/>
      <c r="AQ412" s="40"/>
      <c r="AR412" s="40"/>
      <c r="AS412" s="40"/>
      <c r="AT412" s="41"/>
    </row>
    <row r="413" spans="1:46" ht="13" hidden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40"/>
      <c r="T413" s="40"/>
      <c r="U413" s="40"/>
      <c r="V413" s="40"/>
      <c r="W413" s="41"/>
      <c r="X413" s="41"/>
      <c r="Y413" s="41"/>
      <c r="Z413" s="3"/>
      <c r="AA413" s="3"/>
      <c r="AB413" s="40"/>
      <c r="AC413" s="40"/>
      <c r="AD413" s="40"/>
      <c r="AE413" s="40"/>
      <c r="AF413" s="41"/>
      <c r="AG413" s="3"/>
      <c r="AH413" s="3"/>
      <c r="AI413" s="40"/>
      <c r="AJ413" s="40"/>
      <c r="AK413" s="40"/>
      <c r="AL413" s="40"/>
      <c r="AM413" s="41"/>
      <c r="AN413" s="3"/>
      <c r="AO413" s="3"/>
      <c r="AP413" s="40"/>
      <c r="AQ413" s="40"/>
      <c r="AR413" s="40"/>
      <c r="AS413" s="40"/>
      <c r="AT413" s="41"/>
    </row>
    <row r="414" spans="1:46" ht="13" hidden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40"/>
      <c r="T414" s="40"/>
      <c r="U414" s="40"/>
      <c r="V414" s="40"/>
      <c r="W414" s="41"/>
      <c r="X414" s="41"/>
      <c r="Y414" s="41"/>
      <c r="Z414" s="3"/>
      <c r="AA414" s="3"/>
      <c r="AB414" s="40"/>
      <c r="AC414" s="40"/>
      <c r="AD414" s="40"/>
      <c r="AE414" s="40"/>
      <c r="AF414" s="41"/>
      <c r="AG414" s="3"/>
      <c r="AH414" s="3"/>
      <c r="AI414" s="40"/>
      <c r="AJ414" s="40"/>
      <c r="AK414" s="40"/>
      <c r="AL414" s="40"/>
      <c r="AM414" s="41"/>
      <c r="AN414" s="3"/>
      <c r="AO414" s="3"/>
      <c r="AP414" s="40"/>
      <c r="AQ414" s="40"/>
      <c r="AR414" s="40"/>
      <c r="AS414" s="40"/>
      <c r="AT414" s="41"/>
    </row>
    <row r="415" spans="1:46" ht="13" hidden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40"/>
      <c r="T415" s="40"/>
      <c r="U415" s="40"/>
      <c r="V415" s="40"/>
      <c r="W415" s="41"/>
      <c r="X415" s="41"/>
      <c r="Y415" s="41"/>
      <c r="Z415" s="3"/>
      <c r="AA415" s="3"/>
      <c r="AB415" s="40"/>
      <c r="AC415" s="40"/>
      <c r="AD415" s="40"/>
      <c r="AE415" s="40"/>
      <c r="AF415" s="41"/>
      <c r="AG415" s="3"/>
      <c r="AH415" s="3"/>
      <c r="AI415" s="40"/>
      <c r="AJ415" s="40"/>
      <c r="AK415" s="40"/>
      <c r="AL415" s="40"/>
      <c r="AM415" s="41"/>
      <c r="AN415" s="3"/>
      <c r="AO415" s="3"/>
      <c r="AP415" s="40"/>
      <c r="AQ415" s="40"/>
      <c r="AR415" s="40"/>
      <c r="AS415" s="40"/>
      <c r="AT415" s="41"/>
    </row>
    <row r="416" spans="1:46" ht="13" hidden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40"/>
      <c r="T416" s="40"/>
      <c r="U416" s="40"/>
      <c r="V416" s="40"/>
      <c r="W416" s="41"/>
      <c r="X416" s="41"/>
      <c r="Y416" s="41"/>
      <c r="Z416" s="3"/>
      <c r="AA416" s="3"/>
      <c r="AB416" s="40"/>
      <c r="AC416" s="40"/>
      <c r="AD416" s="40"/>
      <c r="AE416" s="40"/>
      <c r="AF416" s="41"/>
      <c r="AG416" s="3"/>
      <c r="AH416" s="3"/>
      <c r="AI416" s="40"/>
      <c r="AJ416" s="40"/>
      <c r="AK416" s="40"/>
      <c r="AL416" s="40"/>
      <c r="AM416" s="41"/>
      <c r="AN416" s="3"/>
      <c r="AO416" s="3"/>
      <c r="AP416" s="40"/>
      <c r="AQ416" s="40"/>
      <c r="AR416" s="40"/>
      <c r="AS416" s="40"/>
      <c r="AT416" s="41"/>
    </row>
    <row r="417" spans="1:46" ht="13" hidden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40"/>
      <c r="T417" s="40"/>
      <c r="U417" s="40"/>
      <c r="V417" s="40"/>
      <c r="W417" s="41"/>
      <c r="X417" s="41"/>
      <c r="Y417" s="41"/>
      <c r="Z417" s="3"/>
      <c r="AA417" s="3"/>
      <c r="AB417" s="40"/>
      <c r="AC417" s="40"/>
      <c r="AD417" s="40"/>
      <c r="AE417" s="40"/>
      <c r="AF417" s="41"/>
      <c r="AG417" s="3"/>
      <c r="AH417" s="3"/>
      <c r="AI417" s="40"/>
      <c r="AJ417" s="40"/>
      <c r="AK417" s="40"/>
      <c r="AL417" s="40"/>
      <c r="AM417" s="41"/>
      <c r="AN417" s="3"/>
      <c r="AO417" s="3"/>
      <c r="AP417" s="40"/>
      <c r="AQ417" s="40"/>
      <c r="AR417" s="40"/>
      <c r="AS417" s="40"/>
      <c r="AT417" s="41"/>
    </row>
    <row r="418" spans="1:46" ht="13" hidden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40"/>
      <c r="T418" s="40"/>
      <c r="U418" s="40"/>
      <c r="V418" s="40"/>
      <c r="W418" s="41"/>
      <c r="X418" s="41"/>
      <c r="Y418" s="41"/>
      <c r="Z418" s="3"/>
      <c r="AA418" s="3"/>
      <c r="AB418" s="40"/>
      <c r="AC418" s="40"/>
      <c r="AD418" s="40"/>
      <c r="AE418" s="40"/>
      <c r="AF418" s="41"/>
      <c r="AG418" s="3"/>
      <c r="AH418" s="3"/>
      <c r="AI418" s="40"/>
      <c r="AJ418" s="40"/>
      <c r="AK418" s="40"/>
      <c r="AL418" s="40"/>
      <c r="AM418" s="41"/>
      <c r="AN418" s="3"/>
      <c r="AO418" s="3"/>
      <c r="AP418" s="40"/>
      <c r="AQ418" s="40"/>
      <c r="AR418" s="40"/>
      <c r="AS418" s="40"/>
      <c r="AT418" s="41"/>
    </row>
    <row r="419" spans="1:46" ht="13" hidden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40"/>
      <c r="T419" s="40"/>
      <c r="U419" s="40"/>
      <c r="V419" s="40"/>
      <c r="W419" s="41"/>
      <c r="X419" s="41"/>
      <c r="Y419" s="41"/>
      <c r="Z419" s="3"/>
      <c r="AA419" s="3"/>
      <c r="AB419" s="40"/>
      <c r="AC419" s="40"/>
      <c r="AD419" s="40"/>
      <c r="AE419" s="40"/>
      <c r="AF419" s="41"/>
      <c r="AG419" s="3"/>
      <c r="AH419" s="3"/>
      <c r="AI419" s="40"/>
      <c r="AJ419" s="40"/>
      <c r="AK419" s="40"/>
      <c r="AL419" s="40"/>
      <c r="AM419" s="41"/>
      <c r="AN419" s="3"/>
      <c r="AO419" s="3"/>
      <c r="AP419" s="40"/>
      <c r="AQ419" s="40"/>
      <c r="AR419" s="40"/>
      <c r="AS419" s="40"/>
      <c r="AT419" s="41"/>
    </row>
    <row r="420" spans="1:46" ht="13" hidden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40"/>
      <c r="T420" s="40"/>
      <c r="U420" s="40"/>
      <c r="V420" s="40"/>
      <c r="W420" s="41"/>
      <c r="X420" s="41"/>
      <c r="Y420" s="41"/>
      <c r="Z420" s="3"/>
      <c r="AA420" s="3"/>
      <c r="AB420" s="40"/>
      <c r="AC420" s="40"/>
      <c r="AD420" s="40"/>
      <c r="AE420" s="40"/>
      <c r="AF420" s="41"/>
      <c r="AG420" s="3"/>
      <c r="AH420" s="3"/>
      <c r="AI420" s="40"/>
      <c r="AJ420" s="40"/>
      <c r="AK420" s="40"/>
      <c r="AL420" s="40"/>
      <c r="AM420" s="41"/>
      <c r="AN420" s="3"/>
      <c r="AO420" s="3"/>
      <c r="AP420" s="40"/>
      <c r="AQ420" s="40"/>
      <c r="AR420" s="40"/>
      <c r="AS420" s="40"/>
      <c r="AT420" s="41"/>
    </row>
    <row r="421" spans="1:46" ht="13" hidden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40"/>
      <c r="T421" s="40"/>
      <c r="U421" s="40"/>
      <c r="V421" s="40"/>
      <c r="W421" s="41"/>
      <c r="X421" s="41"/>
      <c r="Y421" s="41"/>
      <c r="Z421" s="3"/>
      <c r="AA421" s="3"/>
      <c r="AB421" s="40"/>
      <c r="AC421" s="40"/>
      <c r="AD421" s="40"/>
      <c r="AE421" s="40"/>
      <c r="AF421" s="41"/>
      <c r="AG421" s="3"/>
      <c r="AH421" s="3"/>
      <c r="AI421" s="40"/>
      <c r="AJ421" s="40"/>
      <c r="AK421" s="40"/>
      <c r="AL421" s="40"/>
      <c r="AM421" s="41"/>
      <c r="AN421" s="3"/>
      <c r="AO421" s="3"/>
      <c r="AP421" s="40"/>
      <c r="AQ421" s="40"/>
      <c r="AR421" s="40"/>
      <c r="AS421" s="40"/>
      <c r="AT421" s="41"/>
    </row>
    <row r="422" spans="1:46" ht="13" hidden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40"/>
      <c r="T422" s="40"/>
      <c r="U422" s="40"/>
      <c r="V422" s="40"/>
      <c r="W422" s="41"/>
      <c r="X422" s="41"/>
      <c r="Y422" s="41"/>
      <c r="Z422" s="3"/>
      <c r="AA422" s="3"/>
      <c r="AB422" s="40"/>
      <c r="AC422" s="40"/>
      <c r="AD422" s="40"/>
      <c r="AE422" s="40"/>
      <c r="AF422" s="41"/>
      <c r="AG422" s="3"/>
      <c r="AH422" s="3"/>
      <c r="AI422" s="40"/>
      <c r="AJ422" s="40"/>
      <c r="AK422" s="40"/>
      <c r="AL422" s="40"/>
      <c r="AM422" s="41"/>
      <c r="AN422" s="3"/>
      <c r="AO422" s="3"/>
      <c r="AP422" s="40"/>
      <c r="AQ422" s="40"/>
      <c r="AR422" s="40"/>
      <c r="AS422" s="40"/>
      <c r="AT422" s="41"/>
    </row>
    <row r="423" spans="1:46" ht="13" hidden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40"/>
      <c r="T423" s="40"/>
      <c r="U423" s="40"/>
      <c r="V423" s="40"/>
      <c r="W423" s="41"/>
      <c r="X423" s="41"/>
      <c r="Y423" s="41"/>
      <c r="Z423" s="3"/>
      <c r="AA423" s="3"/>
      <c r="AB423" s="40"/>
      <c r="AC423" s="40"/>
      <c r="AD423" s="40"/>
      <c r="AE423" s="40"/>
      <c r="AF423" s="41"/>
      <c r="AG423" s="3"/>
      <c r="AH423" s="3"/>
      <c r="AI423" s="40"/>
      <c r="AJ423" s="40"/>
      <c r="AK423" s="40"/>
      <c r="AL423" s="40"/>
      <c r="AM423" s="41"/>
      <c r="AN423" s="3"/>
      <c r="AO423" s="3"/>
      <c r="AP423" s="40"/>
      <c r="AQ423" s="40"/>
      <c r="AR423" s="40"/>
      <c r="AS423" s="40"/>
      <c r="AT423" s="41"/>
    </row>
    <row r="424" spans="1:46" ht="13" hidden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40"/>
      <c r="T424" s="40"/>
      <c r="U424" s="40"/>
      <c r="V424" s="40"/>
      <c r="W424" s="41"/>
      <c r="X424" s="41"/>
      <c r="Y424" s="41"/>
      <c r="Z424" s="3"/>
      <c r="AA424" s="3"/>
      <c r="AB424" s="40"/>
      <c r="AC424" s="40"/>
      <c r="AD424" s="40"/>
      <c r="AE424" s="40"/>
      <c r="AF424" s="41"/>
      <c r="AG424" s="3"/>
      <c r="AH424" s="3"/>
      <c r="AI424" s="40"/>
      <c r="AJ424" s="40"/>
      <c r="AK424" s="40"/>
      <c r="AL424" s="40"/>
      <c r="AM424" s="41"/>
      <c r="AN424" s="3"/>
      <c r="AO424" s="3"/>
      <c r="AP424" s="40"/>
      <c r="AQ424" s="40"/>
      <c r="AR424" s="40"/>
      <c r="AS424" s="40"/>
      <c r="AT424" s="41"/>
    </row>
    <row r="425" spans="1:46" ht="13" hidden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40"/>
      <c r="T425" s="40"/>
      <c r="U425" s="40"/>
      <c r="V425" s="40"/>
      <c r="W425" s="41"/>
      <c r="X425" s="41"/>
      <c r="Y425" s="41"/>
      <c r="Z425" s="3"/>
      <c r="AA425" s="3"/>
      <c r="AB425" s="40"/>
      <c r="AC425" s="40"/>
      <c r="AD425" s="40"/>
      <c r="AE425" s="40"/>
      <c r="AF425" s="41"/>
      <c r="AG425" s="3"/>
      <c r="AH425" s="3"/>
      <c r="AI425" s="40"/>
      <c r="AJ425" s="40"/>
      <c r="AK425" s="40"/>
      <c r="AL425" s="40"/>
      <c r="AM425" s="41"/>
      <c r="AN425" s="3"/>
      <c r="AO425" s="3"/>
      <c r="AP425" s="40"/>
      <c r="AQ425" s="40"/>
      <c r="AR425" s="40"/>
      <c r="AS425" s="40"/>
      <c r="AT425" s="41"/>
    </row>
    <row r="426" spans="1:46" ht="13" hidden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40"/>
      <c r="T426" s="40"/>
      <c r="U426" s="40"/>
      <c r="V426" s="40"/>
      <c r="W426" s="41"/>
      <c r="X426" s="41"/>
      <c r="Y426" s="41"/>
      <c r="Z426" s="3"/>
      <c r="AA426" s="3"/>
      <c r="AB426" s="40"/>
      <c r="AC426" s="40"/>
      <c r="AD426" s="40"/>
      <c r="AE426" s="40"/>
      <c r="AF426" s="41"/>
      <c r="AG426" s="3"/>
      <c r="AH426" s="3"/>
      <c r="AI426" s="40"/>
      <c r="AJ426" s="40"/>
      <c r="AK426" s="40"/>
      <c r="AL426" s="40"/>
      <c r="AM426" s="41"/>
      <c r="AN426" s="3"/>
      <c r="AO426" s="3"/>
      <c r="AP426" s="40"/>
      <c r="AQ426" s="40"/>
      <c r="AR426" s="40"/>
      <c r="AS426" s="40"/>
      <c r="AT426" s="41"/>
    </row>
    <row r="427" spans="1:46" ht="13" hidden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40"/>
      <c r="T427" s="40"/>
      <c r="U427" s="40"/>
      <c r="V427" s="40"/>
      <c r="W427" s="41"/>
      <c r="X427" s="41"/>
      <c r="Y427" s="41"/>
      <c r="Z427" s="3"/>
      <c r="AA427" s="3"/>
      <c r="AB427" s="40"/>
      <c r="AC427" s="40"/>
      <c r="AD427" s="40"/>
      <c r="AE427" s="40"/>
      <c r="AF427" s="41"/>
      <c r="AG427" s="3"/>
      <c r="AH427" s="3"/>
      <c r="AI427" s="40"/>
      <c r="AJ427" s="40"/>
      <c r="AK427" s="40"/>
      <c r="AL427" s="40"/>
      <c r="AM427" s="41"/>
      <c r="AN427" s="3"/>
      <c r="AO427" s="3"/>
      <c r="AP427" s="40"/>
      <c r="AQ427" s="40"/>
      <c r="AR427" s="40"/>
      <c r="AS427" s="40"/>
      <c r="AT427" s="41"/>
    </row>
    <row r="428" spans="1:46" ht="13" hidden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40"/>
      <c r="T428" s="40"/>
      <c r="U428" s="40"/>
      <c r="V428" s="40"/>
      <c r="W428" s="41"/>
      <c r="X428" s="41"/>
      <c r="Y428" s="41"/>
      <c r="Z428" s="3"/>
      <c r="AA428" s="3"/>
      <c r="AB428" s="40"/>
      <c r="AC428" s="40"/>
      <c r="AD428" s="40"/>
      <c r="AE428" s="40"/>
      <c r="AF428" s="41"/>
      <c r="AG428" s="3"/>
      <c r="AH428" s="3"/>
      <c r="AI428" s="40"/>
      <c r="AJ428" s="40"/>
      <c r="AK428" s="40"/>
      <c r="AL428" s="40"/>
      <c r="AM428" s="41"/>
      <c r="AN428" s="3"/>
      <c r="AO428" s="3"/>
      <c r="AP428" s="40"/>
      <c r="AQ428" s="40"/>
      <c r="AR428" s="40"/>
      <c r="AS428" s="40"/>
      <c r="AT428" s="41"/>
    </row>
    <row r="429" spans="1:46" ht="13" hidden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40"/>
      <c r="T429" s="40"/>
      <c r="U429" s="40"/>
      <c r="V429" s="40"/>
      <c r="W429" s="41"/>
      <c r="X429" s="41"/>
      <c r="Y429" s="41"/>
      <c r="Z429" s="3"/>
      <c r="AA429" s="3"/>
      <c r="AB429" s="40"/>
      <c r="AC429" s="40"/>
      <c r="AD429" s="40"/>
      <c r="AE429" s="40"/>
      <c r="AF429" s="41"/>
      <c r="AG429" s="3"/>
      <c r="AH429" s="3"/>
      <c r="AI429" s="40"/>
      <c r="AJ429" s="40"/>
      <c r="AK429" s="40"/>
      <c r="AL429" s="40"/>
      <c r="AM429" s="41"/>
      <c r="AN429" s="3"/>
      <c r="AO429" s="3"/>
      <c r="AP429" s="40"/>
      <c r="AQ429" s="40"/>
      <c r="AR429" s="40"/>
      <c r="AS429" s="40"/>
      <c r="AT429" s="41"/>
    </row>
    <row r="430" spans="1:46" ht="13" hidden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40"/>
      <c r="T430" s="40"/>
      <c r="U430" s="40"/>
      <c r="V430" s="40"/>
      <c r="W430" s="41"/>
      <c r="X430" s="41"/>
      <c r="Y430" s="41"/>
      <c r="Z430" s="3"/>
      <c r="AA430" s="3"/>
      <c r="AB430" s="40"/>
      <c r="AC430" s="40"/>
      <c r="AD430" s="40"/>
      <c r="AE430" s="40"/>
      <c r="AF430" s="41"/>
      <c r="AG430" s="3"/>
      <c r="AH430" s="3"/>
      <c r="AI430" s="40"/>
      <c r="AJ430" s="40"/>
      <c r="AK430" s="40"/>
      <c r="AL430" s="40"/>
      <c r="AM430" s="41"/>
      <c r="AN430" s="3"/>
      <c r="AO430" s="3"/>
      <c r="AP430" s="40"/>
      <c r="AQ430" s="40"/>
      <c r="AR430" s="40"/>
      <c r="AS430" s="40"/>
      <c r="AT430" s="41"/>
    </row>
    <row r="431" spans="1:46" ht="13" hidden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40"/>
      <c r="T431" s="40"/>
      <c r="U431" s="40"/>
      <c r="V431" s="40"/>
      <c r="W431" s="41"/>
      <c r="X431" s="41"/>
      <c r="Y431" s="41"/>
      <c r="Z431" s="3"/>
      <c r="AA431" s="3"/>
      <c r="AB431" s="40"/>
      <c r="AC431" s="40"/>
      <c r="AD431" s="40"/>
      <c r="AE431" s="40"/>
      <c r="AF431" s="41"/>
      <c r="AG431" s="3"/>
      <c r="AH431" s="3"/>
      <c r="AI431" s="40"/>
      <c r="AJ431" s="40"/>
      <c r="AK431" s="40"/>
      <c r="AL431" s="40"/>
      <c r="AM431" s="41"/>
      <c r="AN431" s="3"/>
      <c r="AO431" s="3"/>
      <c r="AP431" s="40"/>
      <c r="AQ431" s="40"/>
      <c r="AR431" s="40"/>
      <c r="AS431" s="40"/>
      <c r="AT431" s="41"/>
    </row>
    <row r="432" spans="1:46" ht="13" hidden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40"/>
      <c r="T432" s="40"/>
      <c r="U432" s="40"/>
      <c r="V432" s="40"/>
      <c r="W432" s="41"/>
      <c r="X432" s="41"/>
      <c r="Y432" s="41"/>
      <c r="Z432" s="3"/>
      <c r="AA432" s="3"/>
      <c r="AB432" s="40"/>
      <c r="AC432" s="40"/>
      <c r="AD432" s="40"/>
      <c r="AE432" s="40"/>
      <c r="AF432" s="41"/>
      <c r="AG432" s="3"/>
      <c r="AH432" s="3"/>
      <c r="AI432" s="40"/>
      <c r="AJ432" s="40"/>
      <c r="AK432" s="40"/>
      <c r="AL432" s="40"/>
      <c r="AM432" s="41"/>
      <c r="AN432" s="3"/>
      <c r="AO432" s="3"/>
      <c r="AP432" s="40"/>
      <c r="AQ432" s="40"/>
      <c r="AR432" s="40"/>
      <c r="AS432" s="40"/>
      <c r="AT432" s="41"/>
    </row>
    <row r="433" spans="1:46" ht="13" hidden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40"/>
      <c r="T433" s="40"/>
      <c r="U433" s="40"/>
      <c r="V433" s="40"/>
      <c r="W433" s="41"/>
      <c r="X433" s="41"/>
      <c r="Y433" s="41"/>
      <c r="Z433" s="3"/>
      <c r="AA433" s="3"/>
      <c r="AB433" s="40"/>
      <c r="AC433" s="40"/>
      <c r="AD433" s="40"/>
      <c r="AE433" s="40"/>
      <c r="AF433" s="41"/>
      <c r="AG433" s="3"/>
      <c r="AH433" s="3"/>
      <c r="AI433" s="40"/>
      <c r="AJ433" s="40"/>
      <c r="AK433" s="40"/>
      <c r="AL433" s="40"/>
      <c r="AM433" s="41"/>
      <c r="AN433" s="3"/>
      <c r="AO433" s="3"/>
      <c r="AP433" s="40"/>
      <c r="AQ433" s="40"/>
      <c r="AR433" s="40"/>
      <c r="AS433" s="40"/>
      <c r="AT433" s="41"/>
    </row>
    <row r="434" spans="1:46" ht="13" hidden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40"/>
      <c r="T434" s="40"/>
      <c r="U434" s="40"/>
      <c r="V434" s="40"/>
      <c r="W434" s="41"/>
      <c r="X434" s="41"/>
      <c r="Y434" s="41"/>
      <c r="Z434" s="3"/>
      <c r="AA434" s="3"/>
      <c r="AB434" s="40"/>
      <c r="AC434" s="40"/>
      <c r="AD434" s="40"/>
      <c r="AE434" s="40"/>
      <c r="AF434" s="41"/>
      <c r="AG434" s="3"/>
      <c r="AH434" s="3"/>
      <c r="AI434" s="40"/>
      <c r="AJ434" s="40"/>
      <c r="AK434" s="40"/>
      <c r="AL434" s="40"/>
      <c r="AM434" s="41"/>
      <c r="AN434" s="3"/>
      <c r="AO434" s="3"/>
      <c r="AP434" s="40"/>
      <c r="AQ434" s="40"/>
      <c r="AR434" s="40"/>
      <c r="AS434" s="40"/>
      <c r="AT434" s="41"/>
    </row>
    <row r="435" spans="1:46" ht="13" hidden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40"/>
      <c r="T435" s="40"/>
      <c r="U435" s="40"/>
      <c r="V435" s="40"/>
      <c r="W435" s="41"/>
      <c r="X435" s="41"/>
      <c r="Y435" s="41"/>
      <c r="Z435" s="3"/>
      <c r="AA435" s="3"/>
      <c r="AB435" s="40"/>
      <c r="AC435" s="40"/>
      <c r="AD435" s="40"/>
      <c r="AE435" s="40"/>
      <c r="AF435" s="41"/>
      <c r="AG435" s="3"/>
      <c r="AH435" s="3"/>
      <c r="AI435" s="40"/>
      <c r="AJ435" s="40"/>
      <c r="AK435" s="40"/>
      <c r="AL435" s="40"/>
      <c r="AM435" s="41"/>
      <c r="AN435" s="3"/>
      <c r="AO435" s="3"/>
      <c r="AP435" s="40"/>
      <c r="AQ435" s="40"/>
      <c r="AR435" s="40"/>
      <c r="AS435" s="40"/>
      <c r="AT435" s="41"/>
    </row>
    <row r="436" spans="1:46" ht="13" hidden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40"/>
      <c r="T436" s="40"/>
      <c r="U436" s="40"/>
      <c r="V436" s="40"/>
      <c r="W436" s="41"/>
      <c r="X436" s="41"/>
      <c r="Y436" s="41"/>
      <c r="Z436" s="3"/>
      <c r="AA436" s="3"/>
      <c r="AB436" s="40"/>
      <c r="AC436" s="40"/>
      <c r="AD436" s="40"/>
      <c r="AE436" s="40"/>
      <c r="AF436" s="41"/>
      <c r="AG436" s="3"/>
      <c r="AH436" s="3"/>
      <c r="AI436" s="40"/>
      <c r="AJ436" s="40"/>
      <c r="AK436" s="40"/>
      <c r="AL436" s="40"/>
      <c r="AM436" s="41"/>
      <c r="AN436" s="3"/>
      <c r="AO436" s="3"/>
      <c r="AP436" s="40"/>
      <c r="AQ436" s="40"/>
      <c r="AR436" s="40"/>
      <c r="AS436" s="40"/>
      <c r="AT436" s="41"/>
    </row>
    <row r="437" spans="1:46" ht="13" hidden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40"/>
      <c r="T437" s="40"/>
      <c r="U437" s="40"/>
      <c r="V437" s="40"/>
      <c r="W437" s="41"/>
      <c r="X437" s="41"/>
      <c r="Y437" s="41"/>
      <c r="Z437" s="3"/>
      <c r="AA437" s="3"/>
      <c r="AB437" s="40"/>
      <c r="AC437" s="40"/>
      <c r="AD437" s="40"/>
      <c r="AE437" s="40"/>
      <c r="AF437" s="41"/>
      <c r="AG437" s="3"/>
      <c r="AH437" s="3"/>
      <c r="AI437" s="40"/>
      <c r="AJ437" s="40"/>
      <c r="AK437" s="40"/>
      <c r="AL437" s="40"/>
      <c r="AM437" s="41"/>
      <c r="AN437" s="3"/>
      <c r="AO437" s="3"/>
      <c r="AP437" s="40"/>
      <c r="AQ437" s="40"/>
      <c r="AR437" s="40"/>
      <c r="AS437" s="40"/>
      <c r="AT437" s="41"/>
    </row>
    <row r="438" spans="1:46" ht="13" hidden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40"/>
      <c r="T438" s="40"/>
      <c r="U438" s="40"/>
      <c r="V438" s="40"/>
      <c r="W438" s="41"/>
      <c r="X438" s="41"/>
      <c r="Y438" s="41"/>
      <c r="Z438" s="3"/>
      <c r="AA438" s="3"/>
      <c r="AB438" s="40"/>
      <c r="AC438" s="40"/>
      <c r="AD438" s="40"/>
      <c r="AE438" s="40"/>
      <c r="AF438" s="41"/>
      <c r="AG438" s="3"/>
      <c r="AH438" s="3"/>
      <c r="AI438" s="40"/>
      <c r="AJ438" s="40"/>
      <c r="AK438" s="40"/>
      <c r="AL438" s="40"/>
      <c r="AM438" s="41"/>
      <c r="AN438" s="3"/>
      <c r="AO438" s="3"/>
      <c r="AP438" s="40"/>
      <c r="AQ438" s="40"/>
      <c r="AR438" s="40"/>
      <c r="AS438" s="40"/>
      <c r="AT438" s="41"/>
    </row>
    <row r="439" spans="1:46" ht="13" hidden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40"/>
      <c r="T439" s="40"/>
      <c r="U439" s="40"/>
      <c r="V439" s="40"/>
      <c r="W439" s="41"/>
      <c r="X439" s="41"/>
      <c r="Y439" s="41"/>
      <c r="Z439" s="3"/>
      <c r="AA439" s="3"/>
      <c r="AB439" s="40"/>
      <c r="AC439" s="40"/>
      <c r="AD439" s="40"/>
      <c r="AE439" s="40"/>
      <c r="AF439" s="41"/>
      <c r="AG439" s="3"/>
      <c r="AH439" s="3"/>
      <c r="AI439" s="40"/>
      <c r="AJ439" s="40"/>
      <c r="AK439" s="40"/>
      <c r="AL439" s="40"/>
      <c r="AM439" s="41"/>
      <c r="AN439" s="3"/>
      <c r="AO439" s="3"/>
      <c r="AP439" s="40"/>
      <c r="AQ439" s="40"/>
      <c r="AR439" s="40"/>
      <c r="AS439" s="40"/>
      <c r="AT439" s="41"/>
    </row>
    <row r="440" spans="1:46" ht="13" hidden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40"/>
      <c r="T440" s="40"/>
      <c r="U440" s="40"/>
      <c r="V440" s="40"/>
      <c r="W440" s="41"/>
      <c r="X440" s="41"/>
      <c r="Y440" s="41"/>
      <c r="Z440" s="3"/>
      <c r="AA440" s="3"/>
      <c r="AB440" s="40"/>
      <c r="AC440" s="40"/>
      <c r="AD440" s="40"/>
      <c r="AE440" s="40"/>
      <c r="AF440" s="41"/>
      <c r="AG440" s="3"/>
      <c r="AH440" s="3"/>
      <c r="AI440" s="40"/>
      <c r="AJ440" s="40"/>
      <c r="AK440" s="40"/>
      <c r="AL440" s="40"/>
      <c r="AM440" s="41"/>
      <c r="AN440" s="3"/>
      <c r="AO440" s="3"/>
      <c r="AP440" s="40"/>
      <c r="AQ440" s="40"/>
      <c r="AR440" s="40"/>
      <c r="AS440" s="40"/>
      <c r="AT440" s="41"/>
    </row>
    <row r="441" spans="1:46" ht="13" hidden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40"/>
      <c r="T441" s="40"/>
      <c r="U441" s="40"/>
      <c r="V441" s="40"/>
      <c r="W441" s="41"/>
      <c r="X441" s="41"/>
      <c r="Y441" s="41"/>
      <c r="Z441" s="3"/>
      <c r="AA441" s="3"/>
      <c r="AB441" s="40"/>
      <c r="AC441" s="40"/>
      <c r="AD441" s="40"/>
      <c r="AE441" s="40"/>
      <c r="AF441" s="41"/>
      <c r="AG441" s="3"/>
      <c r="AH441" s="3"/>
      <c r="AI441" s="40"/>
      <c r="AJ441" s="40"/>
      <c r="AK441" s="40"/>
      <c r="AL441" s="40"/>
      <c r="AM441" s="41"/>
      <c r="AN441" s="3"/>
      <c r="AO441" s="3"/>
      <c r="AP441" s="40"/>
      <c r="AQ441" s="40"/>
      <c r="AR441" s="40"/>
      <c r="AS441" s="40"/>
      <c r="AT441" s="41"/>
    </row>
    <row r="442" spans="1:46" ht="13" hidden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40"/>
      <c r="T442" s="40"/>
      <c r="U442" s="40"/>
      <c r="V442" s="40"/>
      <c r="W442" s="41"/>
      <c r="X442" s="41"/>
      <c r="Y442" s="41"/>
      <c r="Z442" s="3"/>
      <c r="AA442" s="3"/>
      <c r="AB442" s="40"/>
      <c r="AC442" s="40"/>
      <c r="AD442" s="40"/>
      <c r="AE442" s="40"/>
      <c r="AF442" s="41"/>
      <c r="AG442" s="3"/>
      <c r="AH442" s="3"/>
      <c r="AI442" s="40"/>
      <c r="AJ442" s="40"/>
      <c r="AK442" s="40"/>
      <c r="AL442" s="40"/>
      <c r="AM442" s="41"/>
      <c r="AN442" s="3"/>
      <c r="AO442" s="3"/>
      <c r="AP442" s="40"/>
      <c r="AQ442" s="40"/>
      <c r="AR442" s="40"/>
      <c r="AS442" s="40"/>
      <c r="AT442" s="41"/>
    </row>
    <row r="443" spans="1:46" ht="13" hidden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40"/>
      <c r="T443" s="40"/>
      <c r="U443" s="40"/>
      <c r="V443" s="40"/>
      <c r="W443" s="41"/>
      <c r="X443" s="41"/>
      <c r="Y443" s="41"/>
      <c r="Z443" s="3"/>
      <c r="AA443" s="3"/>
      <c r="AB443" s="40"/>
      <c r="AC443" s="40"/>
      <c r="AD443" s="40"/>
      <c r="AE443" s="40"/>
      <c r="AF443" s="41"/>
      <c r="AG443" s="3"/>
      <c r="AH443" s="3"/>
      <c r="AI443" s="40"/>
      <c r="AJ443" s="40"/>
      <c r="AK443" s="40"/>
      <c r="AL443" s="40"/>
      <c r="AM443" s="41"/>
      <c r="AN443" s="3"/>
      <c r="AO443" s="3"/>
      <c r="AP443" s="40"/>
      <c r="AQ443" s="40"/>
      <c r="AR443" s="40"/>
      <c r="AS443" s="40"/>
      <c r="AT443" s="41"/>
    </row>
    <row r="444" spans="1:46" ht="13" hidden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40"/>
      <c r="T444" s="40"/>
      <c r="U444" s="40"/>
      <c r="V444" s="40"/>
      <c r="W444" s="41"/>
      <c r="X444" s="41"/>
      <c r="Y444" s="41"/>
      <c r="Z444" s="3"/>
      <c r="AA444" s="3"/>
      <c r="AB444" s="40"/>
      <c r="AC444" s="40"/>
      <c r="AD444" s="40"/>
      <c r="AE444" s="40"/>
      <c r="AF444" s="41"/>
      <c r="AG444" s="3"/>
      <c r="AH444" s="3"/>
      <c r="AI444" s="40"/>
      <c r="AJ444" s="40"/>
      <c r="AK444" s="40"/>
      <c r="AL444" s="40"/>
      <c r="AM444" s="41"/>
      <c r="AN444" s="3"/>
      <c r="AO444" s="3"/>
      <c r="AP444" s="40"/>
      <c r="AQ444" s="40"/>
      <c r="AR444" s="40"/>
      <c r="AS444" s="40"/>
      <c r="AT444" s="41"/>
    </row>
    <row r="445" spans="1:46" ht="13" hidden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40"/>
      <c r="T445" s="40"/>
      <c r="U445" s="40"/>
      <c r="V445" s="40"/>
      <c r="W445" s="41"/>
      <c r="X445" s="41"/>
      <c r="Y445" s="41"/>
      <c r="Z445" s="3"/>
      <c r="AA445" s="3"/>
      <c r="AB445" s="40"/>
      <c r="AC445" s="40"/>
      <c r="AD445" s="40"/>
      <c r="AE445" s="40"/>
      <c r="AF445" s="41"/>
      <c r="AG445" s="3"/>
      <c r="AH445" s="3"/>
      <c r="AI445" s="40"/>
      <c r="AJ445" s="40"/>
      <c r="AK445" s="40"/>
      <c r="AL445" s="40"/>
      <c r="AM445" s="41"/>
      <c r="AN445" s="3"/>
      <c r="AO445" s="3"/>
      <c r="AP445" s="40"/>
      <c r="AQ445" s="40"/>
      <c r="AR445" s="40"/>
      <c r="AS445" s="40"/>
      <c r="AT445" s="41"/>
    </row>
    <row r="446" spans="1:46" ht="13" hidden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40"/>
      <c r="T446" s="40"/>
      <c r="U446" s="40"/>
      <c r="V446" s="40"/>
      <c r="W446" s="41"/>
      <c r="X446" s="41"/>
      <c r="Y446" s="41"/>
      <c r="Z446" s="3"/>
      <c r="AA446" s="3"/>
      <c r="AB446" s="40"/>
      <c r="AC446" s="40"/>
      <c r="AD446" s="40"/>
      <c r="AE446" s="40"/>
      <c r="AF446" s="41"/>
      <c r="AG446" s="3"/>
      <c r="AH446" s="3"/>
      <c r="AI446" s="40"/>
      <c r="AJ446" s="40"/>
      <c r="AK446" s="40"/>
      <c r="AL446" s="40"/>
      <c r="AM446" s="41"/>
      <c r="AN446" s="3"/>
      <c r="AO446" s="3"/>
      <c r="AP446" s="40"/>
      <c r="AQ446" s="40"/>
      <c r="AR446" s="40"/>
      <c r="AS446" s="40"/>
      <c r="AT446" s="41"/>
    </row>
    <row r="447" spans="1:46" ht="13" hidden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40"/>
      <c r="T447" s="40"/>
      <c r="U447" s="40"/>
      <c r="V447" s="40"/>
      <c r="W447" s="41"/>
      <c r="X447" s="41"/>
      <c r="Y447" s="41"/>
      <c r="Z447" s="3"/>
      <c r="AA447" s="3"/>
      <c r="AB447" s="40"/>
      <c r="AC447" s="40"/>
      <c r="AD447" s="40"/>
      <c r="AE447" s="40"/>
      <c r="AF447" s="41"/>
      <c r="AG447" s="3"/>
      <c r="AH447" s="3"/>
      <c r="AI447" s="40"/>
      <c r="AJ447" s="40"/>
      <c r="AK447" s="40"/>
      <c r="AL447" s="40"/>
      <c r="AM447" s="41"/>
      <c r="AN447" s="3"/>
      <c r="AO447" s="3"/>
      <c r="AP447" s="40"/>
      <c r="AQ447" s="40"/>
      <c r="AR447" s="40"/>
      <c r="AS447" s="40"/>
      <c r="AT447" s="41"/>
    </row>
    <row r="448" spans="1:46" ht="13" hidden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40"/>
      <c r="T448" s="40"/>
      <c r="U448" s="40"/>
      <c r="V448" s="40"/>
      <c r="W448" s="41"/>
      <c r="X448" s="41"/>
      <c r="Y448" s="41"/>
      <c r="Z448" s="3"/>
      <c r="AA448" s="3"/>
      <c r="AB448" s="40"/>
      <c r="AC448" s="40"/>
      <c r="AD448" s="40"/>
      <c r="AE448" s="40"/>
      <c r="AF448" s="41"/>
      <c r="AG448" s="3"/>
      <c r="AH448" s="3"/>
      <c r="AI448" s="40"/>
      <c r="AJ448" s="40"/>
      <c r="AK448" s="40"/>
      <c r="AL448" s="40"/>
      <c r="AM448" s="41"/>
      <c r="AN448" s="3"/>
      <c r="AO448" s="3"/>
      <c r="AP448" s="40"/>
      <c r="AQ448" s="40"/>
      <c r="AR448" s="40"/>
      <c r="AS448" s="40"/>
      <c r="AT448" s="41"/>
    </row>
    <row r="449" spans="1:46" ht="13" hidden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40"/>
      <c r="T449" s="40"/>
      <c r="U449" s="40"/>
      <c r="V449" s="40"/>
      <c r="W449" s="41"/>
      <c r="X449" s="41"/>
      <c r="Y449" s="41"/>
      <c r="Z449" s="3"/>
      <c r="AA449" s="3"/>
      <c r="AB449" s="40"/>
      <c r="AC449" s="40"/>
      <c r="AD449" s="40"/>
      <c r="AE449" s="40"/>
      <c r="AF449" s="41"/>
      <c r="AG449" s="3"/>
      <c r="AH449" s="3"/>
      <c r="AI449" s="40"/>
      <c r="AJ449" s="40"/>
      <c r="AK449" s="40"/>
      <c r="AL449" s="40"/>
      <c r="AM449" s="41"/>
      <c r="AN449" s="3"/>
      <c r="AO449" s="3"/>
      <c r="AP449" s="40"/>
      <c r="AQ449" s="40"/>
      <c r="AR449" s="40"/>
      <c r="AS449" s="40"/>
      <c r="AT449" s="41"/>
    </row>
    <row r="450" spans="1:46" ht="13" hidden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40"/>
      <c r="T450" s="40"/>
      <c r="U450" s="40"/>
      <c r="V450" s="40"/>
      <c r="W450" s="41"/>
      <c r="X450" s="41"/>
      <c r="Y450" s="41"/>
      <c r="Z450" s="3"/>
      <c r="AA450" s="3"/>
      <c r="AB450" s="40"/>
      <c r="AC450" s="40"/>
      <c r="AD450" s="40"/>
      <c r="AE450" s="40"/>
      <c r="AF450" s="41"/>
      <c r="AG450" s="3"/>
      <c r="AH450" s="3"/>
      <c r="AI450" s="40"/>
      <c r="AJ450" s="40"/>
      <c r="AK450" s="40"/>
      <c r="AL450" s="40"/>
      <c r="AM450" s="41"/>
      <c r="AN450" s="3"/>
      <c r="AO450" s="3"/>
      <c r="AP450" s="40"/>
      <c r="AQ450" s="40"/>
      <c r="AR450" s="40"/>
      <c r="AS450" s="40"/>
      <c r="AT450" s="41"/>
    </row>
    <row r="451" spans="1:46" ht="13" hidden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40"/>
      <c r="T451" s="40"/>
      <c r="U451" s="40"/>
      <c r="V451" s="40"/>
      <c r="W451" s="41"/>
      <c r="X451" s="41"/>
      <c r="Y451" s="41"/>
      <c r="Z451" s="3"/>
      <c r="AA451" s="3"/>
      <c r="AB451" s="40"/>
      <c r="AC451" s="40"/>
      <c r="AD451" s="40"/>
      <c r="AE451" s="40"/>
      <c r="AF451" s="41"/>
      <c r="AG451" s="3"/>
      <c r="AH451" s="3"/>
      <c r="AI451" s="40"/>
      <c r="AJ451" s="40"/>
      <c r="AK451" s="40"/>
      <c r="AL451" s="40"/>
      <c r="AM451" s="41"/>
      <c r="AN451" s="3"/>
      <c r="AO451" s="3"/>
      <c r="AP451" s="40"/>
      <c r="AQ451" s="40"/>
      <c r="AR451" s="40"/>
      <c r="AS451" s="40"/>
      <c r="AT451" s="41"/>
    </row>
    <row r="452" spans="1:46" ht="13" hidden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40"/>
      <c r="T452" s="40"/>
      <c r="U452" s="40"/>
      <c r="V452" s="40"/>
      <c r="W452" s="41"/>
      <c r="X452" s="41"/>
      <c r="Y452" s="41"/>
      <c r="Z452" s="3"/>
      <c r="AA452" s="3"/>
      <c r="AB452" s="40"/>
      <c r="AC452" s="40"/>
      <c r="AD452" s="40"/>
      <c r="AE452" s="40"/>
      <c r="AF452" s="41"/>
      <c r="AG452" s="3"/>
      <c r="AH452" s="3"/>
      <c r="AI452" s="40"/>
      <c r="AJ452" s="40"/>
      <c r="AK452" s="40"/>
      <c r="AL452" s="40"/>
      <c r="AM452" s="41"/>
      <c r="AN452" s="3"/>
      <c r="AO452" s="3"/>
      <c r="AP452" s="40"/>
      <c r="AQ452" s="40"/>
      <c r="AR452" s="40"/>
      <c r="AS452" s="40"/>
      <c r="AT452" s="41"/>
    </row>
    <row r="453" spans="1:46" ht="13" hidden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40"/>
      <c r="T453" s="40"/>
      <c r="U453" s="40"/>
      <c r="V453" s="40"/>
      <c r="W453" s="41"/>
      <c r="X453" s="41"/>
      <c r="Y453" s="41"/>
      <c r="Z453" s="3"/>
      <c r="AA453" s="3"/>
      <c r="AB453" s="40"/>
      <c r="AC453" s="40"/>
      <c r="AD453" s="40"/>
      <c r="AE453" s="40"/>
      <c r="AF453" s="41"/>
      <c r="AG453" s="3"/>
      <c r="AH453" s="3"/>
      <c r="AI453" s="40"/>
      <c r="AJ453" s="40"/>
      <c r="AK453" s="40"/>
      <c r="AL453" s="40"/>
      <c r="AM453" s="41"/>
      <c r="AN453" s="3"/>
      <c r="AO453" s="3"/>
      <c r="AP453" s="40"/>
      <c r="AQ453" s="40"/>
      <c r="AR453" s="40"/>
      <c r="AS453" s="40"/>
      <c r="AT453" s="41"/>
    </row>
    <row r="454" spans="1:46" ht="13" hidden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40"/>
      <c r="T454" s="40"/>
      <c r="U454" s="40"/>
      <c r="V454" s="40"/>
      <c r="W454" s="41"/>
      <c r="X454" s="41"/>
      <c r="Y454" s="41"/>
      <c r="Z454" s="3"/>
      <c r="AA454" s="3"/>
      <c r="AB454" s="40"/>
      <c r="AC454" s="40"/>
      <c r="AD454" s="40"/>
      <c r="AE454" s="40"/>
      <c r="AF454" s="41"/>
      <c r="AG454" s="3"/>
      <c r="AH454" s="3"/>
      <c r="AI454" s="40"/>
      <c r="AJ454" s="40"/>
      <c r="AK454" s="40"/>
      <c r="AL454" s="40"/>
      <c r="AM454" s="41"/>
      <c r="AN454" s="3"/>
      <c r="AO454" s="3"/>
      <c r="AP454" s="40"/>
      <c r="AQ454" s="40"/>
      <c r="AR454" s="40"/>
      <c r="AS454" s="40"/>
      <c r="AT454" s="41"/>
    </row>
    <row r="455" spans="1:46" ht="13" hidden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40"/>
      <c r="T455" s="40"/>
      <c r="U455" s="40"/>
      <c r="V455" s="40"/>
      <c r="W455" s="41"/>
      <c r="X455" s="41"/>
      <c r="Y455" s="41"/>
      <c r="Z455" s="3"/>
      <c r="AA455" s="3"/>
      <c r="AB455" s="40"/>
      <c r="AC455" s="40"/>
      <c r="AD455" s="40"/>
      <c r="AE455" s="40"/>
      <c r="AF455" s="41"/>
      <c r="AG455" s="3"/>
      <c r="AH455" s="3"/>
      <c r="AI455" s="40"/>
      <c r="AJ455" s="40"/>
      <c r="AK455" s="40"/>
      <c r="AL455" s="40"/>
      <c r="AM455" s="41"/>
      <c r="AN455" s="3"/>
      <c r="AO455" s="3"/>
      <c r="AP455" s="40"/>
      <c r="AQ455" s="40"/>
      <c r="AR455" s="40"/>
      <c r="AS455" s="40"/>
      <c r="AT455" s="41"/>
    </row>
    <row r="456" spans="1:46" ht="13" hidden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40"/>
      <c r="T456" s="40"/>
      <c r="U456" s="40"/>
      <c r="V456" s="40"/>
      <c r="W456" s="41"/>
      <c r="X456" s="41"/>
      <c r="Y456" s="41"/>
      <c r="Z456" s="3"/>
      <c r="AA456" s="3"/>
      <c r="AB456" s="40"/>
      <c r="AC456" s="40"/>
      <c r="AD456" s="40"/>
      <c r="AE456" s="40"/>
      <c r="AF456" s="41"/>
      <c r="AG456" s="3"/>
      <c r="AH456" s="3"/>
      <c r="AI456" s="40"/>
      <c r="AJ456" s="40"/>
      <c r="AK456" s="40"/>
      <c r="AL456" s="40"/>
      <c r="AM456" s="41"/>
      <c r="AN456" s="3"/>
      <c r="AO456" s="3"/>
      <c r="AP456" s="40"/>
      <c r="AQ456" s="40"/>
      <c r="AR456" s="40"/>
      <c r="AS456" s="40"/>
      <c r="AT456" s="41"/>
    </row>
    <row r="457" spans="1:46" ht="13" hidden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40"/>
      <c r="T457" s="40"/>
      <c r="U457" s="40"/>
      <c r="V457" s="40"/>
      <c r="W457" s="41"/>
      <c r="X457" s="41"/>
      <c r="Y457" s="41"/>
      <c r="Z457" s="3"/>
      <c r="AA457" s="3"/>
      <c r="AB457" s="40"/>
      <c r="AC457" s="40"/>
      <c r="AD457" s="40"/>
      <c r="AE457" s="40"/>
      <c r="AF457" s="41"/>
      <c r="AG457" s="3"/>
      <c r="AH457" s="3"/>
      <c r="AI457" s="40"/>
      <c r="AJ457" s="40"/>
      <c r="AK457" s="40"/>
      <c r="AL457" s="40"/>
      <c r="AM457" s="41"/>
      <c r="AN457" s="3"/>
      <c r="AO457" s="3"/>
      <c r="AP457" s="40"/>
      <c r="AQ457" s="40"/>
      <c r="AR457" s="40"/>
      <c r="AS457" s="40"/>
      <c r="AT457" s="41"/>
    </row>
    <row r="458" spans="1:46" ht="13" hidden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40"/>
      <c r="T458" s="40"/>
      <c r="U458" s="40"/>
      <c r="V458" s="40"/>
      <c r="W458" s="41"/>
      <c r="X458" s="41"/>
      <c r="Y458" s="41"/>
      <c r="Z458" s="3"/>
      <c r="AA458" s="3"/>
      <c r="AB458" s="40"/>
      <c r="AC458" s="40"/>
      <c r="AD458" s="40"/>
      <c r="AE458" s="40"/>
      <c r="AF458" s="41"/>
      <c r="AG458" s="3"/>
      <c r="AH458" s="3"/>
      <c r="AI458" s="40"/>
      <c r="AJ458" s="40"/>
      <c r="AK458" s="40"/>
      <c r="AL458" s="40"/>
      <c r="AM458" s="41"/>
      <c r="AN458" s="3"/>
      <c r="AO458" s="3"/>
      <c r="AP458" s="40"/>
      <c r="AQ458" s="40"/>
      <c r="AR458" s="40"/>
      <c r="AS458" s="40"/>
      <c r="AT458" s="41"/>
    </row>
    <row r="459" spans="1:46" ht="13" hidden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40"/>
      <c r="T459" s="40"/>
      <c r="U459" s="40"/>
      <c r="V459" s="40"/>
      <c r="W459" s="41"/>
      <c r="X459" s="41"/>
      <c r="Y459" s="41"/>
      <c r="Z459" s="3"/>
      <c r="AA459" s="3"/>
      <c r="AB459" s="40"/>
      <c r="AC459" s="40"/>
      <c r="AD459" s="40"/>
      <c r="AE459" s="40"/>
      <c r="AF459" s="41"/>
      <c r="AG459" s="3"/>
      <c r="AH459" s="3"/>
      <c r="AI459" s="40"/>
      <c r="AJ459" s="40"/>
      <c r="AK459" s="40"/>
      <c r="AL459" s="40"/>
      <c r="AM459" s="41"/>
      <c r="AN459" s="3"/>
      <c r="AO459" s="3"/>
      <c r="AP459" s="40"/>
      <c r="AQ459" s="40"/>
      <c r="AR459" s="40"/>
      <c r="AS459" s="40"/>
      <c r="AT459" s="41"/>
    </row>
    <row r="460" spans="1:46" ht="13" hidden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40"/>
      <c r="T460" s="40"/>
      <c r="U460" s="40"/>
      <c r="V460" s="40"/>
      <c r="W460" s="41"/>
      <c r="X460" s="41"/>
      <c r="Y460" s="41"/>
      <c r="Z460" s="3"/>
      <c r="AA460" s="3"/>
      <c r="AB460" s="40"/>
      <c r="AC460" s="40"/>
      <c r="AD460" s="40"/>
      <c r="AE460" s="40"/>
      <c r="AF460" s="41"/>
      <c r="AG460" s="3"/>
      <c r="AH460" s="3"/>
      <c r="AI460" s="40"/>
      <c r="AJ460" s="40"/>
      <c r="AK460" s="40"/>
      <c r="AL460" s="40"/>
      <c r="AM460" s="41"/>
      <c r="AN460" s="3"/>
      <c r="AO460" s="3"/>
      <c r="AP460" s="40"/>
      <c r="AQ460" s="40"/>
      <c r="AR460" s="40"/>
      <c r="AS460" s="40"/>
      <c r="AT460" s="41"/>
    </row>
    <row r="461" spans="1:46" ht="13" hidden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40"/>
      <c r="T461" s="40"/>
      <c r="U461" s="40"/>
      <c r="V461" s="40"/>
      <c r="W461" s="41"/>
      <c r="X461" s="41"/>
      <c r="Y461" s="41"/>
      <c r="Z461" s="3"/>
      <c r="AA461" s="3"/>
      <c r="AB461" s="40"/>
      <c r="AC461" s="40"/>
      <c r="AD461" s="40"/>
      <c r="AE461" s="40"/>
      <c r="AF461" s="41"/>
      <c r="AG461" s="3"/>
      <c r="AH461" s="3"/>
      <c r="AI461" s="40"/>
      <c r="AJ461" s="40"/>
      <c r="AK461" s="40"/>
      <c r="AL461" s="40"/>
      <c r="AM461" s="41"/>
      <c r="AN461" s="3"/>
      <c r="AO461" s="3"/>
      <c r="AP461" s="40"/>
      <c r="AQ461" s="40"/>
      <c r="AR461" s="40"/>
      <c r="AS461" s="40"/>
      <c r="AT461" s="41"/>
    </row>
    <row r="462" spans="1:46" ht="13" hidden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40"/>
      <c r="T462" s="40"/>
      <c r="U462" s="40"/>
      <c r="V462" s="40"/>
      <c r="W462" s="41"/>
      <c r="X462" s="41"/>
      <c r="Y462" s="41"/>
      <c r="Z462" s="3"/>
      <c r="AA462" s="3"/>
      <c r="AB462" s="40"/>
      <c r="AC462" s="40"/>
      <c r="AD462" s="40"/>
      <c r="AE462" s="40"/>
      <c r="AF462" s="41"/>
      <c r="AG462" s="3"/>
      <c r="AH462" s="3"/>
      <c r="AI462" s="40"/>
      <c r="AJ462" s="40"/>
      <c r="AK462" s="40"/>
      <c r="AL462" s="40"/>
      <c r="AM462" s="41"/>
      <c r="AN462" s="3"/>
      <c r="AO462" s="3"/>
      <c r="AP462" s="40"/>
      <c r="AQ462" s="40"/>
      <c r="AR462" s="40"/>
      <c r="AS462" s="40"/>
      <c r="AT462" s="41"/>
    </row>
    <row r="463" spans="1:46" ht="13" hidden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40"/>
      <c r="T463" s="40"/>
      <c r="U463" s="40"/>
      <c r="V463" s="40"/>
      <c r="W463" s="41"/>
      <c r="X463" s="41"/>
      <c r="Y463" s="41"/>
      <c r="Z463" s="3"/>
      <c r="AA463" s="3"/>
      <c r="AB463" s="40"/>
      <c r="AC463" s="40"/>
      <c r="AD463" s="40"/>
      <c r="AE463" s="40"/>
      <c r="AF463" s="41"/>
      <c r="AG463" s="3"/>
      <c r="AH463" s="3"/>
      <c r="AI463" s="40"/>
      <c r="AJ463" s="40"/>
      <c r="AK463" s="40"/>
      <c r="AL463" s="40"/>
      <c r="AM463" s="41"/>
      <c r="AN463" s="3"/>
      <c r="AO463" s="3"/>
      <c r="AP463" s="40"/>
      <c r="AQ463" s="40"/>
      <c r="AR463" s="40"/>
      <c r="AS463" s="40"/>
      <c r="AT463" s="41"/>
    </row>
    <row r="464" spans="1:46" ht="13" hidden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40"/>
      <c r="T464" s="40"/>
      <c r="U464" s="40"/>
      <c r="V464" s="40"/>
      <c r="W464" s="41"/>
      <c r="X464" s="41"/>
      <c r="Y464" s="41"/>
      <c r="Z464" s="3"/>
      <c r="AA464" s="3"/>
      <c r="AB464" s="40"/>
      <c r="AC464" s="40"/>
      <c r="AD464" s="40"/>
      <c r="AE464" s="40"/>
      <c r="AF464" s="41"/>
      <c r="AG464" s="3"/>
      <c r="AH464" s="3"/>
      <c r="AI464" s="40"/>
      <c r="AJ464" s="40"/>
      <c r="AK464" s="40"/>
      <c r="AL464" s="40"/>
      <c r="AM464" s="41"/>
      <c r="AN464" s="3"/>
      <c r="AO464" s="3"/>
      <c r="AP464" s="40"/>
      <c r="AQ464" s="40"/>
      <c r="AR464" s="40"/>
      <c r="AS464" s="40"/>
      <c r="AT464" s="41"/>
    </row>
    <row r="465" spans="1:46" ht="13" hidden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40"/>
      <c r="T465" s="40"/>
      <c r="U465" s="40"/>
      <c r="V465" s="40"/>
      <c r="W465" s="41"/>
      <c r="X465" s="41"/>
      <c r="Y465" s="41"/>
      <c r="Z465" s="3"/>
      <c r="AA465" s="3"/>
      <c r="AB465" s="40"/>
      <c r="AC465" s="40"/>
      <c r="AD465" s="40"/>
      <c r="AE465" s="40"/>
      <c r="AF465" s="41"/>
      <c r="AG465" s="3"/>
      <c r="AH465" s="3"/>
      <c r="AI465" s="40"/>
      <c r="AJ465" s="40"/>
      <c r="AK465" s="40"/>
      <c r="AL465" s="40"/>
      <c r="AM465" s="41"/>
      <c r="AN465" s="3"/>
      <c r="AO465" s="3"/>
      <c r="AP465" s="40"/>
      <c r="AQ465" s="40"/>
      <c r="AR465" s="40"/>
      <c r="AS465" s="40"/>
      <c r="AT465" s="41"/>
    </row>
    <row r="466" spans="1:46" ht="13" hidden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40"/>
      <c r="T466" s="40"/>
      <c r="U466" s="40"/>
      <c r="V466" s="40"/>
      <c r="W466" s="41"/>
      <c r="X466" s="41"/>
      <c r="Y466" s="41"/>
      <c r="Z466" s="3"/>
      <c r="AA466" s="3"/>
      <c r="AB466" s="40"/>
      <c r="AC466" s="40"/>
      <c r="AD466" s="40"/>
      <c r="AE466" s="40"/>
      <c r="AF466" s="41"/>
      <c r="AG466" s="3"/>
      <c r="AH466" s="3"/>
      <c r="AI466" s="40"/>
      <c r="AJ466" s="40"/>
      <c r="AK466" s="40"/>
      <c r="AL466" s="40"/>
      <c r="AM466" s="41"/>
      <c r="AN466" s="3"/>
      <c r="AO466" s="3"/>
      <c r="AP466" s="40"/>
      <c r="AQ466" s="40"/>
      <c r="AR466" s="40"/>
      <c r="AS466" s="40"/>
      <c r="AT466" s="41"/>
    </row>
    <row r="467" spans="1:46" ht="13" hidden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40"/>
      <c r="T467" s="40"/>
      <c r="U467" s="40"/>
      <c r="V467" s="40"/>
      <c r="W467" s="41"/>
      <c r="X467" s="41"/>
      <c r="Y467" s="41"/>
      <c r="Z467" s="3"/>
      <c r="AA467" s="3"/>
      <c r="AB467" s="40"/>
      <c r="AC467" s="40"/>
      <c r="AD467" s="40"/>
      <c r="AE467" s="40"/>
      <c r="AF467" s="41"/>
      <c r="AG467" s="3"/>
      <c r="AH467" s="3"/>
      <c r="AI467" s="40"/>
      <c r="AJ467" s="40"/>
      <c r="AK467" s="40"/>
      <c r="AL467" s="40"/>
      <c r="AM467" s="41"/>
      <c r="AN467" s="3"/>
      <c r="AO467" s="3"/>
      <c r="AP467" s="40"/>
      <c r="AQ467" s="40"/>
      <c r="AR467" s="40"/>
      <c r="AS467" s="40"/>
      <c r="AT467" s="41"/>
    </row>
    <row r="468" spans="1:46" ht="13" hidden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40"/>
      <c r="T468" s="40"/>
      <c r="U468" s="40"/>
      <c r="V468" s="40"/>
      <c r="W468" s="41"/>
      <c r="X468" s="41"/>
      <c r="Y468" s="41"/>
      <c r="Z468" s="3"/>
      <c r="AA468" s="3"/>
      <c r="AB468" s="40"/>
      <c r="AC468" s="40"/>
      <c r="AD468" s="40"/>
      <c r="AE468" s="40"/>
      <c r="AF468" s="41"/>
      <c r="AG468" s="3"/>
      <c r="AH468" s="3"/>
      <c r="AI468" s="40"/>
      <c r="AJ468" s="40"/>
      <c r="AK468" s="40"/>
      <c r="AL468" s="40"/>
      <c r="AM468" s="41"/>
      <c r="AN468" s="3"/>
      <c r="AO468" s="3"/>
      <c r="AP468" s="40"/>
      <c r="AQ468" s="40"/>
      <c r="AR468" s="40"/>
      <c r="AS468" s="40"/>
      <c r="AT468" s="41"/>
    </row>
    <row r="469" spans="1:46" ht="13" hidden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40"/>
      <c r="T469" s="40"/>
      <c r="U469" s="40"/>
      <c r="V469" s="40"/>
      <c r="W469" s="41"/>
      <c r="X469" s="41"/>
      <c r="Y469" s="41"/>
      <c r="Z469" s="3"/>
      <c r="AA469" s="3"/>
      <c r="AB469" s="40"/>
      <c r="AC469" s="40"/>
      <c r="AD469" s="40"/>
      <c r="AE469" s="40"/>
      <c r="AF469" s="41"/>
      <c r="AG469" s="3"/>
      <c r="AH469" s="3"/>
      <c r="AI469" s="40"/>
      <c r="AJ469" s="40"/>
      <c r="AK469" s="40"/>
      <c r="AL469" s="40"/>
      <c r="AM469" s="41"/>
      <c r="AN469" s="3"/>
      <c r="AO469" s="3"/>
      <c r="AP469" s="40"/>
      <c r="AQ469" s="40"/>
      <c r="AR469" s="40"/>
      <c r="AS469" s="40"/>
      <c r="AT469" s="41"/>
    </row>
    <row r="470" spans="1:46" ht="13" hidden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40"/>
      <c r="T470" s="40"/>
      <c r="U470" s="40"/>
      <c r="V470" s="40"/>
      <c r="W470" s="41"/>
      <c r="X470" s="41"/>
      <c r="Y470" s="41"/>
      <c r="Z470" s="3"/>
      <c r="AA470" s="3"/>
      <c r="AB470" s="40"/>
      <c r="AC470" s="40"/>
      <c r="AD470" s="40"/>
      <c r="AE470" s="40"/>
      <c r="AF470" s="41"/>
      <c r="AG470" s="3"/>
      <c r="AH470" s="3"/>
      <c r="AI470" s="40"/>
      <c r="AJ470" s="40"/>
      <c r="AK470" s="40"/>
      <c r="AL470" s="40"/>
      <c r="AM470" s="41"/>
      <c r="AN470" s="3"/>
      <c r="AO470" s="3"/>
      <c r="AP470" s="40"/>
      <c r="AQ470" s="40"/>
      <c r="AR470" s="40"/>
      <c r="AS470" s="40"/>
      <c r="AT470" s="41"/>
    </row>
    <row r="471" spans="1:46" ht="13" hidden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40"/>
      <c r="T471" s="40"/>
      <c r="U471" s="40"/>
      <c r="V471" s="40"/>
      <c r="W471" s="41"/>
      <c r="X471" s="41"/>
      <c r="Y471" s="41"/>
      <c r="Z471" s="3"/>
      <c r="AA471" s="3"/>
      <c r="AB471" s="40"/>
      <c r="AC471" s="40"/>
      <c r="AD471" s="40"/>
      <c r="AE471" s="40"/>
      <c r="AF471" s="41"/>
      <c r="AG471" s="3"/>
      <c r="AH471" s="3"/>
      <c r="AI471" s="40"/>
      <c r="AJ471" s="40"/>
      <c r="AK471" s="40"/>
      <c r="AL471" s="40"/>
      <c r="AM471" s="41"/>
      <c r="AN471" s="3"/>
      <c r="AO471" s="3"/>
      <c r="AP471" s="40"/>
      <c r="AQ471" s="40"/>
      <c r="AR471" s="40"/>
      <c r="AS471" s="40"/>
      <c r="AT471" s="41"/>
    </row>
    <row r="472" spans="1:46" ht="13" hidden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40"/>
      <c r="T472" s="40"/>
      <c r="U472" s="40"/>
      <c r="V472" s="40"/>
      <c r="W472" s="41"/>
      <c r="X472" s="41"/>
      <c r="Y472" s="41"/>
      <c r="Z472" s="3"/>
      <c r="AA472" s="3"/>
      <c r="AB472" s="40"/>
      <c r="AC472" s="40"/>
      <c r="AD472" s="40"/>
      <c r="AE472" s="40"/>
      <c r="AF472" s="41"/>
      <c r="AG472" s="3"/>
      <c r="AH472" s="3"/>
      <c r="AI472" s="40"/>
      <c r="AJ472" s="40"/>
      <c r="AK472" s="40"/>
      <c r="AL472" s="40"/>
      <c r="AM472" s="41"/>
      <c r="AN472" s="3"/>
      <c r="AO472" s="3"/>
      <c r="AP472" s="40"/>
      <c r="AQ472" s="40"/>
      <c r="AR472" s="40"/>
      <c r="AS472" s="40"/>
      <c r="AT472" s="41"/>
    </row>
    <row r="473" spans="1:46" ht="13" hidden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40"/>
      <c r="T473" s="40"/>
      <c r="U473" s="40"/>
      <c r="V473" s="40"/>
      <c r="W473" s="41"/>
      <c r="X473" s="41"/>
      <c r="Y473" s="41"/>
      <c r="Z473" s="3"/>
      <c r="AA473" s="3"/>
      <c r="AB473" s="40"/>
      <c r="AC473" s="40"/>
      <c r="AD473" s="40"/>
      <c r="AE473" s="40"/>
      <c r="AF473" s="41"/>
      <c r="AG473" s="3"/>
      <c r="AH473" s="3"/>
      <c r="AI473" s="40"/>
      <c r="AJ473" s="40"/>
      <c r="AK473" s="40"/>
      <c r="AL473" s="40"/>
      <c r="AM473" s="41"/>
      <c r="AN473" s="3"/>
      <c r="AO473" s="3"/>
      <c r="AP473" s="40"/>
      <c r="AQ473" s="40"/>
      <c r="AR473" s="40"/>
      <c r="AS473" s="40"/>
      <c r="AT473" s="41"/>
    </row>
    <row r="474" spans="1:46" ht="13" hidden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40"/>
      <c r="T474" s="40"/>
      <c r="U474" s="40"/>
      <c r="V474" s="40"/>
      <c r="W474" s="41"/>
      <c r="X474" s="41"/>
      <c r="Y474" s="41"/>
      <c r="Z474" s="3"/>
      <c r="AA474" s="3"/>
      <c r="AB474" s="40"/>
      <c r="AC474" s="40"/>
      <c r="AD474" s="40"/>
      <c r="AE474" s="40"/>
      <c r="AF474" s="41"/>
      <c r="AG474" s="3"/>
      <c r="AH474" s="3"/>
      <c r="AI474" s="40"/>
      <c r="AJ474" s="40"/>
      <c r="AK474" s="40"/>
      <c r="AL474" s="40"/>
      <c r="AM474" s="41"/>
      <c r="AN474" s="3"/>
      <c r="AO474" s="3"/>
      <c r="AP474" s="40"/>
      <c r="AQ474" s="40"/>
      <c r="AR474" s="40"/>
      <c r="AS474" s="40"/>
      <c r="AT474" s="41"/>
    </row>
    <row r="475" spans="1:46" ht="13" hidden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40"/>
      <c r="T475" s="40"/>
      <c r="U475" s="40"/>
      <c r="V475" s="40"/>
      <c r="W475" s="41"/>
      <c r="X475" s="41"/>
      <c r="Y475" s="41"/>
      <c r="Z475" s="3"/>
      <c r="AA475" s="3"/>
      <c r="AB475" s="40"/>
      <c r="AC475" s="40"/>
      <c r="AD475" s="40"/>
      <c r="AE475" s="40"/>
      <c r="AF475" s="41"/>
      <c r="AG475" s="3"/>
      <c r="AH475" s="3"/>
      <c r="AI475" s="40"/>
      <c r="AJ475" s="40"/>
      <c r="AK475" s="40"/>
      <c r="AL475" s="40"/>
      <c r="AM475" s="41"/>
      <c r="AN475" s="3"/>
      <c r="AO475" s="3"/>
      <c r="AP475" s="40"/>
      <c r="AQ475" s="40"/>
      <c r="AR475" s="40"/>
      <c r="AS475" s="40"/>
      <c r="AT475" s="41"/>
    </row>
    <row r="476" spans="1:46" ht="13" hidden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40"/>
      <c r="T476" s="40"/>
      <c r="U476" s="40"/>
      <c r="V476" s="40"/>
      <c r="W476" s="41"/>
      <c r="X476" s="41"/>
      <c r="Y476" s="41"/>
      <c r="Z476" s="3"/>
      <c r="AA476" s="3"/>
      <c r="AB476" s="40"/>
      <c r="AC476" s="40"/>
      <c r="AD476" s="40"/>
      <c r="AE476" s="40"/>
      <c r="AF476" s="41"/>
      <c r="AG476" s="3"/>
      <c r="AH476" s="3"/>
      <c r="AI476" s="40"/>
      <c r="AJ476" s="40"/>
      <c r="AK476" s="40"/>
      <c r="AL476" s="40"/>
      <c r="AM476" s="41"/>
      <c r="AN476" s="3"/>
      <c r="AO476" s="3"/>
      <c r="AP476" s="40"/>
      <c r="AQ476" s="40"/>
      <c r="AR476" s="40"/>
      <c r="AS476" s="40"/>
      <c r="AT476" s="41"/>
    </row>
    <row r="477" spans="1:46" ht="13" hidden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40"/>
      <c r="T477" s="40"/>
      <c r="U477" s="40"/>
      <c r="V477" s="40"/>
      <c r="W477" s="41"/>
      <c r="X477" s="41"/>
      <c r="Y477" s="41"/>
      <c r="Z477" s="3"/>
      <c r="AA477" s="3"/>
      <c r="AB477" s="40"/>
      <c r="AC477" s="40"/>
      <c r="AD477" s="40"/>
      <c r="AE477" s="40"/>
      <c r="AF477" s="41"/>
      <c r="AG477" s="3"/>
      <c r="AH477" s="3"/>
      <c r="AI477" s="40"/>
      <c r="AJ477" s="40"/>
      <c r="AK477" s="40"/>
      <c r="AL477" s="40"/>
      <c r="AM477" s="41"/>
      <c r="AN477" s="3"/>
      <c r="AO477" s="3"/>
      <c r="AP477" s="40"/>
      <c r="AQ477" s="40"/>
      <c r="AR477" s="40"/>
      <c r="AS477" s="40"/>
      <c r="AT477" s="41"/>
    </row>
    <row r="478" spans="1:46" ht="13" hidden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40"/>
      <c r="T478" s="40"/>
      <c r="U478" s="40"/>
      <c r="V478" s="40"/>
      <c r="W478" s="41"/>
      <c r="X478" s="41"/>
      <c r="Y478" s="41"/>
      <c r="Z478" s="3"/>
      <c r="AA478" s="3"/>
      <c r="AB478" s="40"/>
      <c r="AC478" s="40"/>
      <c r="AD478" s="40"/>
      <c r="AE478" s="40"/>
      <c r="AF478" s="41"/>
      <c r="AG478" s="3"/>
      <c r="AH478" s="3"/>
      <c r="AI478" s="40"/>
      <c r="AJ478" s="40"/>
      <c r="AK478" s="40"/>
      <c r="AL478" s="40"/>
      <c r="AM478" s="41"/>
      <c r="AN478" s="3"/>
      <c r="AO478" s="3"/>
      <c r="AP478" s="40"/>
      <c r="AQ478" s="40"/>
      <c r="AR478" s="40"/>
      <c r="AS478" s="40"/>
      <c r="AT478" s="41"/>
    </row>
    <row r="479" spans="1:46" ht="13" hidden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40"/>
      <c r="T479" s="40"/>
      <c r="U479" s="40"/>
      <c r="V479" s="40"/>
      <c r="W479" s="41"/>
      <c r="X479" s="41"/>
      <c r="Y479" s="41"/>
      <c r="Z479" s="3"/>
      <c r="AA479" s="3"/>
      <c r="AB479" s="40"/>
      <c r="AC479" s="40"/>
      <c r="AD479" s="40"/>
      <c r="AE479" s="40"/>
      <c r="AF479" s="41"/>
      <c r="AG479" s="3"/>
      <c r="AH479" s="3"/>
      <c r="AI479" s="40"/>
      <c r="AJ479" s="40"/>
      <c r="AK479" s="40"/>
      <c r="AL479" s="40"/>
      <c r="AM479" s="41"/>
      <c r="AN479" s="3"/>
      <c r="AO479" s="3"/>
      <c r="AP479" s="40"/>
      <c r="AQ479" s="40"/>
      <c r="AR479" s="40"/>
      <c r="AS479" s="40"/>
      <c r="AT479" s="41"/>
    </row>
    <row r="480" spans="1:46" ht="13" hidden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40"/>
      <c r="T480" s="40"/>
      <c r="U480" s="40"/>
      <c r="V480" s="40"/>
      <c r="W480" s="41"/>
      <c r="X480" s="41"/>
      <c r="Y480" s="41"/>
      <c r="Z480" s="3"/>
      <c r="AA480" s="3"/>
      <c r="AB480" s="40"/>
      <c r="AC480" s="40"/>
      <c r="AD480" s="40"/>
      <c r="AE480" s="40"/>
      <c r="AF480" s="41"/>
      <c r="AG480" s="3"/>
      <c r="AH480" s="3"/>
      <c r="AI480" s="40"/>
      <c r="AJ480" s="40"/>
      <c r="AK480" s="40"/>
      <c r="AL480" s="40"/>
      <c r="AM480" s="41"/>
      <c r="AN480" s="3"/>
      <c r="AO480" s="3"/>
      <c r="AP480" s="40"/>
      <c r="AQ480" s="40"/>
      <c r="AR480" s="40"/>
      <c r="AS480" s="40"/>
      <c r="AT480" s="41"/>
    </row>
    <row r="481" spans="1:46" ht="13" hidden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40"/>
      <c r="T481" s="40"/>
      <c r="U481" s="40"/>
      <c r="V481" s="40"/>
      <c r="W481" s="41"/>
      <c r="X481" s="41"/>
      <c r="Y481" s="41"/>
      <c r="Z481" s="3"/>
      <c r="AA481" s="3"/>
      <c r="AB481" s="40"/>
      <c r="AC481" s="40"/>
      <c r="AD481" s="40"/>
      <c r="AE481" s="40"/>
      <c r="AF481" s="41"/>
      <c r="AG481" s="3"/>
      <c r="AH481" s="3"/>
      <c r="AI481" s="40"/>
      <c r="AJ481" s="40"/>
      <c r="AK481" s="40"/>
      <c r="AL481" s="40"/>
      <c r="AM481" s="41"/>
      <c r="AN481" s="3"/>
      <c r="AO481" s="3"/>
      <c r="AP481" s="40"/>
      <c r="AQ481" s="40"/>
      <c r="AR481" s="40"/>
      <c r="AS481" s="40"/>
      <c r="AT481" s="41"/>
    </row>
    <row r="482" spans="1:46" ht="13" hidden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40"/>
      <c r="T482" s="40"/>
      <c r="U482" s="40"/>
      <c r="V482" s="40"/>
      <c r="W482" s="41"/>
      <c r="X482" s="41"/>
      <c r="Y482" s="41"/>
      <c r="Z482" s="3"/>
      <c r="AA482" s="3"/>
      <c r="AB482" s="40"/>
      <c r="AC482" s="40"/>
      <c r="AD482" s="40"/>
      <c r="AE482" s="40"/>
      <c r="AF482" s="41"/>
      <c r="AG482" s="3"/>
      <c r="AH482" s="3"/>
      <c r="AI482" s="40"/>
      <c r="AJ482" s="40"/>
      <c r="AK482" s="40"/>
      <c r="AL482" s="40"/>
      <c r="AM482" s="41"/>
      <c r="AN482" s="3"/>
      <c r="AO482" s="3"/>
      <c r="AP482" s="40"/>
      <c r="AQ482" s="40"/>
      <c r="AR482" s="40"/>
      <c r="AS482" s="40"/>
      <c r="AT482" s="41"/>
    </row>
    <row r="483" spans="1:46" ht="13" hidden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40"/>
      <c r="T483" s="40"/>
      <c r="U483" s="40"/>
      <c r="V483" s="40"/>
      <c r="W483" s="41"/>
      <c r="X483" s="41"/>
      <c r="Y483" s="41"/>
      <c r="Z483" s="3"/>
      <c r="AA483" s="3"/>
      <c r="AB483" s="40"/>
      <c r="AC483" s="40"/>
      <c r="AD483" s="40"/>
      <c r="AE483" s="40"/>
      <c r="AF483" s="41"/>
      <c r="AG483" s="3"/>
      <c r="AH483" s="3"/>
      <c r="AI483" s="40"/>
      <c r="AJ483" s="40"/>
      <c r="AK483" s="40"/>
      <c r="AL483" s="40"/>
      <c r="AM483" s="41"/>
      <c r="AN483" s="3"/>
      <c r="AO483" s="3"/>
      <c r="AP483" s="40"/>
      <c r="AQ483" s="40"/>
      <c r="AR483" s="40"/>
      <c r="AS483" s="40"/>
      <c r="AT483" s="41"/>
    </row>
    <row r="484" spans="1:46" ht="13" hidden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40"/>
      <c r="T484" s="40"/>
      <c r="U484" s="40"/>
      <c r="V484" s="40"/>
      <c r="W484" s="41"/>
      <c r="X484" s="41"/>
      <c r="Y484" s="41"/>
      <c r="Z484" s="3"/>
      <c r="AA484" s="3"/>
      <c r="AB484" s="40"/>
      <c r="AC484" s="40"/>
      <c r="AD484" s="40"/>
      <c r="AE484" s="40"/>
      <c r="AF484" s="41"/>
      <c r="AG484" s="3"/>
      <c r="AH484" s="3"/>
      <c r="AI484" s="40"/>
      <c r="AJ484" s="40"/>
      <c r="AK484" s="40"/>
      <c r="AL484" s="40"/>
      <c r="AM484" s="41"/>
      <c r="AN484" s="3"/>
      <c r="AO484" s="3"/>
      <c r="AP484" s="40"/>
      <c r="AQ484" s="40"/>
      <c r="AR484" s="40"/>
      <c r="AS484" s="40"/>
      <c r="AT484" s="41"/>
    </row>
    <row r="485" spans="1:46" ht="13" hidden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40"/>
      <c r="T485" s="40"/>
      <c r="U485" s="40"/>
      <c r="V485" s="40"/>
      <c r="W485" s="41"/>
      <c r="X485" s="41"/>
      <c r="Y485" s="41"/>
      <c r="Z485" s="3"/>
      <c r="AA485" s="3"/>
      <c r="AB485" s="40"/>
      <c r="AC485" s="40"/>
      <c r="AD485" s="40"/>
      <c r="AE485" s="40"/>
      <c r="AF485" s="41"/>
      <c r="AG485" s="3"/>
      <c r="AH485" s="3"/>
      <c r="AI485" s="40"/>
      <c r="AJ485" s="40"/>
      <c r="AK485" s="40"/>
      <c r="AL485" s="40"/>
      <c r="AM485" s="41"/>
      <c r="AN485" s="3"/>
      <c r="AO485" s="3"/>
      <c r="AP485" s="40"/>
      <c r="AQ485" s="40"/>
      <c r="AR485" s="40"/>
      <c r="AS485" s="40"/>
      <c r="AT485" s="41"/>
    </row>
    <row r="486" spans="1:46" ht="13" hidden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40"/>
      <c r="T486" s="40"/>
      <c r="U486" s="40"/>
      <c r="V486" s="40"/>
      <c r="W486" s="41"/>
      <c r="X486" s="41"/>
      <c r="Y486" s="41"/>
      <c r="Z486" s="3"/>
      <c r="AA486" s="3"/>
      <c r="AB486" s="40"/>
      <c r="AC486" s="40"/>
      <c r="AD486" s="40"/>
      <c r="AE486" s="40"/>
      <c r="AF486" s="41"/>
      <c r="AG486" s="3"/>
      <c r="AH486" s="3"/>
      <c r="AI486" s="40"/>
      <c r="AJ486" s="40"/>
      <c r="AK486" s="40"/>
      <c r="AL486" s="40"/>
      <c r="AM486" s="41"/>
      <c r="AN486" s="3"/>
      <c r="AO486" s="3"/>
      <c r="AP486" s="40"/>
      <c r="AQ486" s="40"/>
      <c r="AR486" s="40"/>
      <c r="AS486" s="40"/>
      <c r="AT486" s="41"/>
    </row>
    <row r="487" spans="1:46" ht="13" hidden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40"/>
      <c r="T487" s="40"/>
      <c r="U487" s="40"/>
      <c r="V487" s="40"/>
      <c r="W487" s="41"/>
      <c r="X487" s="41"/>
      <c r="Y487" s="41"/>
      <c r="Z487" s="3"/>
      <c r="AA487" s="3"/>
      <c r="AB487" s="40"/>
      <c r="AC487" s="40"/>
      <c r="AD487" s="40"/>
      <c r="AE487" s="40"/>
      <c r="AF487" s="41"/>
      <c r="AG487" s="3"/>
      <c r="AH487" s="3"/>
      <c r="AI487" s="40"/>
      <c r="AJ487" s="40"/>
      <c r="AK487" s="40"/>
      <c r="AL487" s="40"/>
      <c r="AM487" s="41"/>
      <c r="AN487" s="3"/>
      <c r="AO487" s="3"/>
      <c r="AP487" s="40"/>
      <c r="AQ487" s="40"/>
      <c r="AR487" s="40"/>
      <c r="AS487" s="40"/>
      <c r="AT487" s="41"/>
    </row>
    <row r="488" spans="1:46" ht="13" hidden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40"/>
      <c r="T488" s="40"/>
      <c r="U488" s="40"/>
      <c r="V488" s="40"/>
      <c r="W488" s="41"/>
      <c r="X488" s="41"/>
      <c r="Y488" s="41"/>
      <c r="Z488" s="3"/>
      <c r="AA488" s="3"/>
      <c r="AB488" s="40"/>
      <c r="AC488" s="40"/>
      <c r="AD488" s="40"/>
      <c r="AE488" s="40"/>
      <c r="AF488" s="41"/>
      <c r="AG488" s="3"/>
      <c r="AH488" s="3"/>
      <c r="AI488" s="40"/>
      <c r="AJ488" s="40"/>
      <c r="AK488" s="40"/>
      <c r="AL488" s="40"/>
      <c r="AM488" s="41"/>
      <c r="AN488" s="3"/>
      <c r="AO488" s="3"/>
      <c r="AP488" s="40"/>
      <c r="AQ488" s="40"/>
      <c r="AR488" s="40"/>
      <c r="AS488" s="40"/>
      <c r="AT488" s="41"/>
    </row>
    <row r="489" spans="1:46" ht="13" hidden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40"/>
      <c r="T489" s="40"/>
      <c r="U489" s="40"/>
      <c r="V489" s="40"/>
      <c r="W489" s="41"/>
      <c r="X489" s="41"/>
      <c r="Y489" s="41"/>
      <c r="Z489" s="3"/>
      <c r="AA489" s="3"/>
      <c r="AB489" s="40"/>
      <c r="AC489" s="40"/>
      <c r="AD489" s="40"/>
      <c r="AE489" s="40"/>
      <c r="AF489" s="41"/>
      <c r="AG489" s="3"/>
      <c r="AH489" s="3"/>
      <c r="AI489" s="40"/>
      <c r="AJ489" s="40"/>
      <c r="AK489" s="40"/>
      <c r="AL489" s="40"/>
      <c r="AM489" s="41"/>
      <c r="AN489" s="3"/>
      <c r="AO489" s="3"/>
      <c r="AP489" s="40"/>
      <c r="AQ489" s="40"/>
      <c r="AR489" s="40"/>
      <c r="AS489" s="40"/>
      <c r="AT489" s="41"/>
    </row>
    <row r="490" spans="1:46" ht="13" hidden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40"/>
      <c r="T490" s="40"/>
      <c r="U490" s="40"/>
      <c r="V490" s="40"/>
      <c r="W490" s="41"/>
      <c r="X490" s="41"/>
      <c r="Y490" s="41"/>
      <c r="Z490" s="3"/>
      <c r="AA490" s="3"/>
      <c r="AB490" s="40"/>
      <c r="AC490" s="40"/>
      <c r="AD490" s="40"/>
      <c r="AE490" s="40"/>
      <c r="AF490" s="41"/>
      <c r="AG490" s="3"/>
      <c r="AH490" s="3"/>
      <c r="AI490" s="40"/>
      <c r="AJ490" s="40"/>
      <c r="AK490" s="40"/>
      <c r="AL490" s="40"/>
      <c r="AM490" s="41"/>
      <c r="AN490" s="3"/>
      <c r="AO490" s="3"/>
      <c r="AP490" s="40"/>
      <c r="AQ490" s="40"/>
      <c r="AR490" s="40"/>
      <c r="AS490" s="40"/>
      <c r="AT490" s="41"/>
    </row>
    <row r="491" spans="1:46" ht="13" hidden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40"/>
      <c r="T491" s="40"/>
      <c r="U491" s="40"/>
      <c r="V491" s="40"/>
      <c r="W491" s="41"/>
      <c r="X491" s="41"/>
      <c r="Y491" s="41"/>
      <c r="Z491" s="3"/>
      <c r="AA491" s="3"/>
      <c r="AB491" s="40"/>
      <c r="AC491" s="40"/>
      <c r="AD491" s="40"/>
      <c r="AE491" s="40"/>
      <c r="AF491" s="41"/>
      <c r="AG491" s="3"/>
      <c r="AH491" s="3"/>
      <c r="AI491" s="40"/>
      <c r="AJ491" s="40"/>
      <c r="AK491" s="40"/>
      <c r="AL491" s="40"/>
      <c r="AM491" s="41"/>
      <c r="AN491" s="3"/>
      <c r="AO491" s="3"/>
      <c r="AP491" s="40"/>
      <c r="AQ491" s="40"/>
      <c r="AR491" s="40"/>
      <c r="AS491" s="40"/>
      <c r="AT491" s="41"/>
    </row>
    <row r="492" spans="1:46" ht="13" hidden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40"/>
      <c r="T492" s="40"/>
      <c r="U492" s="40"/>
      <c r="V492" s="40"/>
      <c r="W492" s="41"/>
      <c r="X492" s="41"/>
      <c r="Y492" s="41"/>
      <c r="Z492" s="3"/>
      <c r="AA492" s="3"/>
      <c r="AB492" s="40"/>
      <c r="AC492" s="40"/>
      <c r="AD492" s="40"/>
      <c r="AE492" s="40"/>
      <c r="AF492" s="41"/>
      <c r="AG492" s="3"/>
      <c r="AH492" s="3"/>
      <c r="AI492" s="40"/>
      <c r="AJ492" s="40"/>
      <c r="AK492" s="40"/>
      <c r="AL492" s="40"/>
      <c r="AM492" s="41"/>
      <c r="AN492" s="3"/>
      <c r="AO492" s="3"/>
      <c r="AP492" s="40"/>
      <c r="AQ492" s="40"/>
      <c r="AR492" s="40"/>
      <c r="AS492" s="40"/>
      <c r="AT492" s="41"/>
    </row>
    <row r="493" spans="1:46" ht="13" hidden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40"/>
      <c r="T493" s="40"/>
      <c r="U493" s="40"/>
      <c r="V493" s="40"/>
      <c r="W493" s="41"/>
      <c r="X493" s="41"/>
      <c r="Y493" s="41"/>
      <c r="Z493" s="3"/>
      <c r="AA493" s="3"/>
      <c r="AB493" s="40"/>
      <c r="AC493" s="40"/>
      <c r="AD493" s="40"/>
      <c r="AE493" s="40"/>
      <c r="AF493" s="41"/>
      <c r="AG493" s="3"/>
      <c r="AH493" s="3"/>
      <c r="AI493" s="40"/>
      <c r="AJ493" s="40"/>
      <c r="AK493" s="40"/>
      <c r="AL493" s="40"/>
      <c r="AM493" s="41"/>
      <c r="AN493" s="3"/>
      <c r="AO493" s="3"/>
      <c r="AP493" s="40"/>
      <c r="AQ493" s="40"/>
      <c r="AR493" s="40"/>
      <c r="AS493" s="40"/>
      <c r="AT493" s="41"/>
    </row>
    <row r="494" spans="1:46" ht="13" hidden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40"/>
      <c r="T494" s="40"/>
      <c r="U494" s="40"/>
      <c r="V494" s="40"/>
      <c r="W494" s="41"/>
      <c r="X494" s="41"/>
      <c r="Y494" s="41"/>
      <c r="Z494" s="3"/>
      <c r="AA494" s="3"/>
      <c r="AB494" s="40"/>
      <c r="AC494" s="40"/>
      <c r="AD494" s="40"/>
      <c r="AE494" s="40"/>
      <c r="AF494" s="41"/>
      <c r="AG494" s="3"/>
      <c r="AH494" s="3"/>
      <c r="AI494" s="40"/>
      <c r="AJ494" s="40"/>
      <c r="AK494" s="40"/>
      <c r="AL494" s="40"/>
      <c r="AM494" s="41"/>
      <c r="AN494" s="3"/>
      <c r="AO494" s="3"/>
      <c r="AP494" s="40"/>
      <c r="AQ494" s="40"/>
      <c r="AR494" s="40"/>
      <c r="AS494" s="40"/>
      <c r="AT494" s="41"/>
    </row>
    <row r="495" spans="1:46" ht="13" hidden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40"/>
      <c r="T495" s="40"/>
      <c r="U495" s="40"/>
      <c r="V495" s="40"/>
      <c r="W495" s="41"/>
      <c r="X495" s="41"/>
      <c r="Y495" s="41"/>
      <c r="Z495" s="3"/>
      <c r="AA495" s="3"/>
      <c r="AB495" s="40"/>
      <c r="AC495" s="40"/>
      <c r="AD495" s="40"/>
      <c r="AE495" s="40"/>
      <c r="AF495" s="41"/>
      <c r="AG495" s="3"/>
      <c r="AH495" s="3"/>
      <c r="AI495" s="40"/>
      <c r="AJ495" s="40"/>
      <c r="AK495" s="40"/>
      <c r="AL495" s="40"/>
      <c r="AM495" s="41"/>
      <c r="AN495" s="3"/>
      <c r="AO495" s="3"/>
      <c r="AP495" s="40"/>
      <c r="AQ495" s="40"/>
      <c r="AR495" s="40"/>
      <c r="AS495" s="40"/>
      <c r="AT495" s="41"/>
    </row>
    <row r="496" spans="1:46" ht="13" hidden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40"/>
      <c r="T496" s="40"/>
      <c r="U496" s="40"/>
      <c r="V496" s="40"/>
      <c r="W496" s="41"/>
      <c r="X496" s="41"/>
      <c r="Y496" s="41"/>
      <c r="Z496" s="3"/>
      <c r="AA496" s="3"/>
      <c r="AB496" s="40"/>
      <c r="AC496" s="40"/>
      <c r="AD496" s="40"/>
      <c r="AE496" s="40"/>
      <c r="AF496" s="41"/>
      <c r="AG496" s="3"/>
      <c r="AH496" s="3"/>
      <c r="AI496" s="40"/>
      <c r="AJ496" s="40"/>
      <c r="AK496" s="40"/>
      <c r="AL496" s="40"/>
      <c r="AM496" s="41"/>
      <c r="AN496" s="3"/>
      <c r="AO496" s="3"/>
      <c r="AP496" s="40"/>
      <c r="AQ496" s="40"/>
      <c r="AR496" s="40"/>
      <c r="AS496" s="40"/>
      <c r="AT496" s="41"/>
    </row>
    <row r="497" spans="1:46" ht="13" hidden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40"/>
      <c r="T497" s="40"/>
      <c r="U497" s="40"/>
      <c r="V497" s="40"/>
      <c r="W497" s="41"/>
      <c r="X497" s="41"/>
      <c r="Y497" s="41"/>
      <c r="Z497" s="3"/>
      <c r="AA497" s="3"/>
      <c r="AB497" s="40"/>
      <c r="AC497" s="40"/>
      <c r="AD497" s="40"/>
      <c r="AE497" s="40"/>
      <c r="AF497" s="41"/>
      <c r="AG497" s="3"/>
      <c r="AH497" s="3"/>
      <c r="AI497" s="40"/>
      <c r="AJ497" s="40"/>
      <c r="AK497" s="40"/>
      <c r="AL497" s="40"/>
      <c r="AM497" s="41"/>
      <c r="AN497" s="3"/>
      <c r="AO497" s="3"/>
      <c r="AP497" s="40"/>
      <c r="AQ497" s="40"/>
      <c r="AR497" s="40"/>
      <c r="AS497" s="40"/>
      <c r="AT497" s="41"/>
    </row>
    <row r="498" spans="1:46" ht="13" hidden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40"/>
      <c r="T498" s="40"/>
      <c r="U498" s="40"/>
      <c r="V498" s="40"/>
      <c r="W498" s="41"/>
      <c r="X498" s="41"/>
      <c r="Y498" s="41"/>
      <c r="Z498" s="3"/>
      <c r="AA498" s="3"/>
      <c r="AB498" s="40"/>
      <c r="AC498" s="40"/>
      <c r="AD498" s="40"/>
      <c r="AE498" s="40"/>
      <c r="AF498" s="41"/>
      <c r="AG498" s="3"/>
      <c r="AH498" s="3"/>
      <c r="AI498" s="40"/>
      <c r="AJ498" s="40"/>
      <c r="AK498" s="40"/>
      <c r="AL498" s="40"/>
      <c r="AM498" s="41"/>
      <c r="AN498" s="3"/>
      <c r="AO498" s="3"/>
      <c r="AP498" s="40"/>
      <c r="AQ498" s="40"/>
      <c r="AR498" s="40"/>
      <c r="AS498" s="40"/>
      <c r="AT498" s="41"/>
    </row>
    <row r="499" spans="1:46" ht="13" hidden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40"/>
      <c r="T499" s="40"/>
      <c r="U499" s="40"/>
      <c r="V499" s="40"/>
      <c r="W499" s="41"/>
      <c r="X499" s="41"/>
      <c r="Y499" s="41"/>
      <c r="Z499" s="3"/>
      <c r="AA499" s="3"/>
      <c r="AB499" s="40"/>
      <c r="AC499" s="40"/>
      <c r="AD499" s="40"/>
      <c r="AE499" s="40"/>
      <c r="AF499" s="41"/>
      <c r="AG499" s="3"/>
      <c r="AH499" s="3"/>
      <c r="AI499" s="40"/>
      <c r="AJ499" s="40"/>
      <c r="AK499" s="40"/>
      <c r="AL499" s="40"/>
      <c r="AM499" s="41"/>
      <c r="AN499" s="3"/>
      <c r="AO499" s="3"/>
      <c r="AP499" s="40"/>
      <c r="AQ499" s="40"/>
      <c r="AR499" s="40"/>
      <c r="AS499" s="40"/>
      <c r="AT499" s="41"/>
    </row>
    <row r="500" spans="1:46" ht="13" hidden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40"/>
      <c r="T500" s="40"/>
      <c r="U500" s="40"/>
      <c r="V500" s="40"/>
      <c r="W500" s="41"/>
      <c r="X500" s="41"/>
      <c r="Y500" s="41"/>
      <c r="Z500" s="3"/>
      <c r="AA500" s="3"/>
      <c r="AB500" s="40"/>
      <c r="AC500" s="40"/>
      <c r="AD500" s="40"/>
      <c r="AE500" s="40"/>
      <c r="AF500" s="41"/>
      <c r="AG500" s="3"/>
      <c r="AH500" s="3"/>
      <c r="AI500" s="40"/>
      <c r="AJ500" s="40"/>
      <c r="AK500" s="40"/>
      <c r="AL500" s="40"/>
      <c r="AM500" s="41"/>
      <c r="AN500" s="3"/>
      <c r="AO500" s="3"/>
      <c r="AP500" s="40"/>
      <c r="AQ500" s="40"/>
      <c r="AR500" s="40"/>
      <c r="AS500" s="40"/>
      <c r="AT500" s="41"/>
    </row>
    <row r="501" spans="1:46" ht="13" hidden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40"/>
      <c r="T501" s="40"/>
      <c r="U501" s="40"/>
      <c r="V501" s="40"/>
      <c r="W501" s="41"/>
      <c r="X501" s="41"/>
      <c r="Y501" s="41"/>
      <c r="Z501" s="3"/>
      <c r="AA501" s="3"/>
      <c r="AB501" s="40"/>
      <c r="AC501" s="40"/>
      <c r="AD501" s="40"/>
      <c r="AE501" s="40"/>
      <c r="AF501" s="41"/>
      <c r="AG501" s="3"/>
      <c r="AH501" s="3"/>
      <c r="AI501" s="40"/>
      <c r="AJ501" s="40"/>
      <c r="AK501" s="40"/>
      <c r="AL501" s="40"/>
      <c r="AM501" s="41"/>
      <c r="AN501" s="3"/>
      <c r="AO501" s="3"/>
      <c r="AP501" s="40"/>
      <c r="AQ501" s="40"/>
      <c r="AR501" s="40"/>
      <c r="AS501" s="40"/>
      <c r="AT501" s="41"/>
    </row>
    <row r="502" spans="1:46" ht="13" hidden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40"/>
      <c r="T502" s="40"/>
      <c r="U502" s="40"/>
      <c r="V502" s="40"/>
      <c r="W502" s="41"/>
      <c r="X502" s="41"/>
      <c r="Y502" s="41"/>
      <c r="Z502" s="3"/>
      <c r="AA502" s="3"/>
      <c r="AB502" s="40"/>
      <c r="AC502" s="40"/>
      <c r="AD502" s="40"/>
      <c r="AE502" s="40"/>
      <c r="AF502" s="41"/>
      <c r="AG502" s="3"/>
      <c r="AH502" s="3"/>
      <c r="AI502" s="40"/>
      <c r="AJ502" s="40"/>
      <c r="AK502" s="40"/>
      <c r="AL502" s="40"/>
      <c r="AM502" s="41"/>
      <c r="AN502" s="3"/>
      <c r="AO502" s="3"/>
      <c r="AP502" s="40"/>
      <c r="AQ502" s="40"/>
      <c r="AR502" s="40"/>
      <c r="AS502" s="40"/>
      <c r="AT502" s="41"/>
    </row>
    <row r="503" spans="1:46" ht="13" hidden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40"/>
      <c r="T503" s="40"/>
      <c r="U503" s="40"/>
      <c r="V503" s="40"/>
      <c r="W503" s="41"/>
      <c r="X503" s="41"/>
      <c r="Y503" s="41"/>
      <c r="Z503" s="3"/>
      <c r="AA503" s="3"/>
      <c r="AB503" s="40"/>
      <c r="AC503" s="40"/>
      <c r="AD503" s="40"/>
      <c r="AE503" s="40"/>
      <c r="AF503" s="41"/>
      <c r="AG503" s="3"/>
      <c r="AH503" s="3"/>
      <c r="AI503" s="40"/>
      <c r="AJ503" s="40"/>
      <c r="AK503" s="40"/>
      <c r="AL503" s="40"/>
      <c r="AM503" s="41"/>
      <c r="AN503" s="3"/>
      <c r="AO503" s="3"/>
      <c r="AP503" s="40"/>
      <c r="AQ503" s="40"/>
      <c r="AR503" s="40"/>
      <c r="AS503" s="40"/>
      <c r="AT503" s="41"/>
    </row>
    <row r="504" spans="1:46" ht="13" hidden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40"/>
      <c r="T504" s="40"/>
      <c r="U504" s="40"/>
      <c r="V504" s="40"/>
      <c r="W504" s="41"/>
      <c r="X504" s="41"/>
      <c r="Y504" s="41"/>
      <c r="Z504" s="3"/>
      <c r="AA504" s="3"/>
      <c r="AB504" s="40"/>
      <c r="AC504" s="40"/>
      <c r="AD504" s="40"/>
      <c r="AE504" s="40"/>
      <c r="AF504" s="41"/>
      <c r="AG504" s="3"/>
      <c r="AH504" s="3"/>
      <c r="AI504" s="40"/>
      <c r="AJ504" s="40"/>
      <c r="AK504" s="40"/>
      <c r="AL504" s="40"/>
      <c r="AM504" s="41"/>
      <c r="AN504" s="3"/>
      <c r="AO504" s="3"/>
      <c r="AP504" s="40"/>
      <c r="AQ504" s="40"/>
      <c r="AR504" s="40"/>
      <c r="AS504" s="40"/>
      <c r="AT504" s="41"/>
    </row>
    <row r="505" spans="1:46" ht="13" hidden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40"/>
      <c r="T505" s="40"/>
      <c r="U505" s="40"/>
      <c r="V505" s="40"/>
      <c r="W505" s="41"/>
      <c r="X505" s="41"/>
      <c r="Y505" s="41"/>
      <c r="Z505" s="3"/>
      <c r="AA505" s="3"/>
      <c r="AB505" s="40"/>
      <c r="AC505" s="40"/>
      <c r="AD505" s="40"/>
      <c r="AE505" s="40"/>
      <c r="AF505" s="41"/>
      <c r="AG505" s="3"/>
      <c r="AH505" s="3"/>
      <c r="AI505" s="40"/>
      <c r="AJ505" s="40"/>
      <c r="AK505" s="40"/>
      <c r="AL505" s="40"/>
      <c r="AM505" s="41"/>
      <c r="AN505" s="3"/>
      <c r="AO505" s="3"/>
      <c r="AP505" s="40"/>
      <c r="AQ505" s="40"/>
      <c r="AR505" s="40"/>
      <c r="AS505" s="40"/>
      <c r="AT505" s="41"/>
    </row>
    <row r="506" spans="1:46" ht="13" hidden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40"/>
      <c r="T506" s="40"/>
      <c r="U506" s="40"/>
      <c r="V506" s="40"/>
      <c r="W506" s="41"/>
      <c r="X506" s="41"/>
      <c r="Y506" s="41"/>
      <c r="Z506" s="3"/>
      <c r="AA506" s="3"/>
      <c r="AB506" s="40"/>
      <c r="AC506" s="40"/>
      <c r="AD506" s="40"/>
      <c r="AE506" s="40"/>
      <c r="AF506" s="41"/>
      <c r="AG506" s="3"/>
      <c r="AH506" s="3"/>
      <c r="AI506" s="40"/>
      <c r="AJ506" s="40"/>
      <c r="AK506" s="40"/>
      <c r="AL506" s="40"/>
      <c r="AM506" s="41"/>
      <c r="AN506" s="3"/>
      <c r="AO506" s="3"/>
      <c r="AP506" s="40"/>
      <c r="AQ506" s="40"/>
      <c r="AR506" s="40"/>
      <c r="AS506" s="40"/>
      <c r="AT506" s="41"/>
    </row>
    <row r="507" spans="1:46" ht="13" hidden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40"/>
      <c r="T507" s="40"/>
      <c r="U507" s="40"/>
      <c r="V507" s="40"/>
      <c r="W507" s="41"/>
      <c r="X507" s="41"/>
      <c r="Y507" s="41"/>
      <c r="Z507" s="3"/>
      <c r="AA507" s="3"/>
      <c r="AB507" s="40"/>
      <c r="AC507" s="40"/>
      <c r="AD507" s="40"/>
      <c r="AE507" s="40"/>
      <c r="AF507" s="41"/>
      <c r="AG507" s="3"/>
      <c r="AH507" s="3"/>
      <c r="AI507" s="40"/>
      <c r="AJ507" s="40"/>
      <c r="AK507" s="40"/>
      <c r="AL507" s="40"/>
      <c r="AM507" s="41"/>
      <c r="AN507" s="3"/>
      <c r="AO507" s="3"/>
      <c r="AP507" s="40"/>
      <c r="AQ507" s="40"/>
      <c r="AR507" s="40"/>
      <c r="AS507" s="40"/>
      <c r="AT507" s="41"/>
    </row>
    <row r="508" spans="1:46" ht="13" hidden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40"/>
      <c r="T508" s="40"/>
      <c r="U508" s="40"/>
      <c r="V508" s="40"/>
      <c r="W508" s="41"/>
      <c r="X508" s="41"/>
      <c r="Y508" s="41"/>
      <c r="Z508" s="3"/>
      <c r="AA508" s="3"/>
      <c r="AB508" s="40"/>
      <c r="AC508" s="40"/>
      <c r="AD508" s="40"/>
      <c r="AE508" s="40"/>
      <c r="AF508" s="41"/>
      <c r="AG508" s="3"/>
      <c r="AH508" s="3"/>
      <c r="AI508" s="40"/>
      <c r="AJ508" s="40"/>
      <c r="AK508" s="40"/>
      <c r="AL508" s="40"/>
      <c r="AM508" s="41"/>
      <c r="AN508" s="3"/>
      <c r="AO508" s="3"/>
      <c r="AP508" s="40"/>
      <c r="AQ508" s="40"/>
      <c r="AR508" s="40"/>
      <c r="AS508" s="40"/>
      <c r="AT508" s="41"/>
    </row>
    <row r="509" spans="1:46" ht="13" hidden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40"/>
      <c r="T509" s="40"/>
      <c r="U509" s="40"/>
      <c r="V509" s="40"/>
      <c r="W509" s="41"/>
      <c r="X509" s="41"/>
      <c r="Y509" s="41"/>
      <c r="Z509" s="3"/>
      <c r="AA509" s="3"/>
      <c r="AB509" s="40"/>
      <c r="AC509" s="40"/>
      <c r="AD509" s="40"/>
      <c r="AE509" s="40"/>
      <c r="AF509" s="41"/>
      <c r="AG509" s="3"/>
      <c r="AH509" s="3"/>
      <c r="AI509" s="40"/>
      <c r="AJ509" s="40"/>
      <c r="AK509" s="40"/>
      <c r="AL509" s="40"/>
      <c r="AM509" s="41"/>
      <c r="AN509" s="3"/>
      <c r="AO509" s="3"/>
      <c r="AP509" s="40"/>
      <c r="AQ509" s="40"/>
      <c r="AR509" s="40"/>
      <c r="AS509" s="40"/>
      <c r="AT509" s="41"/>
    </row>
    <row r="510" spans="1:46" ht="13" hidden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40"/>
      <c r="T510" s="40"/>
      <c r="U510" s="40"/>
      <c r="V510" s="40"/>
      <c r="W510" s="41"/>
      <c r="X510" s="41"/>
      <c r="Y510" s="41"/>
      <c r="Z510" s="3"/>
      <c r="AA510" s="3"/>
      <c r="AB510" s="40"/>
      <c r="AC510" s="40"/>
      <c r="AD510" s="40"/>
      <c r="AE510" s="40"/>
      <c r="AF510" s="41"/>
      <c r="AG510" s="3"/>
      <c r="AH510" s="3"/>
      <c r="AI510" s="40"/>
      <c r="AJ510" s="40"/>
      <c r="AK510" s="40"/>
      <c r="AL510" s="40"/>
      <c r="AM510" s="41"/>
      <c r="AN510" s="3"/>
      <c r="AO510" s="3"/>
      <c r="AP510" s="40"/>
      <c r="AQ510" s="40"/>
      <c r="AR510" s="40"/>
      <c r="AS510" s="40"/>
      <c r="AT510" s="41"/>
    </row>
    <row r="511" spans="1:46" ht="13" hidden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40"/>
      <c r="T511" s="40"/>
      <c r="U511" s="40"/>
      <c r="V511" s="40"/>
      <c r="W511" s="41"/>
      <c r="X511" s="41"/>
      <c r="Y511" s="41"/>
      <c r="Z511" s="3"/>
      <c r="AA511" s="3"/>
      <c r="AB511" s="40"/>
      <c r="AC511" s="40"/>
      <c r="AD511" s="40"/>
      <c r="AE511" s="40"/>
      <c r="AF511" s="41"/>
      <c r="AG511" s="3"/>
      <c r="AH511" s="3"/>
      <c r="AI511" s="40"/>
      <c r="AJ511" s="40"/>
      <c r="AK511" s="40"/>
      <c r="AL511" s="40"/>
      <c r="AM511" s="41"/>
      <c r="AN511" s="3"/>
      <c r="AO511" s="3"/>
      <c r="AP511" s="40"/>
      <c r="AQ511" s="40"/>
      <c r="AR511" s="40"/>
      <c r="AS511" s="40"/>
      <c r="AT511" s="41"/>
    </row>
    <row r="512" spans="1:46" ht="13" hidden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40"/>
      <c r="T512" s="40"/>
      <c r="U512" s="40"/>
      <c r="V512" s="40"/>
      <c r="W512" s="41"/>
      <c r="X512" s="41"/>
      <c r="Y512" s="41"/>
      <c r="Z512" s="3"/>
      <c r="AA512" s="3"/>
      <c r="AB512" s="40"/>
      <c r="AC512" s="40"/>
      <c r="AD512" s="40"/>
      <c r="AE512" s="40"/>
      <c r="AF512" s="41"/>
      <c r="AG512" s="3"/>
      <c r="AH512" s="3"/>
      <c r="AI512" s="40"/>
      <c r="AJ512" s="40"/>
      <c r="AK512" s="40"/>
      <c r="AL512" s="40"/>
      <c r="AM512" s="41"/>
      <c r="AN512" s="3"/>
      <c r="AO512" s="3"/>
      <c r="AP512" s="40"/>
      <c r="AQ512" s="40"/>
      <c r="AR512" s="40"/>
      <c r="AS512" s="40"/>
      <c r="AT512" s="41"/>
    </row>
    <row r="513" spans="1:46" ht="13" hidden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40"/>
      <c r="T513" s="40"/>
      <c r="U513" s="40"/>
      <c r="V513" s="40"/>
      <c r="W513" s="41"/>
      <c r="X513" s="41"/>
      <c r="Y513" s="41"/>
      <c r="Z513" s="3"/>
      <c r="AA513" s="3"/>
      <c r="AB513" s="40"/>
      <c r="AC513" s="40"/>
      <c r="AD513" s="40"/>
      <c r="AE513" s="40"/>
      <c r="AF513" s="41"/>
      <c r="AG513" s="3"/>
      <c r="AH513" s="3"/>
      <c r="AI513" s="40"/>
      <c r="AJ513" s="40"/>
      <c r="AK513" s="40"/>
      <c r="AL513" s="40"/>
      <c r="AM513" s="41"/>
      <c r="AN513" s="3"/>
      <c r="AO513" s="3"/>
      <c r="AP513" s="40"/>
      <c r="AQ513" s="40"/>
      <c r="AR513" s="40"/>
      <c r="AS513" s="40"/>
      <c r="AT513" s="41"/>
    </row>
    <row r="514" spans="1:46" ht="13" hidden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40"/>
      <c r="T514" s="40"/>
      <c r="U514" s="40"/>
      <c r="V514" s="40"/>
      <c r="W514" s="41"/>
      <c r="X514" s="41"/>
      <c r="Y514" s="41"/>
      <c r="Z514" s="3"/>
      <c r="AA514" s="3"/>
      <c r="AB514" s="40"/>
      <c r="AC514" s="40"/>
      <c r="AD514" s="40"/>
      <c r="AE514" s="40"/>
      <c r="AF514" s="41"/>
      <c r="AG514" s="3"/>
      <c r="AH514" s="3"/>
      <c r="AI514" s="40"/>
      <c r="AJ514" s="40"/>
      <c r="AK514" s="40"/>
      <c r="AL514" s="40"/>
      <c r="AM514" s="41"/>
      <c r="AN514" s="3"/>
      <c r="AO514" s="3"/>
      <c r="AP514" s="40"/>
      <c r="AQ514" s="40"/>
      <c r="AR514" s="40"/>
      <c r="AS514" s="40"/>
      <c r="AT514" s="41"/>
    </row>
    <row r="515" spans="1:46" ht="13" hidden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40"/>
      <c r="T515" s="40"/>
      <c r="U515" s="40"/>
      <c r="V515" s="40"/>
      <c r="W515" s="41"/>
      <c r="X515" s="41"/>
      <c r="Y515" s="41"/>
      <c r="Z515" s="3"/>
      <c r="AA515" s="3"/>
      <c r="AB515" s="40"/>
      <c r="AC515" s="40"/>
      <c r="AD515" s="40"/>
      <c r="AE515" s="40"/>
      <c r="AF515" s="41"/>
      <c r="AG515" s="3"/>
      <c r="AH515" s="3"/>
      <c r="AI515" s="40"/>
      <c r="AJ515" s="40"/>
      <c r="AK515" s="40"/>
      <c r="AL515" s="40"/>
      <c r="AM515" s="41"/>
      <c r="AN515" s="3"/>
      <c r="AO515" s="3"/>
      <c r="AP515" s="40"/>
      <c r="AQ515" s="40"/>
      <c r="AR515" s="40"/>
      <c r="AS515" s="40"/>
      <c r="AT515" s="41"/>
    </row>
    <row r="516" spans="1:46" ht="13" hidden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40"/>
      <c r="T516" s="40"/>
      <c r="U516" s="40"/>
      <c r="V516" s="40"/>
      <c r="W516" s="41"/>
      <c r="X516" s="41"/>
      <c r="Y516" s="41"/>
      <c r="Z516" s="3"/>
      <c r="AA516" s="3"/>
      <c r="AB516" s="40"/>
      <c r="AC516" s="40"/>
      <c r="AD516" s="40"/>
      <c r="AE516" s="40"/>
      <c r="AF516" s="41"/>
      <c r="AG516" s="3"/>
      <c r="AH516" s="3"/>
      <c r="AI516" s="40"/>
      <c r="AJ516" s="40"/>
      <c r="AK516" s="40"/>
      <c r="AL516" s="40"/>
      <c r="AM516" s="41"/>
      <c r="AN516" s="3"/>
      <c r="AO516" s="3"/>
      <c r="AP516" s="40"/>
      <c r="AQ516" s="40"/>
      <c r="AR516" s="40"/>
      <c r="AS516" s="40"/>
      <c r="AT516" s="41"/>
    </row>
    <row r="517" spans="1:46" ht="13" hidden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40"/>
      <c r="T517" s="40"/>
      <c r="U517" s="40"/>
      <c r="V517" s="40"/>
      <c r="W517" s="41"/>
      <c r="X517" s="41"/>
      <c r="Y517" s="41"/>
      <c r="Z517" s="3"/>
      <c r="AA517" s="3"/>
      <c r="AB517" s="40"/>
      <c r="AC517" s="40"/>
      <c r="AD517" s="40"/>
      <c r="AE517" s="40"/>
      <c r="AF517" s="41"/>
      <c r="AG517" s="3"/>
      <c r="AH517" s="3"/>
      <c r="AI517" s="40"/>
      <c r="AJ517" s="40"/>
      <c r="AK517" s="40"/>
      <c r="AL517" s="40"/>
      <c r="AM517" s="41"/>
      <c r="AN517" s="3"/>
      <c r="AO517" s="3"/>
      <c r="AP517" s="40"/>
      <c r="AQ517" s="40"/>
      <c r="AR517" s="40"/>
      <c r="AS517" s="40"/>
      <c r="AT517" s="41"/>
    </row>
    <row r="518" spans="1:46" ht="13" hidden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40"/>
      <c r="T518" s="40"/>
      <c r="U518" s="40"/>
      <c r="V518" s="40"/>
      <c r="W518" s="41"/>
      <c r="X518" s="41"/>
      <c r="Y518" s="41"/>
      <c r="Z518" s="3"/>
      <c r="AA518" s="3"/>
      <c r="AB518" s="40"/>
      <c r="AC518" s="40"/>
      <c r="AD518" s="40"/>
      <c r="AE518" s="40"/>
      <c r="AF518" s="41"/>
      <c r="AG518" s="3"/>
      <c r="AH518" s="3"/>
      <c r="AI518" s="40"/>
      <c r="AJ518" s="40"/>
      <c r="AK518" s="40"/>
      <c r="AL518" s="40"/>
      <c r="AM518" s="41"/>
      <c r="AN518" s="3"/>
      <c r="AO518" s="3"/>
      <c r="AP518" s="40"/>
      <c r="AQ518" s="40"/>
      <c r="AR518" s="40"/>
      <c r="AS518" s="40"/>
      <c r="AT518" s="41"/>
    </row>
    <row r="519" spans="1:46" ht="13" hidden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40"/>
      <c r="T519" s="40"/>
      <c r="U519" s="40"/>
      <c r="V519" s="40"/>
      <c r="W519" s="41"/>
      <c r="X519" s="41"/>
      <c r="Y519" s="41"/>
      <c r="Z519" s="3"/>
      <c r="AA519" s="3"/>
      <c r="AB519" s="40"/>
      <c r="AC519" s="40"/>
      <c r="AD519" s="40"/>
      <c r="AE519" s="40"/>
      <c r="AF519" s="41"/>
      <c r="AG519" s="3"/>
      <c r="AH519" s="3"/>
      <c r="AI519" s="40"/>
      <c r="AJ519" s="40"/>
      <c r="AK519" s="40"/>
      <c r="AL519" s="40"/>
      <c r="AM519" s="41"/>
      <c r="AN519" s="3"/>
      <c r="AO519" s="3"/>
      <c r="AP519" s="40"/>
      <c r="AQ519" s="40"/>
      <c r="AR519" s="40"/>
      <c r="AS519" s="40"/>
      <c r="AT519" s="41"/>
    </row>
    <row r="520" spans="1:46" ht="13" hidden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40"/>
      <c r="T520" s="40"/>
      <c r="U520" s="40"/>
      <c r="V520" s="40"/>
      <c r="W520" s="41"/>
      <c r="X520" s="41"/>
      <c r="Y520" s="41"/>
      <c r="Z520" s="3"/>
      <c r="AA520" s="3"/>
      <c r="AB520" s="40"/>
      <c r="AC520" s="40"/>
      <c r="AD520" s="40"/>
      <c r="AE520" s="40"/>
      <c r="AF520" s="41"/>
      <c r="AG520" s="3"/>
      <c r="AH520" s="3"/>
      <c r="AI520" s="40"/>
      <c r="AJ520" s="40"/>
      <c r="AK520" s="40"/>
      <c r="AL520" s="40"/>
      <c r="AM520" s="41"/>
      <c r="AN520" s="3"/>
      <c r="AO520" s="3"/>
      <c r="AP520" s="40"/>
      <c r="AQ520" s="40"/>
      <c r="AR520" s="40"/>
      <c r="AS520" s="40"/>
      <c r="AT520" s="41"/>
    </row>
    <row r="521" spans="1:46" ht="13" hidden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40"/>
      <c r="T521" s="40"/>
      <c r="U521" s="40"/>
      <c r="V521" s="40"/>
      <c r="W521" s="41"/>
      <c r="X521" s="41"/>
      <c r="Y521" s="41"/>
      <c r="Z521" s="3"/>
      <c r="AA521" s="3"/>
      <c r="AB521" s="40"/>
      <c r="AC521" s="40"/>
      <c r="AD521" s="40"/>
      <c r="AE521" s="40"/>
      <c r="AF521" s="41"/>
      <c r="AG521" s="3"/>
      <c r="AH521" s="3"/>
      <c r="AI521" s="40"/>
      <c r="AJ521" s="40"/>
      <c r="AK521" s="40"/>
      <c r="AL521" s="40"/>
      <c r="AM521" s="41"/>
      <c r="AN521" s="3"/>
      <c r="AO521" s="3"/>
      <c r="AP521" s="40"/>
      <c r="AQ521" s="40"/>
      <c r="AR521" s="40"/>
      <c r="AS521" s="40"/>
      <c r="AT521" s="41"/>
    </row>
    <row r="522" spans="1:46" ht="13" hidden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40"/>
      <c r="T522" s="40"/>
      <c r="U522" s="40"/>
      <c r="V522" s="40"/>
      <c r="W522" s="41"/>
      <c r="X522" s="41"/>
      <c r="Y522" s="41"/>
      <c r="Z522" s="3"/>
      <c r="AA522" s="3"/>
      <c r="AB522" s="40"/>
      <c r="AC522" s="40"/>
      <c r="AD522" s="40"/>
      <c r="AE522" s="40"/>
      <c r="AF522" s="41"/>
      <c r="AG522" s="3"/>
      <c r="AH522" s="3"/>
      <c r="AI522" s="40"/>
      <c r="AJ522" s="40"/>
      <c r="AK522" s="40"/>
      <c r="AL522" s="40"/>
      <c r="AM522" s="41"/>
      <c r="AN522" s="3"/>
      <c r="AO522" s="3"/>
      <c r="AP522" s="40"/>
      <c r="AQ522" s="40"/>
      <c r="AR522" s="40"/>
      <c r="AS522" s="40"/>
      <c r="AT522" s="41"/>
    </row>
    <row r="523" spans="1:46" ht="13" hidden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40"/>
      <c r="T523" s="40"/>
      <c r="U523" s="40"/>
      <c r="V523" s="40"/>
      <c r="W523" s="41"/>
      <c r="X523" s="41"/>
      <c r="Y523" s="41"/>
      <c r="Z523" s="3"/>
      <c r="AA523" s="3"/>
      <c r="AB523" s="40"/>
      <c r="AC523" s="40"/>
      <c r="AD523" s="40"/>
      <c r="AE523" s="40"/>
      <c r="AF523" s="41"/>
      <c r="AG523" s="3"/>
      <c r="AH523" s="3"/>
      <c r="AI523" s="40"/>
      <c r="AJ523" s="40"/>
      <c r="AK523" s="40"/>
      <c r="AL523" s="40"/>
      <c r="AM523" s="41"/>
      <c r="AN523" s="3"/>
      <c r="AO523" s="3"/>
      <c r="AP523" s="40"/>
      <c r="AQ523" s="40"/>
      <c r="AR523" s="40"/>
      <c r="AS523" s="40"/>
      <c r="AT523" s="41"/>
    </row>
    <row r="524" spans="1:46" ht="13" hidden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40"/>
      <c r="T524" s="40"/>
      <c r="U524" s="40"/>
      <c r="V524" s="40"/>
      <c r="W524" s="41"/>
      <c r="X524" s="41"/>
      <c r="Y524" s="41"/>
      <c r="Z524" s="3"/>
      <c r="AA524" s="3"/>
      <c r="AB524" s="40"/>
      <c r="AC524" s="40"/>
      <c r="AD524" s="40"/>
      <c r="AE524" s="40"/>
      <c r="AF524" s="41"/>
      <c r="AG524" s="3"/>
      <c r="AH524" s="3"/>
      <c r="AI524" s="40"/>
      <c r="AJ524" s="40"/>
      <c r="AK524" s="40"/>
      <c r="AL524" s="40"/>
      <c r="AM524" s="41"/>
      <c r="AN524" s="3"/>
      <c r="AO524" s="3"/>
      <c r="AP524" s="40"/>
      <c r="AQ524" s="40"/>
      <c r="AR524" s="40"/>
      <c r="AS524" s="40"/>
      <c r="AT524" s="41"/>
    </row>
    <row r="525" spans="1:46" ht="13" hidden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40"/>
      <c r="T525" s="40"/>
      <c r="U525" s="40"/>
      <c r="V525" s="40"/>
      <c r="W525" s="41"/>
      <c r="X525" s="41"/>
      <c r="Y525" s="41"/>
      <c r="Z525" s="3"/>
      <c r="AA525" s="3"/>
      <c r="AB525" s="40"/>
      <c r="AC525" s="40"/>
      <c r="AD525" s="40"/>
      <c r="AE525" s="40"/>
      <c r="AF525" s="41"/>
      <c r="AG525" s="3"/>
      <c r="AH525" s="3"/>
      <c r="AI525" s="40"/>
      <c r="AJ525" s="40"/>
      <c r="AK525" s="40"/>
      <c r="AL525" s="40"/>
      <c r="AM525" s="41"/>
      <c r="AN525" s="3"/>
      <c r="AO525" s="3"/>
      <c r="AP525" s="40"/>
      <c r="AQ525" s="40"/>
      <c r="AR525" s="40"/>
      <c r="AS525" s="40"/>
      <c r="AT525" s="41"/>
    </row>
    <row r="526" spans="1:46" ht="13" hidden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40"/>
      <c r="T526" s="40"/>
      <c r="U526" s="40"/>
      <c r="V526" s="40"/>
      <c r="W526" s="41"/>
      <c r="X526" s="41"/>
      <c r="Y526" s="41"/>
      <c r="Z526" s="3"/>
      <c r="AA526" s="3"/>
      <c r="AB526" s="40"/>
      <c r="AC526" s="40"/>
      <c r="AD526" s="40"/>
      <c r="AE526" s="40"/>
      <c r="AF526" s="41"/>
      <c r="AG526" s="3"/>
      <c r="AH526" s="3"/>
      <c r="AI526" s="40"/>
      <c r="AJ526" s="40"/>
      <c r="AK526" s="40"/>
      <c r="AL526" s="40"/>
      <c r="AM526" s="41"/>
      <c r="AN526" s="3"/>
      <c r="AO526" s="3"/>
      <c r="AP526" s="40"/>
      <c r="AQ526" s="40"/>
      <c r="AR526" s="40"/>
      <c r="AS526" s="40"/>
      <c r="AT526" s="41"/>
    </row>
    <row r="527" spans="1:46" ht="13" hidden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40"/>
      <c r="T527" s="40"/>
      <c r="U527" s="40"/>
      <c r="V527" s="40"/>
      <c r="W527" s="41"/>
      <c r="X527" s="41"/>
      <c r="Y527" s="41"/>
      <c r="Z527" s="3"/>
      <c r="AA527" s="3"/>
      <c r="AB527" s="40"/>
      <c r="AC527" s="40"/>
      <c r="AD527" s="40"/>
      <c r="AE527" s="40"/>
      <c r="AF527" s="41"/>
      <c r="AG527" s="3"/>
      <c r="AH527" s="3"/>
      <c r="AI527" s="40"/>
      <c r="AJ527" s="40"/>
      <c r="AK527" s="40"/>
      <c r="AL527" s="40"/>
      <c r="AM527" s="41"/>
      <c r="AN527" s="3"/>
      <c r="AO527" s="3"/>
      <c r="AP527" s="40"/>
      <c r="AQ527" s="40"/>
      <c r="AR527" s="40"/>
      <c r="AS527" s="40"/>
      <c r="AT527" s="41"/>
    </row>
    <row r="528" spans="1:46" ht="13" hidden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40"/>
      <c r="T528" s="40"/>
      <c r="U528" s="40"/>
      <c r="V528" s="40"/>
      <c r="W528" s="41"/>
      <c r="X528" s="41"/>
      <c r="Y528" s="41"/>
      <c r="Z528" s="3"/>
      <c r="AA528" s="3"/>
      <c r="AB528" s="40"/>
      <c r="AC528" s="40"/>
      <c r="AD528" s="40"/>
      <c r="AE528" s="40"/>
      <c r="AF528" s="41"/>
      <c r="AG528" s="3"/>
      <c r="AH528" s="3"/>
      <c r="AI528" s="40"/>
      <c r="AJ528" s="40"/>
      <c r="AK528" s="40"/>
      <c r="AL528" s="40"/>
      <c r="AM528" s="41"/>
      <c r="AN528" s="3"/>
      <c r="AO528" s="3"/>
      <c r="AP528" s="40"/>
      <c r="AQ528" s="40"/>
      <c r="AR528" s="40"/>
      <c r="AS528" s="40"/>
      <c r="AT528" s="41"/>
    </row>
    <row r="529" spans="1:46" ht="13" hidden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40"/>
      <c r="T529" s="40"/>
      <c r="U529" s="40"/>
      <c r="V529" s="40"/>
      <c r="W529" s="41"/>
      <c r="X529" s="41"/>
      <c r="Y529" s="41"/>
      <c r="Z529" s="3"/>
      <c r="AA529" s="3"/>
      <c r="AB529" s="40"/>
      <c r="AC529" s="40"/>
      <c r="AD529" s="40"/>
      <c r="AE529" s="40"/>
      <c r="AF529" s="41"/>
      <c r="AG529" s="3"/>
      <c r="AH529" s="3"/>
      <c r="AI529" s="40"/>
      <c r="AJ529" s="40"/>
      <c r="AK529" s="40"/>
      <c r="AL529" s="40"/>
      <c r="AM529" s="41"/>
      <c r="AN529" s="3"/>
      <c r="AO529" s="3"/>
      <c r="AP529" s="40"/>
      <c r="AQ529" s="40"/>
      <c r="AR529" s="40"/>
      <c r="AS529" s="40"/>
      <c r="AT529" s="41"/>
    </row>
    <row r="530" spans="1:46" ht="13" hidden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40"/>
      <c r="T530" s="40"/>
      <c r="U530" s="40"/>
      <c r="V530" s="40"/>
      <c r="W530" s="41"/>
      <c r="X530" s="41"/>
      <c r="Y530" s="41"/>
      <c r="Z530" s="3"/>
      <c r="AA530" s="3"/>
      <c r="AB530" s="40"/>
      <c r="AC530" s="40"/>
      <c r="AD530" s="40"/>
      <c r="AE530" s="40"/>
      <c r="AF530" s="41"/>
      <c r="AG530" s="3"/>
      <c r="AH530" s="3"/>
      <c r="AI530" s="40"/>
      <c r="AJ530" s="40"/>
      <c r="AK530" s="40"/>
      <c r="AL530" s="40"/>
      <c r="AM530" s="41"/>
      <c r="AN530" s="3"/>
      <c r="AO530" s="3"/>
      <c r="AP530" s="40"/>
      <c r="AQ530" s="40"/>
      <c r="AR530" s="40"/>
      <c r="AS530" s="40"/>
      <c r="AT530" s="41"/>
    </row>
    <row r="531" spans="1:46" ht="13" hidden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40"/>
      <c r="T531" s="40"/>
      <c r="U531" s="40"/>
      <c r="V531" s="40"/>
      <c r="W531" s="41"/>
      <c r="X531" s="41"/>
      <c r="Y531" s="41"/>
      <c r="Z531" s="3"/>
      <c r="AA531" s="3"/>
      <c r="AB531" s="40"/>
      <c r="AC531" s="40"/>
      <c r="AD531" s="40"/>
      <c r="AE531" s="40"/>
      <c r="AF531" s="41"/>
      <c r="AG531" s="3"/>
      <c r="AH531" s="3"/>
      <c r="AI531" s="40"/>
      <c r="AJ531" s="40"/>
      <c r="AK531" s="40"/>
      <c r="AL531" s="40"/>
      <c r="AM531" s="41"/>
      <c r="AN531" s="3"/>
      <c r="AO531" s="3"/>
      <c r="AP531" s="40"/>
      <c r="AQ531" s="40"/>
      <c r="AR531" s="40"/>
      <c r="AS531" s="40"/>
      <c r="AT531" s="41"/>
    </row>
    <row r="532" spans="1:46" ht="13" hidden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40"/>
      <c r="T532" s="40"/>
      <c r="U532" s="40"/>
      <c r="V532" s="40"/>
      <c r="W532" s="41"/>
      <c r="X532" s="41"/>
      <c r="Y532" s="41"/>
      <c r="Z532" s="3"/>
      <c r="AA532" s="3"/>
      <c r="AB532" s="40"/>
      <c r="AC532" s="40"/>
      <c r="AD532" s="40"/>
      <c r="AE532" s="40"/>
      <c r="AF532" s="41"/>
      <c r="AG532" s="3"/>
      <c r="AH532" s="3"/>
      <c r="AI532" s="40"/>
      <c r="AJ532" s="40"/>
      <c r="AK532" s="40"/>
      <c r="AL532" s="40"/>
      <c r="AM532" s="41"/>
      <c r="AN532" s="3"/>
      <c r="AO532" s="3"/>
      <c r="AP532" s="40"/>
      <c r="AQ532" s="40"/>
      <c r="AR532" s="40"/>
      <c r="AS532" s="40"/>
      <c r="AT532" s="41"/>
    </row>
    <row r="533" spans="1:46" ht="13" hidden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40"/>
      <c r="T533" s="40"/>
      <c r="U533" s="40"/>
      <c r="V533" s="40"/>
      <c r="W533" s="41"/>
      <c r="X533" s="41"/>
      <c r="Y533" s="41"/>
      <c r="Z533" s="3"/>
      <c r="AA533" s="3"/>
      <c r="AB533" s="40"/>
      <c r="AC533" s="40"/>
      <c r="AD533" s="40"/>
      <c r="AE533" s="40"/>
      <c r="AF533" s="41"/>
      <c r="AG533" s="3"/>
      <c r="AH533" s="3"/>
      <c r="AI533" s="40"/>
      <c r="AJ533" s="40"/>
      <c r="AK533" s="40"/>
      <c r="AL533" s="40"/>
      <c r="AM533" s="41"/>
      <c r="AN533" s="3"/>
      <c r="AO533" s="3"/>
      <c r="AP533" s="40"/>
      <c r="AQ533" s="40"/>
      <c r="AR533" s="40"/>
      <c r="AS533" s="40"/>
      <c r="AT533" s="41"/>
    </row>
    <row r="534" spans="1:46" ht="13" hidden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40"/>
      <c r="T534" s="40"/>
      <c r="U534" s="40"/>
      <c r="V534" s="40"/>
      <c r="W534" s="41"/>
      <c r="X534" s="41"/>
      <c r="Y534" s="41"/>
      <c r="Z534" s="3"/>
      <c r="AA534" s="3"/>
      <c r="AB534" s="40"/>
      <c r="AC534" s="40"/>
      <c r="AD534" s="40"/>
      <c r="AE534" s="40"/>
      <c r="AF534" s="41"/>
      <c r="AG534" s="3"/>
      <c r="AH534" s="3"/>
      <c r="AI534" s="40"/>
      <c r="AJ534" s="40"/>
      <c r="AK534" s="40"/>
      <c r="AL534" s="40"/>
      <c r="AM534" s="41"/>
      <c r="AN534" s="3"/>
      <c r="AO534" s="3"/>
      <c r="AP534" s="40"/>
      <c r="AQ534" s="40"/>
      <c r="AR534" s="40"/>
      <c r="AS534" s="40"/>
      <c r="AT534" s="41"/>
    </row>
    <row r="535" spans="1:46" ht="13" hidden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40"/>
      <c r="T535" s="40"/>
      <c r="U535" s="40"/>
      <c r="V535" s="40"/>
      <c r="W535" s="41"/>
      <c r="X535" s="41"/>
      <c r="Y535" s="41"/>
      <c r="Z535" s="3"/>
      <c r="AA535" s="3"/>
      <c r="AB535" s="40"/>
      <c r="AC535" s="40"/>
      <c r="AD535" s="40"/>
      <c r="AE535" s="40"/>
      <c r="AF535" s="41"/>
      <c r="AG535" s="3"/>
      <c r="AH535" s="3"/>
      <c r="AI535" s="40"/>
      <c r="AJ535" s="40"/>
      <c r="AK535" s="40"/>
      <c r="AL535" s="40"/>
      <c r="AM535" s="41"/>
      <c r="AN535" s="3"/>
      <c r="AO535" s="3"/>
      <c r="AP535" s="40"/>
      <c r="AQ535" s="40"/>
      <c r="AR535" s="40"/>
      <c r="AS535" s="40"/>
      <c r="AT535" s="41"/>
    </row>
    <row r="536" spans="1:46" ht="13" hidden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40"/>
      <c r="T536" s="40"/>
      <c r="U536" s="40"/>
      <c r="V536" s="40"/>
      <c r="W536" s="41"/>
      <c r="X536" s="41"/>
      <c r="Y536" s="41"/>
      <c r="Z536" s="3"/>
      <c r="AA536" s="3"/>
      <c r="AB536" s="40"/>
      <c r="AC536" s="40"/>
      <c r="AD536" s="40"/>
      <c r="AE536" s="40"/>
      <c r="AF536" s="41"/>
      <c r="AG536" s="3"/>
      <c r="AH536" s="3"/>
      <c r="AI536" s="40"/>
      <c r="AJ536" s="40"/>
      <c r="AK536" s="40"/>
      <c r="AL536" s="40"/>
      <c r="AM536" s="41"/>
      <c r="AN536" s="3"/>
      <c r="AO536" s="3"/>
      <c r="AP536" s="40"/>
      <c r="AQ536" s="40"/>
      <c r="AR536" s="40"/>
      <c r="AS536" s="40"/>
      <c r="AT536" s="41"/>
    </row>
    <row r="537" spans="1:46" ht="13" hidden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40"/>
      <c r="T537" s="40"/>
      <c r="U537" s="40"/>
      <c r="V537" s="40"/>
      <c r="W537" s="41"/>
      <c r="X537" s="41"/>
      <c r="Y537" s="41"/>
      <c r="Z537" s="3"/>
      <c r="AA537" s="3"/>
      <c r="AB537" s="40"/>
      <c r="AC537" s="40"/>
      <c r="AD537" s="40"/>
      <c r="AE537" s="40"/>
      <c r="AF537" s="41"/>
      <c r="AG537" s="3"/>
      <c r="AH537" s="3"/>
      <c r="AI537" s="40"/>
      <c r="AJ537" s="40"/>
      <c r="AK537" s="40"/>
      <c r="AL537" s="40"/>
      <c r="AM537" s="41"/>
      <c r="AN537" s="3"/>
      <c r="AO537" s="3"/>
      <c r="AP537" s="40"/>
      <c r="AQ537" s="40"/>
      <c r="AR537" s="40"/>
      <c r="AS537" s="40"/>
      <c r="AT537" s="41"/>
    </row>
    <row r="538" spans="1:46" ht="13" hidden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40"/>
      <c r="T538" s="40"/>
      <c r="U538" s="40"/>
      <c r="V538" s="40"/>
      <c r="W538" s="41"/>
      <c r="X538" s="41"/>
      <c r="Y538" s="41"/>
      <c r="Z538" s="3"/>
      <c r="AA538" s="3"/>
      <c r="AB538" s="40"/>
      <c r="AC538" s="40"/>
      <c r="AD538" s="40"/>
      <c r="AE538" s="40"/>
      <c r="AF538" s="41"/>
      <c r="AG538" s="3"/>
      <c r="AH538" s="3"/>
      <c r="AI538" s="40"/>
      <c r="AJ538" s="40"/>
      <c r="AK538" s="40"/>
      <c r="AL538" s="40"/>
      <c r="AM538" s="41"/>
      <c r="AN538" s="3"/>
      <c r="AO538" s="3"/>
      <c r="AP538" s="40"/>
      <c r="AQ538" s="40"/>
      <c r="AR538" s="40"/>
      <c r="AS538" s="40"/>
      <c r="AT538" s="41"/>
    </row>
    <row r="539" spans="1:46" ht="13" hidden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40"/>
      <c r="T539" s="40"/>
      <c r="U539" s="40"/>
      <c r="V539" s="40"/>
      <c r="W539" s="41"/>
      <c r="X539" s="41"/>
      <c r="Y539" s="41"/>
      <c r="Z539" s="3"/>
      <c r="AA539" s="3"/>
      <c r="AB539" s="40"/>
      <c r="AC539" s="40"/>
      <c r="AD539" s="40"/>
      <c r="AE539" s="40"/>
      <c r="AF539" s="41"/>
      <c r="AG539" s="3"/>
      <c r="AH539" s="3"/>
      <c r="AI539" s="40"/>
      <c r="AJ539" s="40"/>
      <c r="AK539" s="40"/>
      <c r="AL539" s="40"/>
      <c r="AM539" s="41"/>
      <c r="AN539" s="3"/>
      <c r="AO539" s="3"/>
      <c r="AP539" s="40"/>
      <c r="AQ539" s="40"/>
      <c r="AR539" s="40"/>
      <c r="AS539" s="40"/>
      <c r="AT539" s="41"/>
    </row>
    <row r="540" spans="1:46" ht="13" hidden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40"/>
      <c r="T540" s="40"/>
      <c r="U540" s="40"/>
      <c r="V540" s="40"/>
      <c r="W540" s="41"/>
      <c r="X540" s="41"/>
      <c r="Y540" s="41"/>
      <c r="Z540" s="3"/>
      <c r="AA540" s="3"/>
      <c r="AB540" s="40"/>
      <c r="AC540" s="40"/>
      <c r="AD540" s="40"/>
      <c r="AE540" s="40"/>
      <c r="AF540" s="41"/>
      <c r="AG540" s="3"/>
      <c r="AH540" s="3"/>
      <c r="AI540" s="40"/>
      <c r="AJ540" s="40"/>
      <c r="AK540" s="40"/>
      <c r="AL540" s="40"/>
      <c r="AM540" s="41"/>
      <c r="AN540" s="3"/>
      <c r="AO540" s="3"/>
      <c r="AP540" s="40"/>
      <c r="AQ540" s="40"/>
      <c r="AR540" s="40"/>
      <c r="AS540" s="40"/>
      <c r="AT540" s="41"/>
    </row>
    <row r="541" spans="1:46" ht="13" hidden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40"/>
      <c r="T541" s="40"/>
      <c r="U541" s="40"/>
      <c r="V541" s="40"/>
      <c r="W541" s="41"/>
      <c r="X541" s="41"/>
      <c r="Y541" s="41"/>
      <c r="Z541" s="3"/>
      <c r="AA541" s="3"/>
      <c r="AB541" s="40"/>
      <c r="AC541" s="40"/>
      <c r="AD541" s="40"/>
      <c r="AE541" s="40"/>
      <c r="AF541" s="41"/>
      <c r="AG541" s="3"/>
      <c r="AH541" s="3"/>
      <c r="AI541" s="40"/>
      <c r="AJ541" s="40"/>
      <c r="AK541" s="40"/>
      <c r="AL541" s="40"/>
      <c r="AM541" s="41"/>
      <c r="AN541" s="3"/>
      <c r="AO541" s="3"/>
      <c r="AP541" s="40"/>
      <c r="AQ541" s="40"/>
      <c r="AR541" s="40"/>
      <c r="AS541" s="40"/>
      <c r="AT541" s="41"/>
    </row>
    <row r="542" spans="1:46" ht="13" hidden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40"/>
      <c r="T542" s="40"/>
      <c r="U542" s="40"/>
      <c r="V542" s="40"/>
      <c r="W542" s="41"/>
      <c r="X542" s="41"/>
      <c r="Y542" s="41"/>
      <c r="Z542" s="3"/>
      <c r="AA542" s="3"/>
      <c r="AB542" s="40"/>
      <c r="AC542" s="40"/>
      <c r="AD542" s="40"/>
      <c r="AE542" s="40"/>
      <c r="AF542" s="41"/>
      <c r="AG542" s="3"/>
      <c r="AH542" s="3"/>
      <c r="AI542" s="40"/>
      <c r="AJ542" s="40"/>
      <c r="AK542" s="40"/>
      <c r="AL542" s="40"/>
      <c r="AM542" s="41"/>
      <c r="AN542" s="3"/>
      <c r="AO542" s="3"/>
      <c r="AP542" s="40"/>
      <c r="AQ542" s="40"/>
      <c r="AR542" s="40"/>
      <c r="AS542" s="40"/>
      <c r="AT542" s="41"/>
    </row>
    <row r="543" spans="1:46" ht="13" hidden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40"/>
      <c r="T543" s="40"/>
      <c r="U543" s="40"/>
      <c r="V543" s="40"/>
      <c r="W543" s="41"/>
      <c r="X543" s="41"/>
      <c r="Y543" s="41"/>
      <c r="Z543" s="3"/>
      <c r="AA543" s="3"/>
      <c r="AB543" s="40"/>
      <c r="AC543" s="40"/>
      <c r="AD543" s="40"/>
      <c r="AE543" s="40"/>
      <c r="AF543" s="41"/>
      <c r="AG543" s="3"/>
      <c r="AH543" s="3"/>
      <c r="AI543" s="40"/>
      <c r="AJ543" s="40"/>
      <c r="AK543" s="40"/>
      <c r="AL543" s="40"/>
      <c r="AM543" s="41"/>
      <c r="AN543" s="3"/>
      <c r="AO543" s="3"/>
      <c r="AP543" s="40"/>
      <c r="AQ543" s="40"/>
      <c r="AR543" s="40"/>
      <c r="AS543" s="40"/>
      <c r="AT543" s="41"/>
    </row>
    <row r="544" spans="1:46" ht="13" hidden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40"/>
      <c r="T544" s="40"/>
      <c r="U544" s="40"/>
      <c r="V544" s="40"/>
      <c r="W544" s="41"/>
      <c r="X544" s="41"/>
      <c r="Y544" s="41"/>
      <c r="Z544" s="3"/>
      <c r="AA544" s="3"/>
      <c r="AB544" s="40"/>
      <c r="AC544" s="40"/>
      <c r="AD544" s="40"/>
      <c r="AE544" s="40"/>
      <c r="AF544" s="41"/>
      <c r="AG544" s="3"/>
      <c r="AH544" s="3"/>
      <c r="AI544" s="40"/>
      <c r="AJ544" s="40"/>
      <c r="AK544" s="40"/>
      <c r="AL544" s="40"/>
      <c r="AM544" s="41"/>
      <c r="AN544" s="3"/>
      <c r="AO544" s="3"/>
      <c r="AP544" s="40"/>
      <c r="AQ544" s="40"/>
      <c r="AR544" s="40"/>
      <c r="AS544" s="40"/>
      <c r="AT544" s="41"/>
    </row>
    <row r="545" spans="1:46" ht="13" hidden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40"/>
      <c r="T545" s="40"/>
      <c r="U545" s="40"/>
      <c r="V545" s="40"/>
      <c r="W545" s="41"/>
      <c r="X545" s="41"/>
      <c r="Y545" s="41"/>
      <c r="Z545" s="3"/>
      <c r="AA545" s="3"/>
      <c r="AB545" s="40"/>
      <c r="AC545" s="40"/>
      <c r="AD545" s="40"/>
      <c r="AE545" s="40"/>
      <c r="AF545" s="41"/>
      <c r="AG545" s="3"/>
      <c r="AH545" s="3"/>
      <c r="AI545" s="40"/>
      <c r="AJ545" s="40"/>
      <c r="AK545" s="40"/>
      <c r="AL545" s="40"/>
      <c r="AM545" s="41"/>
      <c r="AN545" s="3"/>
      <c r="AO545" s="3"/>
      <c r="AP545" s="40"/>
      <c r="AQ545" s="40"/>
      <c r="AR545" s="40"/>
      <c r="AS545" s="40"/>
      <c r="AT545" s="41"/>
    </row>
    <row r="546" spans="1:46" ht="13" hidden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40"/>
      <c r="T546" s="40"/>
      <c r="U546" s="40"/>
      <c r="V546" s="40"/>
      <c r="W546" s="41"/>
      <c r="X546" s="41"/>
      <c r="Y546" s="41"/>
      <c r="Z546" s="3"/>
      <c r="AA546" s="3"/>
      <c r="AB546" s="40"/>
      <c r="AC546" s="40"/>
      <c r="AD546" s="40"/>
      <c r="AE546" s="40"/>
      <c r="AF546" s="41"/>
      <c r="AG546" s="3"/>
      <c r="AH546" s="3"/>
      <c r="AI546" s="40"/>
      <c r="AJ546" s="40"/>
      <c r="AK546" s="40"/>
      <c r="AL546" s="40"/>
      <c r="AM546" s="41"/>
      <c r="AN546" s="3"/>
      <c r="AO546" s="3"/>
      <c r="AP546" s="40"/>
      <c r="AQ546" s="40"/>
      <c r="AR546" s="40"/>
      <c r="AS546" s="40"/>
      <c r="AT546" s="41"/>
    </row>
    <row r="547" spans="1:46" ht="13" hidden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40"/>
      <c r="T547" s="40"/>
      <c r="U547" s="40"/>
      <c r="V547" s="40"/>
      <c r="W547" s="41"/>
      <c r="X547" s="41"/>
      <c r="Y547" s="41"/>
      <c r="Z547" s="3"/>
      <c r="AA547" s="3"/>
      <c r="AB547" s="40"/>
      <c r="AC547" s="40"/>
      <c r="AD547" s="40"/>
      <c r="AE547" s="40"/>
      <c r="AF547" s="41"/>
      <c r="AG547" s="3"/>
      <c r="AH547" s="3"/>
      <c r="AI547" s="40"/>
      <c r="AJ547" s="40"/>
      <c r="AK547" s="40"/>
      <c r="AL547" s="40"/>
      <c r="AM547" s="41"/>
      <c r="AN547" s="3"/>
      <c r="AO547" s="3"/>
      <c r="AP547" s="40"/>
      <c r="AQ547" s="40"/>
      <c r="AR547" s="40"/>
      <c r="AS547" s="40"/>
      <c r="AT547" s="41"/>
    </row>
    <row r="548" spans="1:46" ht="13" hidden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40"/>
      <c r="T548" s="40"/>
      <c r="U548" s="40"/>
      <c r="V548" s="40"/>
      <c r="W548" s="41"/>
      <c r="X548" s="41"/>
      <c r="Y548" s="41"/>
      <c r="Z548" s="3"/>
      <c r="AA548" s="3"/>
      <c r="AB548" s="40"/>
      <c r="AC548" s="40"/>
      <c r="AD548" s="40"/>
      <c r="AE548" s="40"/>
      <c r="AF548" s="41"/>
      <c r="AG548" s="3"/>
      <c r="AH548" s="3"/>
      <c r="AI548" s="40"/>
      <c r="AJ548" s="40"/>
      <c r="AK548" s="40"/>
      <c r="AL548" s="40"/>
      <c r="AM548" s="41"/>
      <c r="AN548" s="3"/>
      <c r="AO548" s="3"/>
      <c r="AP548" s="40"/>
      <c r="AQ548" s="40"/>
      <c r="AR548" s="40"/>
      <c r="AS548" s="40"/>
      <c r="AT548" s="41"/>
    </row>
    <row r="549" spans="1:46" ht="13" hidden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40"/>
      <c r="T549" s="40"/>
      <c r="U549" s="40"/>
      <c r="V549" s="40"/>
      <c r="W549" s="41"/>
      <c r="X549" s="41"/>
      <c r="Y549" s="41"/>
      <c r="Z549" s="3"/>
      <c r="AA549" s="3"/>
      <c r="AB549" s="40"/>
      <c r="AC549" s="40"/>
      <c r="AD549" s="40"/>
      <c r="AE549" s="40"/>
      <c r="AF549" s="41"/>
      <c r="AG549" s="3"/>
      <c r="AH549" s="3"/>
      <c r="AI549" s="40"/>
      <c r="AJ549" s="40"/>
      <c r="AK549" s="40"/>
      <c r="AL549" s="40"/>
      <c r="AM549" s="41"/>
      <c r="AN549" s="3"/>
      <c r="AO549" s="3"/>
      <c r="AP549" s="40"/>
      <c r="AQ549" s="40"/>
      <c r="AR549" s="40"/>
      <c r="AS549" s="40"/>
      <c r="AT549" s="41"/>
    </row>
    <row r="550" spans="1:46" ht="13" hidden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40"/>
      <c r="T550" s="40"/>
      <c r="U550" s="40"/>
      <c r="V550" s="40"/>
      <c r="W550" s="41"/>
      <c r="X550" s="41"/>
      <c r="Y550" s="41"/>
      <c r="Z550" s="3"/>
      <c r="AA550" s="3"/>
      <c r="AB550" s="40"/>
      <c r="AC550" s="40"/>
      <c r="AD550" s="40"/>
      <c r="AE550" s="40"/>
      <c r="AF550" s="41"/>
      <c r="AG550" s="3"/>
      <c r="AH550" s="3"/>
      <c r="AI550" s="40"/>
      <c r="AJ550" s="40"/>
      <c r="AK550" s="40"/>
      <c r="AL550" s="40"/>
      <c r="AM550" s="41"/>
      <c r="AN550" s="3"/>
      <c r="AO550" s="3"/>
      <c r="AP550" s="40"/>
      <c r="AQ550" s="40"/>
      <c r="AR550" s="40"/>
      <c r="AS550" s="40"/>
      <c r="AT550" s="41"/>
    </row>
    <row r="551" spans="1:46" ht="13" hidden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40"/>
      <c r="T551" s="40"/>
      <c r="U551" s="40"/>
      <c r="V551" s="40"/>
      <c r="W551" s="41"/>
      <c r="X551" s="41"/>
      <c r="Y551" s="41"/>
      <c r="Z551" s="3"/>
      <c r="AA551" s="3"/>
      <c r="AB551" s="40"/>
      <c r="AC551" s="40"/>
      <c r="AD551" s="40"/>
      <c r="AE551" s="40"/>
      <c r="AF551" s="41"/>
      <c r="AG551" s="3"/>
      <c r="AH551" s="3"/>
      <c r="AI551" s="40"/>
      <c r="AJ551" s="40"/>
      <c r="AK551" s="40"/>
      <c r="AL551" s="40"/>
      <c r="AM551" s="41"/>
      <c r="AN551" s="3"/>
      <c r="AO551" s="3"/>
      <c r="AP551" s="40"/>
      <c r="AQ551" s="40"/>
      <c r="AR551" s="40"/>
      <c r="AS551" s="40"/>
      <c r="AT551" s="41"/>
    </row>
    <row r="552" spans="1:46" ht="13" hidden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40"/>
      <c r="T552" s="40"/>
      <c r="U552" s="40"/>
      <c r="V552" s="40"/>
      <c r="W552" s="41"/>
      <c r="X552" s="41"/>
      <c r="Y552" s="41"/>
      <c r="Z552" s="3"/>
      <c r="AA552" s="3"/>
      <c r="AB552" s="40"/>
      <c r="AC552" s="40"/>
      <c r="AD552" s="40"/>
      <c r="AE552" s="40"/>
      <c r="AF552" s="41"/>
      <c r="AG552" s="3"/>
      <c r="AH552" s="3"/>
      <c r="AI552" s="40"/>
      <c r="AJ552" s="40"/>
      <c r="AK552" s="40"/>
      <c r="AL552" s="40"/>
      <c r="AM552" s="41"/>
      <c r="AN552" s="3"/>
      <c r="AO552" s="3"/>
      <c r="AP552" s="40"/>
      <c r="AQ552" s="40"/>
      <c r="AR552" s="40"/>
      <c r="AS552" s="40"/>
      <c r="AT552" s="41"/>
    </row>
    <row r="553" spans="1:46" ht="13" hidden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40"/>
      <c r="T553" s="40"/>
      <c r="U553" s="40"/>
      <c r="V553" s="40"/>
      <c r="W553" s="41"/>
      <c r="X553" s="41"/>
      <c r="Y553" s="41"/>
      <c r="Z553" s="3"/>
      <c r="AA553" s="3"/>
      <c r="AB553" s="40"/>
      <c r="AC553" s="40"/>
      <c r="AD553" s="40"/>
      <c r="AE553" s="40"/>
      <c r="AF553" s="41"/>
      <c r="AG553" s="3"/>
      <c r="AH553" s="3"/>
      <c r="AI553" s="40"/>
      <c r="AJ553" s="40"/>
      <c r="AK553" s="40"/>
      <c r="AL553" s="40"/>
      <c r="AM553" s="41"/>
      <c r="AN553" s="3"/>
      <c r="AO553" s="3"/>
      <c r="AP553" s="40"/>
      <c r="AQ553" s="40"/>
      <c r="AR553" s="40"/>
      <c r="AS553" s="40"/>
      <c r="AT553" s="41"/>
    </row>
    <row r="554" spans="1:46" ht="13" hidden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40"/>
      <c r="T554" s="40"/>
      <c r="U554" s="40"/>
      <c r="V554" s="40"/>
      <c r="W554" s="41"/>
      <c r="X554" s="41"/>
      <c r="Y554" s="41"/>
      <c r="Z554" s="3"/>
      <c r="AA554" s="3"/>
      <c r="AB554" s="40"/>
      <c r="AC554" s="40"/>
      <c r="AD554" s="40"/>
      <c r="AE554" s="40"/>
      <c r="AF554" s="41"/>
      <c r="AG554" s="3"/>
      <c r="AH554" s="3"/>
      <c r="AI554" s="40"/>
      <c r="AJ554" s="40"/>
      <c r="AK554" s="40"/>
      <c r="AL554" s="40"/>
      <c r="AM554" s="41"/>
      <c r="AN554" s="3"/>
      <c r="AO554" s="3"/>
      <c r="AP554" s="40"/>
      <c r="AQ554" s="40"/>
      <c r="AR554" s="40"/>
      <c r="AS554" s="40"/>
      <c r="AT554" s="41"/>
    </row>
    <row r="555" spans="1:46" ht="13" hidden="1" x14ac:dyDescent="0.3"/>
    <row r="556" spans="1:46" ht="13" hidden="1" x14ac:dyDescent="0.3"/>
    <row r="557" spans="1:46" ht="13" hidden="1" x14ac:dyDescent="0.3"/>
    <row r="558" spans="1:46" ht="13" hidden="1" x14ac:dyDescent="0.3"/>
    <row r="559" spans="1:46" ht="13" hidden="1" x14ac:dyDescent="0.3"/>
    <row r="560" spans="1:46" ht="13" hidden="1" x14ac:dyDescent="0.3"/>
  </sheetData>
  <mergeCells count="39">
    <mergeCell ref="N2:P4"/>
    <mergeCell ref="B3:I3"/>
    <mergeCell ref="C6:D6"/>
    <mergeCell ref="C7:N7"/>
    <mergeCell ref="B10:C10"/>
    <mergeCell ref="D10:E10"/>
    <mergeCell ref="F10:G10"/>
    <mergeCell ref="H10:I10"/>
    <mergeCell ref="J10:K10"/>
    <mergeCell ref="L10:M10"/>
    <mergeCell ref="N10:O10"/>
    <mergeCell ref="N11:O11"/>
    <mergeCell ref="K12:L12"/>
    <mergeCell ref="B11:C11"/>
    <mergeCell ref="B14:C14"/>
    <mergeCell ref="B16:C16"/>
    <mergeCell ref="D11:E11"/>
    <mergeCell ref="F11:G11"/>
    <mergeCell ref="H11:I11"/>
    <mergeCell ref="J11:K11"/>
    <mergeCell ref="L11:M11"/>
    <mergeCell ref="B15:O15"/>
    <mergeCell ref="B17:C17"/>
    <mergeCell ref="B18:C18"/>
    <mergeCell ref="B19:C19"/>
    <mergeCell ref="B29:C29"/>
    <mergeCell ref="B20:O20"/>
    <mergeCell ref="B30:C30"/>
    <mergeCell ref="B45:D45"/>
    <mergeCell ref="B50:D50"/>
    <mergeCell ref="B21:C21"/>
    <mergeCell ref="B22:C22"/>
    <mergeCell ref="B23:C23"/>
    <mergeCell ref="B25:D25"/>
    <mergeCell ref="B26:C26"/>
    <mergeCell ref="B27:C27"/>
    <mergeCell ref="B28:C28"/>
    <mergeCell ref="B48:D48"/>
    <mergeCell ref="B49:D49"/>
  </mergeCells>
  <conditionalFormatting sqref="G6">
    <cfRule type="expression" dxfId="1" priority="2">
      <formula>C6&lt;&gt;AO1</formula>
    </cfRule>
  </conditionalFormatting>
  <conditionalFormatting sqref="I6">
    <cfRule type="expression" dxfId="0" priority="3">
      <formula>C6&lt;&gt;AH1</formula>
    </cfRule>
  </conditionalFormatting>
  <dataValidations count="2">
    <dataValidation type="decimal" allowBlank="1" showDropDown="1" showInputMessage="1" showErrorMessage="1" prompt="Number must be more than 0 and less than 1." sqref="G6" xr:uid="{00000000-0002-0000-0000-000001000000}">
      <formula1>0.000001</formula1>
      <formula2>0.999999</formula2>
    </dataValidation>
    <dataValidation type="list" allowBlank="1" showErrorMessage="1" sqref="C6:D6" xr:uid="{491DAB24-A54A-0343-8B56-FD1420376A92}">
      <formula1>$AU$2:$AU$4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⚡ Leads</vt:lpstr>
      <vt:lpstr>⚡ Events</vt:lpstr>
      <vt:lpstr>⚡ Opportunities</vt:lpstr>
      <vt:lpstr>📊 12-Month Sales Forecast Dash</vt:lpstr>
      <vt:lpstr>'⚡ Leads'!coeff_c_2CCEE246_9945_2140_BC14_9589485B31D0_0fd1f8c5_b793_4c6a_9738_c66d803607aa</vt:lpstr>
      <vt:lpstr>'⚡ Leads'!coeff_c_2CCEE246_9945_2140_BC14_9589485B31D0_58516334_2b0d_4bb8_aa1c_0da7fb0a08c6</vt:lpstr>
      <vt:lpstr>'⚡ Leads'!coeff_c_2CCEE246_9945_2140_BC14_9589485B31D0_954a83f1_e415_4d27_a772_8102e6b33558</vt:lpstr>
      <vt:lpstr>'⚡ Leads'!coeff_c_2CCEE246_9945_2140_BC14_9589485B31D0_987b5bcd_927e_41fb_8970_a5873b232b32</vt:lpstr>
      <vt:lpstr>'⚡ Leads'!coeff_c_2CCEE246_9945_2140_BC14_9589485B31D0_9d1a4a82_19a1_4650_aee1_73e43e206df3</vt:lpstr>
      <vt:lpstr>'⚡ Events'!coeff_c_344D56EE_B9FC_084D_94CF_57A89FF39BC0_1ce7ea6a_8d9a_476f_8684_125e69f5434a</vt:lpstr>
      <vt:lpstr>'⚡ Events'!coeff_c_344D56EE_B9FC_084D_94CF_57A89FF39BC0_4e562cd5_7fc1_4160_88e6_7c20ee69e91e</vt:lpstr>
      <vt:lpstr>'⚡ Events'!coeff_c_344D56EE_B9FC_084D_94CF_57A89FF39BC0_9032b6c4_5674_4fdc_ba1d_b91c5be50b04</vt:lpstr>
      <vt:lpstr>'⚡ Opportunities'!coeff_c_F6318C9D_BBC0_EF40_B911_3F41904FB1C5_0e358f63_a122_4840_86d6_ac397a19fc14</vt:lpstr>
      <vt:lpstr>'⚡ Opportunities'!coeff_c_F6318C9D_BBC0_EF40_B911_3F41904FB1C5_113d515e_ed67_45e5_8d65_b057dab81bb2</vt:lpstr>
      <vt:lpstr>'⚡ Opportunities'!coeff_c_F6318C9D_BBC0_EF40_B911_3F41904FB1C5_3e86d35e_9779_4adc_b01d_2bb75b6831a8</vt:lpstr>
      <vt:lpstr>'⚡ Opportunities'!coeff_c_F6318C9D_BBC0_EF40_B911_3F41904FB1C5_c2ab382a_94ad_4a4b_ae6b_6de2d30e8c6f</vt:lpstr>
      <vt:lpstr>'⚡ Opportunities'!coeff_c_F6318C9D_BBC0_EF40_B911_3F41904FB1C5_caf804c6_7a8f_4a4e_8ea0_18501cd7ebca</vt:lpstr>
      <vt:lpstr>'⚡ Opportunities'!coeff_c_F6318C9D_BBC0_EF40_B911_3F41904FB1C5_e537817c_237c_438a_aa64_49e98588f5db</vt:lpstr>
      <vt:lpstr>'⚡ Opportunities'!coeff_c_F6318C9D_BBC0_EF40_B911_3F41904FB1C5_ec93bc13_b4de_4d67_b931_521c4f5a2fb6</vt:lpstr>
      <vt:lpstr>'⚡ Opportunities'!coeff_c_F6318C9D_BBC0_EF40_B911_3F41904FB1C5_f9d174cc_4991_4aa3_bb12_8eba789fc966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Rivel</dc:creator>
  <cp:lastModifiedBy>Nashrah Hareem</cp:lastModifiedBy>
  <dcterms:created xsi:type="dcterms:W3CDTF">2025-04-15T06:18:12Z</dcterms:created>
  <dcterms:modified xsi:type="dcterms:W3CDTF">2026-01-15T03:16:43Z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76095e16-34c6-4f9e-b080-61ec781cbea0</vt:lpwstr>
  </property>
  <property fmtid="{D5CDD505-2E9C-101B-9397-08002B2CF9AE}" pid="3" name="coeff_is_local_file">
    <vt:lpwstr>true</vt:lpwstr>
  </property>
  <property fmtid="{D5CDD505-2E9C-101B-9397-08002B2CF9AE}" pid="4" name="coeff_tpl_info_tpl_setup_completed">
    <vt:lpwstr>true</vt:lpwstr>
  </property>
</Properties>
</file>